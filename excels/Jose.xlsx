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arie.duprat.alvaro\Downloads\"/>
    </mc:Choice>
  </mc:AlternateContent>
  <xr:revisionPtr revIDLastSave="0" documentId="8_{9A6C224B-0CC6-4398-92FC-5B624A93F5AA}"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1500" tabRatio="749" activeTab="3"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AB32" i="3" s="1"/>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L26" i="3"/>
  <c r="BL9" i="3"/>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43" i="32" l="1"/>
  <c r="X143" i="3" s="1"/>
  <c r="C120" i="32"/>
  <c r="X120" i="3" s="1"/>
  <c r="C85" i="32"/>
  <c r="X85" i="3" s="1"/>
  <c r="C13" i="32"/>
  <c r="Y13" i="3" s="1"/>
  <c r="C78" i="32"/>
  <c r="Y78" i="3" s="1"/>
  <c r="C84" i="32"/>
  <c r="X84" i="3" s="1"/>
  <c r="C12" i="32"/>
  <c r="X12" i="3" s="1"/>
  <c r="C62" i="32"/>
  <c r="Y62" i="3" s="1"/>
  <c r="C14" i="32"/>
  <c r="X14" i="3" s="1"/>
  <c r="C54" i="32"/>
  <c r="Y54" i="3" s="1"/>
  <c r="C21" i="32"/>
  <c r="X21" i="3" s="1"/>
  <c r="C94" i="32"/>
  <c r="X94" i="3" s="1"/>
  <c r="C110" i="32"/>
  <c r="X110" i="3" s="1"/>
  <c r="C134" i="32"/>
  <c r="Y134" i="3" s="1"/>
  <c r="C93" i="32"/>
  <c r="Y93" i="3" s="1"/>
  <c r="C9" i="32"/>
  <c r="X9" i="3" s="1"/>
  <c r="C45" i="32"/>
  <c r="X45" i="3" s="1"/>
  <c r="C17" i="32"/>
  <c r="X17" i="3" s="1"/>
  <c r="C105" i="32"/>
  <c r="X105" i="3" s="1"/>
  <c r="C41" i="32"/>
  <c r="X41" i="3" s="1"/>
  <c r="C101" i="32"/>
  <c r="Y101" i="3" s="1"/>
  <c r="C55" i="32"/>
  <c r="Y55" i="3" s="1"/>
  <c r="C16" i="32"/>
  <c r="X16" i="3" s="1"/>
  <c r="C86" i="32"/>
  <c r="X86" i="3" s="1"/>
  <c r="C79" i="32"/>
  <c r="Y79" i="3" s="1"/>
  <c r="C61" i="32"/>
  <c r="X61" i="3" s="1"/>
  <c r="C103" i="32"/>
  <c r="X103" i="3" s="1"/>
  <c r="C29" i="32"/>
  <c r="Y29" i="3" s="1"/>
  <c r="C49" i="32"/>
  <c r="X49" i="3" s="1"/>
  <c r="C116" i="32"/>
  <c r="X116" i="3" s="1"/>
  <c r="C7" i="32"/>
  <c r="X7" i="3" s="1"/>
  <c r="C88" i="32"/>
  <c r="X88" i="3" s="1"/>
  <c r="C69" i="32"/>
  <c r="Y69" i="3" s="1"/>
  <c r="C28" i="32"/>
  <c r="X28" i="3" s="1"/>
  <c r="C23" i="32"/>
  <c r="X23" i="3" s="1"/>
  <c r="C92" i="32"/>
  <c r="X92" i="3" s="1"/>
  <c r="C20" i="32"/>
  <c r="Y20" i="3" s="1"/>
  <c r="C6" i="32"/>
  <c r="X6" i="3" s="1"/>
  <c r="C65" i="32"/>
  <c r="Y65" i="3" s="1"/>
  <c r="C138" i="32"/>
  <c r="Y138" i="3" s="1"/>
  <c r="C56" i="32"/>
  <c r="X56"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3" i="3"/>
  <c r="Y120" i="3" l="1"/>
  <c r="X78" i="3"/>
  <c r="Y84" i="3"/>
  <c r="Y85" i="3"/>
  <c r="X13" i="3"/>
  <c r="X54" i="3"/>
  <c r="Y17" i="3"/>
  <c r="X134" i="3"/>
  <c r="X55" i="3"/>
  <c r="Y116" i="3"/>
  <c r="Y12" i="3"/>
  <c r="X62" i="3"/>
  <c r="Y88" i="3"/>
  <c r="Y41" i="3"/>
  <c r="Y94" i="3"/>
  <c r="X20" i="3"/>
  <c r="X69" i="3"/>
  <c r="Y14" i="3"/>
  <c r="Y110" i="3"/>
  <c r="X101" i="3"/>
  <c r="Y21" i="3"/>
  <c r="X93" i="3"/>
  <c r="Y105" i="3"/>
  <c r="Y92" i="3"/>
  <c r="Y9" i="3"/>
  <c r="X48" i="3"/>
  <c r="X31" i="3"/>
  <c r="X64" i="3"/>
  <c r="Y86" i="3"/>
  <c r="X138" i="3"/>
  <c r="Y81" i="3"/>
  <c r="X24" i="3"/>
  <c r="X60" i="3"/>
  <c r="X29" i="3"/>
  <c r="X79" i="3"/>
  <c r="Y49" i="3"/>
  <c r="Y45" i="3"/>
  <c r="Y56" i="3"/>
  <c r="Y61" i="3"/>
  <c r="Y16" i="3"/>
  <c r="Y103" i="3"/>
  <c r="Y7" i="3"/>
  <c r="X57" i="3"/>
  <c r="X65" i="3"/>
  <c r="Y139" i="3"/>
  <c r="Y28" i="3"/>
  <c r="X125" i="3"/>
  <c r="X108" i="3"/>
  <c r="Y23" i="3"/>
  <c r="Y6" i="3"/>
  <c r="X106" i="3"/>
  <c r="X89" i="3"/>
  <c r="X68" i="3"/>
  <c r="X115" i="3"/>
  <c r="Y113" i="3"/>
  <c r="X53" i="3"/>
  <c r="X5" i="3"/>
  <c r="Y4" i="3"/>
  <c r="Y76" i="3"/>
  <c r="X122" i="3"/>
  <c r="Y33" i="3"/>
  <c r="Y133" i="3"/>
  <c r="X38" i="3"/>
  <c r="Y25" i="3"/>
  <c r="X131" i="3"/>
  <c r="Y95" i="3"/>
  <c r="Y127" i="3"/>
  <c r="X44" i="3"/>
  <c r="X47" i="3"/>
  <c r="Y121" i="3"/>
  <c r="Y22" i="3"/>
  <c r="Y104" i="3"/>
  <c r="Y114" i="3"/>
  <c r="X63" i="3"/>
  <c r="X124" i="3"/>
  <c r="X123"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BW24"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F46" i="3"/>
  <c r="E45" i="3"/>
  <c r="BW29" i="3" s="1"/>
  <c r="F92" i="3"/>
  <c r="F95" i="3"/>
  <c r="BW53" i="3" s="1"/>
  <c r="E97" i="3"/>
  <c r="BV52" i="3" s="1"/>
  <c r="F81" i="3"/>
  <c r="E76" i="3"/>
  <c r="BW43" i="3" s="1"/>
  <c r="E78" i="3"/>
  <c r="BW44" i="3" s="1"/>
  <c r="E48" i="3"/>
  <c r="F44" i="3"/>
  <c r="F47" i="3"/>
  <c r="E38" i="3"/>
  <c r="BW22" i="3"/>
  <c r="F41" i="3"/>
  <c r="BU25" i="3" s="1"/>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BW36" i="3" s="1"/>
  <c r="E65" i="3"/>
  <c r="E63" i="3"/>
  <c r="E9" i="3"/>
  <c r="F4" i="3"/>
  <c r="F6" i="3"/>
  <c r="F79" i="3"/>
  <c r="E80" i="3"/>
  <c r="F76" i="3"/>
  <c r="BW42" i="3" s="1"/>
  <c r="F80" i="3"/>
  <c r="E77" i="3"/>
  <c r="BW45" i="3" s="1"/>
  <c r="F78" i="3"/>
  <c r="E61" i="3"/>
  <c r="BW37" i="3" s="1"/>
  <c r="F62" i="3"/>
  <c r="BU34" i="3" s="1"/>
  <c r="BU36" i="3"/>
  <c r="F64" i="3"/>
  <c r="BU35" i="3" s="1"/>
  <c r="F72" i="3"/>
  <c r="E68" i="3"/>
  <c r="BW39" i="3" s="1"/>
  <c r="BW38" i="3"/>
  <c r="BU38" i="3"/>
  <c r="E70" i="3"/>
  <c r="BU28" i="3" l="1"/>
  <c r="BU26" i="3"/>
  <c r="BU41" i="3"/>
  <c r="BU42" i="3"/>
  <c r="BW40" i="3"/>
  <c r="BW35" i="3"/>
  <c r="BU37" i="3"/>
  <c r="BU24" i="3"/>
  <c r="BU22" i="3"/>
  <c r="BU27" i="3"/>
  <c r="BU21"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V38" i="3"/>
  <c r="BX38" i="3" s="1"/>
  <c r="BV36" i="3"/>
  <c r="BX36" i="3" s="1"/>
  <c r="BV40" i="3"/>
  <c r="BX40" i="3" s="1"/>
  <c r="BV41" i="3"/>
  <c r="BV39" i="3"/>
  <c r="BX39" i="3" s="1"/>
  <c r="BV34" i="3"/>
  <c r="BX34" i="3" s="1"/>
  <c r="BV37" i="3"/>
  <c r="BX37" i="3" s="1"/>
  <c r="BV35" i="3"/>
  <c r="BX35" i="3" s="1"/>
  <c r="BW30" i="3"/>
  <c r="BV29" i="3"/>
  <c r="BX29" i="3" s="1"/>
  <c r="BV28" i="3"/>
  <c r="BV27" i="3"/>
  <c r="BV22" i="3"/>
  <c r="BV23" i="3"/>
  <c r="BX23" i="3" s="1"/>
  <c r="BV24" i="3"/>
  <c r="BV25" i="3"/>
  <c r="BX25" i="3" s="1"/>
  <c r="BW20" i="3"/>
  <c r="BU10" i="3"/>
  <c r="BU13" i="3"/>
  <c r="BW11" i="3"/>
  <c r="BW14" i="3"/>
  <c r="BW19" i="3"/>
  <c r="BW12" i="3"/>
  <c r="BU15" i="3"/>
  <c r="BW16" i="3"/>
  <c r="BU14" i="3"/>
  <c r="BW7" i="3"/>
  <c r="BU6" i="3"/>
  <c r="BW8" i="3"/>
  <c r="BU9" i="3"/>
  <c r="BW9" i="3"/>
  <c r="BX53" i="3"/>
  <c r="BV9" i="3"/>
  <c r="BV8" i="3"/>
  <c r="BV6" i="3"/>
  <c r="BW49" i="3"/>
  <c r="BW31" i="3"/>
  <c r="BW47" i="3"/>
  <c r="BX32" i="3"/>
  <c r="BX28" i="3" l="1"/>
  <c r="BX26" i="3"/>
  <c r="BX41" i="3"/>
  <c r="BX27" i="3"/>
  <c r="BX24" i="3"/>
  <c r="BX22"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l="1"/>
  <c r="H78" i="3"/>
  <c r="H23" i="3"/>
  <c r="H20" i="3"/>
  <c r="H8" i="3"/>
  <c r="I20" i="3"/>
  <c r="H6" i="3"/>
  <c r="H21" i="3"/>
  <c r="I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44" i="3" l="1"/>
  <c r="CA13" i="3"/>
  <c r="CB15" i="3"/>
  <c r="CA6" i="3"/>
  <c r="CA14" i="3"/>
  <c r="CB14" i="3"/>
  <c r="CB19"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32" i="3"/>
  <c r="CA30" i="3"/>
  <c r="CA12" i="3"/>
  <c r="CC12" i="3" s="1"/>
  <c r="CB6" i="3"/>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3" i="3"/>
  <c r="CC6" i="3"/>
  <c r="CC15" i="3"/>
  <c r="CC14"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l="1"/>
  <c r="K12" i="3"/>
  <c r="L84" i="3"/>
  <c r="K24" i="3"/>
  <c r="K93" i="3"/>
  <c r="L97" i="3"/>
  <c r="L87" i="3"/>
  <c r="K14" i="3"/>
  <c r="CF48" i="3"/>
  <c r="K23" i="3"/>
  <c r="L86" i="3"/>
  <c r="L89" i="3"/>
  <c r="K85" i="3"/>
  <c r="L38" i="3"/>
  <c r="K4" i="3"/>
  <c r="K8" i="3"/>
  <c r="K28" i="3"/>
  <c r="L71" i="3"/>
  <c r="K55" i="3"/>
  <c r="L4" i="3"/>
  <c r="L70" i="3"/>
  <c r="L73" i="3"/>
  <c r="L20" i="3"/>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22" i="3" l="1"/>
  <c r="CF14" i="3"/>
  <c r="CF46" i="3"/>
  <c r="CF35"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l="1"/>
  <c r="N96" i="3"/>
  <c r="O93" i="3"/>
  <c r="CI52" i="3" s="1"/>
  <c r="O97" i="3"/>
  <c r="N95" i="3"/>
  <c r="CI51" i="3" s="1"/>
  <c r="O64" i="3"/>
  <c r="O95" i="3"/>
  <c r="N61" i="3"/>
  <c r="CI42" i="3"/>
  <c r="O44" i="3"/>
  <c r="CI36" i="3"/>
  <c r="O47" i="3"/>
  <c r="N29" i="3"/>
  <c r="CJ50" i="3"/>
  <c r="CI9" i="3"/>
  <c r="O55" i="3"/>
  <c r="O33" i="3"/>
  <c r="CJ19" i="3" s="1"/>
  <c r="N9" i="3"/>
  <c r="N36" i="3"/>
  <c r="O41" i="3"/>
  <c r="O4" i="3"/>
  <c r="O69" i="3"/>
  <c r="CK40" i="3" s="1"/>
  <c r="CI35" i="3"/>
  <c r="N72" i="3"/>
  <c r="CK21" i="3"/>
  <c r="O30" i="3"/>
  <c r="N32" i="3"/>
  <c r="CJ18" i="3" s="1"/>
  <c r="N7" i="3"/>
  <c r="O29" i="3"/>
  <c r="CI20" i="3" s="1"/>
  <c r="N49" i="3"/>
  <c r="N52" i="3"/>
  <c r="CK31" i="3" s="1"/>
  <c r="CK24" i="3"/>
  <c r="N54" i="3"/>
  <c r="CK32" i="3" s="1"/>
  <c r="N37" i="3"/>
  <c r="N8" i="3"/>
  <c r="CK22" i="3"/>
  <c r="CK41" i="3"/>
  <c r="O52" i="3"/>
  <c r="CI30" i="3" s="1"/>
  <c r="N97" i="3"/>
  <c r="O77" i="3"/>
  <c r="CI44" i="3" s="1"/>
  <c r="N80" i="3"/>
  <c r="N55" i="3"/>
  <c r="CI31" i="3" s="1"/>
  <c r="N81" i="3"/>
  <c r="N84" i="3"/>
  <c r="CI45" i="3"/>
  <c r="O5" i="3"/>
  <c r="N47" i="3"/>
  <c r="CI27" i="3" s="1"/>
  <c r="CK46" i="3"/>
  <c r="CI33" i="3"/>
  <c r="O53" i="3"/>
  <c r="CI32" i="3" s="1"/>
  <c r="O79" i="3"/>
  <c r="N6" i="3"/>
  <c r="N86" i="3"/>
  <c r="CK48" i="3" s="1"/>
  <c r="O32" i="3"/>
  <c r="CI12" i="3"/>
  <c r="CI43" i="3"/>
  <c r="N88" i="3"/>
  <c r="N30" i="3"/>
  <c r="CI25" i="3"/>
  <c r="CK6" i="3"/>
  <c r="CK18" i="3"/>
  <c r="CI18" i="3"/>
  <c r="CK25" i="3"/>
  <c r="N73" i="3"/>
  <c r="N15" i="3"/>
  <c r="CI11" i="3"/>
  <c r="O96" i="3"/>
  <c r="CJ53" i="3" s="1"/>
  <c r="CL53" i="3" s="1"/>
  <c r="CK34" i="3"/>
  <c r="CK8" i="3"/>
  <c r="CI39" i="3"/>
  <c r="CK30" i="3"/>
  <c r="N68" i="3"/>
  <c r="CK39" i="3" s="1"/>
  <c r="CK50" i="3"/>
  <c r="O40" i="3"/>
  <c r="O15" i="3"/>
  <c r="CI10" i="3" s="1"/>
  <c r="N65" i="3"/>
  <c r="O9" i="3"/>
  <c r="CI7" i="3" s="1"/>
  <c r="CI23" i="3"/>
  <c r="O36" i="3"/>
  <c r="CJ22" i="3" s="1"/>
  <c r="CK23" i="3"/>
  <c r="O61" i="3"/>
  <c r="CJ36" i="3" s="1"/>
  <c r="CI8" i="3"/>
  <c r="CI47" i="3"/>
  <c r="CK37" i="3"/>
  <c r="N13" i="3"/>
  <c r="O68" i="3"/>
  <c r="O57" i="3"/>
  <c r="O65" i="3"/>
  <c r="N40" i="3"/>
  <c r="O31" i="3"/>
  <c r="CJ21" i="3" s="1"/>
  <c r="N92" i="3"/>
  <c r="CK51" i="3" s="1"/>
  <c r="CK12" i="3"/>
  <c r="N77" i="3"/>
  <c r="CK45" i="3" s="1"/>
  <c r="CI19" i="3"/>
  <c r="CI50" i="3"/>
  <c r="O25" i="3"/>
  <c r="O37" i="3"/>
  <c r="N5" i="3"/>
  <c r="CJ9" i="3" s="1"/>
  <c r="O72" i="3"/>
  <c r="O84" i="3"/>
  <c r="CI46" i="3" s="1"/>
  <c r="O87" i="3"/>
  <c r="N60" i="3"/>
  <c r="CK35" i="3" s="1"/>
  <c r="O78" i="3"/>
  <c r="O23" i="3"/>
  <c r="N94" i="3"/>
  <c r="CK52" i="3" s="1"/>
  <c r="N39" i="3"/>
  <c r="CK38" i="3"/>
  <c r="N4" i="3"/>
  <c r="CK7" i="3" s="1"/>
  <c r="CK19" i="3"/>
  <c r="N87" i="3"/>
  <c r="N25" i="3"/>
  <c r="O22" i="3"/>
  <c r="N76" i="3"/>
  <c r="CJ43" i="3" s="1"/>
  <c r="O49" i="3"/>
  <c r="CI29" i="3" s="1"/>
  <c r="N46" i="3"/>
  <c r="CJ28" i="3" s="1"/>
  <c r="N53" i="3"/>
  <c r="N85" i="3"/>
  <c r="N44" i="3"/>
  <c r="CK27" i="3" s="1"/>
  <c r="N12" i="3"/>
  <c r="O54" i="3"/>
  <c r="O89" i="3"/>
  <c r="O56" i="3"/>
  <c r="N24" i="3"/>
  <c r="O46" i="3"/>
  <c r="CI28" i="3"/>
  <c r="O21" i="3"/>
  <c r="CI16" i="3" s="1"/>
  <c r="N45" i="3"/>
  <c r="CK29" i="3" s="1"/>
  <c r="N16" i="3"/>
  <c r="CI48" i="3"/>
  <c r="CK26" i="3"/>
  <c r="CJ48" i="3"/>
  <c r="O20" i="3"/>
  <c r="N33" i="3"/>
  <c r="CK10" i="3"/>
  <c r="N69" i="3"/>
  <c r="O73" i="3"/>
  <c r="O60" i="3"/>
  <c r="CI34" i="3" s="1"/>
  <c r="O63" i="3"/>
  <c r="CI37" i="3" s="1"/>
  <c r="CI40" i="3"/>
  <c r="CK11" i="3"/>
  <c r="O70" i="3"/>
  <c r="N22" i="3"/>
  <c r="CK42" i="3"/>
  <c r="N78" i="3"/>
  <c r="CK44" i="3" s="1"/>
  <c r="O81" i="3"/>
  <c r="N14" i="3"/>
  <c r="CK13" i="3"/>
  <c r="N23" i="3"/>
  <c r="N20" i="3"/>
  <c r="CK15" i="3" s="1"/>
  <c r="O24" i="3"/>
  <c r="CK17" i="3" s="1"/>
  <c r="N17" i="3"/>
  <c r="O14" i="3"/>
  <c r="CK33" i="3"/>
  <c r="CK53" i="3"/>
  <c r="CK14" i="3"/>
  <c r="CK49" i="3"/>
  <c r="CI13" i="3" l="1"/>
  <c r="CI26" i="3"/>
  <c r="CK47" i="3"/>
  <c r="CI49" i="3"/>
  <c r="CI6" i="3"/>
  <c r="CK43" i="3"/>
  <c r="CI38" i="3"/>
  <c r="CI41" i="3"/>
  <c r="CK36" i="3"/>
  <c r="CL36" i="3"/>
  <c r="CK28" i="3"/>
  <c r="CI24" i="3"/>
  <c r="CI22" i="3"/>
  <c r="CL22" i="3" s="1"/>
  <c r="CI21" i="3"/>
  <c r="CI14" i="3"/>
  <c r="CK20" i="3"/>
  <c r="CI15" i="3"/>
  <c r="CK16" i="3"/>
  <c r="CL50" i="3"/>
  <c r="CJ30" i="3"/>
  <c r="CL30" i="3" s="1"/>
  <c r="CJ32" i="3"/>
  <c r="CL32" i="3" s="1"/>
  <c r="CJ52" i="3"/>
  <c r="CL52" i="3" s="1"/>
  <c r="CJ40" i="3"/>
  <c r="CL40" i="3" s="1"/>
  <c r="CL9" i="3"/>
  <c r="CJ26" i="3"/>
  <c r="CJ51" i="3"/>
  <c r="CL51" i="3" s="1"/>
  <c r="CJ45" i="3"/>
  <c r="CL45" i="3" s="1"/>
  <c r="CJ42" i="3"/>
  <c r="CL42" i="3" s="1"/>
  <c r="CL48" i="3"/>
  <c r="CJ47" i="3"/>
  <c r="CL47" i="3" s="1"/>
  <c r="CJ13" i="3"/>
  <c r="CJ44" i="3"/>
  <c r="CL44" i="3" s="1"/>
  <c r="CJ49" i="3"/>
  <c r="CL49" i="3" s="1"/>
  <c r="CL43" i="3"/>
  <c r="CJ46" i="3"/>
  <c r="CL46" i="3" s="1"/>
  <c r="CJ38" i="3"/>
  <c r="CJ33" i="3"/>
  <c r="CL33" i="3" s="1"/>
  <c r="CJ35" i="3"/>
  <c r="CL35" i="3" s="1"/>
  <c r="CJ31" i="3"/>
  <c r="CL31" i="3" s="1"/>
  <c r="CJ34" i="3"/>
  <c r="CL34" i="3" s="1"/>
  <c r="CL28" i="3"/>
  <c r="CJ17" i="3"/>
  <c r="CL17" i="3" s="1"/>
  <c r="CJ24" i="3"/>
  <c r="CJ11" i="3"/>
  <c r="CL11" i="3" s="1"/>
  <c r="CJ20" i="3"/>
  <c r="CL20" i="3" s="1"/>
  <c r="CJ15" i="3"/>
  <c r="CJ14" i="3"/>
  <c r="CL19" i="3"/>
  <c r="CJ16" i="3"/>
  <c r="CL16" i="3" s="1"/>
  <c r="CL18" i="3"/>
  <c r="CL21" i="3"/>
  <c r="CK9" i="3"/>
  <c r="CJ10" i="3"/>
  <c r="CL10" i="3" s="1"/>
  <c r="CJ12" i="3"/>
  <c r="CL12" i="3" s="1"/>
  <c r="CJ25" i="3"/>
  <c r="CL25" i="3" s="1"/>
  <c r="CJ8" i="3"/>
  <c r="CL8" i="3" s="1"/>
  <c r="CJ6" i="3"/>
  <c r="CJ7" i="3"/>
  <c r="CL7" i="3" s="1"/>
  <c r="CJ23" i="3"/>
  <c r="CL23" i="3" s="1"/>
  <c r="CJ37" i="3"/>
  <c r="CL37" i="3" s="1"/>
  <c r="CJ39" i="3"/>
  <c r="CL39" i="3" s="1"/>
  <c r="CJ41" i="3"/>
  <c r="CJ29" i="3"/>
  <c r="CL29" i="3" s="1"/>
  <c r="CJ27" i="3"/>
  <c r="CL27" i="3" s="1"/>
  <c r="CL13" i="3" l="1"/>
  <c r="CL41" i="3"/>
  <c r="CL38" i="3"/>
  <c r="CL26" i="3"/>
  <c r="CL14" i="3"/>
  <c r="CL6" i="3"/>
  <c r="CM44" i="3" s="1"/>
  <c r="CL24" i="3"/>
  <c r="CL15" i="3"/>
  <c r="CM10" i="3" l="1"/>
  <c r="CM13" i="3"/>
  <c r="CM9" i="3"/>
  <c r="CM32" i="3"/>
  <c r="CM28" i="3"/>
  <c r="CM52" i="3"/>
  <c r="CM43" i="3"/>
  <c r="CM27" i="3"/>
  <c r="CM31" i="3"/>
  <c r="CM37" i="3"/>
  <c r="CM20" i="3"/>
  <c r="CM19" i="3"/>
  <c r="CM42" i="3"/>
  <c r="CM29" i="3"/>
  <c r="CM39" i="3"/>
  <c r="CM6" i="3"/>
  <c r="CM7" i="3"/>
  <c r="CM8" i="3"/>
  <c r="CM17" i="3"/>
  <c r="CM30" i="3"/>
  <c r="CM40" i="3"/>
  <c r="CM16" i="3"/>
  <c r="CM48" i="3"/>
  <c r="CM38" i="3"/>
  <c r="CM51" i="3"/>
  <c r="CM26" i="3"/>
  <c r="CM49" i="3"/>
  <c r="CM53" i="3"/>
  <c r="CM23" i="3"/>
  <c r="CM18" i="3"/>
  <c r="CM46" i="3"/>
  <c r="CM25" i="3"/>
  <c r="CM35" i="3"/>
  <c r="CM50" i="3"/>
  <c r="CM12" i="3"/>
  <c r="CM21" i="3"/>
  <c r="CM36" i="3"/>
  <c r="CM11" i="3"/>
  <c r="CM47" i="3"/>
  <c r="CM41" i="3"/>
  <c r="CM34" i="3"/>
  <c r="CM45" i="3"/>
  <c r="CM33" i="3"/>
  <c r="CM24" i="3"/>
  <c r="CM15" i="3"/>
  <c r="CM22" i="3"/>
  <c r="CM14" i="3"/>
  <c r="CN11" i="3" l="1"/>
  <c r="Q17" i="3" s="1"/>
  <c r="CN29" i="3"/>
  <c r="Q47" i="3" s="1"/>
  <c r="CN6" i="3"/>
  <c r="Q7" i="3" s="1"/>
  <c r="CN15" i="3"/>
  <c r="Q25" i="3" s="1"/>
  <c r="CN39" i="3"/>
  <c r="R71" i="3" s="1"/>
  <c r="CN27" i="3"/>
  <c r="R47" i="3" s="1"/>
  <c r="CN31" i="3"/>
  <c r="R52" i="3" s="1"/>
  <c r="CN35" i="3"/>
  <c r="R63" i="3" s="1"/>
  <c r="CN40" i="3"/>
  <c r="R73" i="3" s="1"/>
  <c r="CN53" i="3"/>
  <c r="Q95" i="3" s="1"/>
  <c r="CN45" i="3"/>
  <c r="Q79" i="3" s="1"/>
  <c r="CN34" i="3"/>
  <c r="R65" i="3" s="1"/>
  <c r="CN30" i="3"/>
  <c r="R57" i="3" s="1"/>
  <c r="CN9" i="3"/>
  <c r="Q6" i="3" s="1"/>
  <c r="CN12" i="3"/>
  <c r="R15" i="3" s="1"/>
  <c r="CN41" i="3"/>
  <c r="Q71" i="3" s="1"/>
  <c r="CN42" i="3"/>
  <c r="Q76" i="3" s="1"/>
  <c r="CN22" i="3"/>
  <c r="Q36" i="3" s="1"/>
  <c r="CN24" i="3"/>
  <c r="Q37" i="3" s="1"/>
  <c r="CN20" i="3"/>
  <c r="R33" i="3" s="1"/>
  <c r="CN8" i="3"/>
  <c r="Q5" i="3" s="1"/>
  <c r="CN16" i="3"/>
  <c r="R25" i="3" s="1"/>
  <c r="CN46" i="3"/>
  <c r="Q84" i="3" s="1"/>
  <c r="CN28" i="3"/>
  <c r="R46" i="3" s="1"/>
  <c r="CN52" i="3"/>
  <c r="R97" i="3" s="1"/>
  <c r="CN17" i="3"/>
  <c r="Q24" i="3" s="1"/>
  <c r="CN10" i="3"/>
  <c r="Q15" i="3" s="1"/>
  <c r="CN19" i="3"/>
  <c r="Q33" i="3" s="1"/>
  <c r="CN44" i="3"/>
  <c r="Q77" i="3" s="1"/>
  <c r="CN50" i="3"/>
  <c r="Q94" i="3" s="1"/>
  <c r="CN37" i="3"/>
  <c r="R61" i="3" s="1"/>
  <c r="CN51" i="3"/>
  <c r="R92" i="3" s="1"/>
  <c r="CN23" i="3"/>
  <c r="R36" i="3" s="1"/>
  <c r="CN13" i="3"/>
  <c r="R13" i="3" s="1"/>
  <c r="CN21" i="3"/>
  <c r="Q32" i="3" s="1"/>
  <c r="CN18" i="3"/>
  <c r="Q28" i="3" s="1"/>
  <c r="CN49" i="3"/>
  <c r="Q87" i="3" s="1"/>
  <c r="CN14" i="3"/>
  <c r="Q20" i="3" s="1"/>
  <c r="CN43" i="3"/>
  <c r="R76" i="3" s="1"/>
  <c r="CN26" i="3"/>
  <c r="Q44" i="3" s="1"/>
  <c r="CN32" i="3"/>
  <c r="Q53" i="3" s="1"/>
  <c r="CN38" i="3"/>
  <c r="Q70" i="3" s="1"/>
  <c r="CN48" i="3"/>
  <c r="R89" i="3" s="1"/>
  <c r="CN7" i="3"/>
  <c r="R4" i="3" s="1"/>
  <c r="CN47" i="3"/>
  <c r="Q89" i="3" s="1"/>
  <c r="CN25" i="3"/>
  <c r="CN36" i="3"/>
  <c r="R64" i="3" s="1"/>
  <c r="CN33" i="3"/>
  <c r="Q57" i="3" s="1"/>
  <c r="Q49" i="3" l="1"/>
  <c r="R93" i="3"/>
  <c r="Q48" i="3"/>
  <c r="Q92" i="3"/>
  <c r="CO51" i="3" s="1"/>
  <c r="R23" i="3"/>
  <c r="R45" i="3"/>
  <c r="R44" i="3"/>
  <c r="R12" i="3"/>
  <c r="CP45" i="3"/>
  <c r="Q60" i="3"/>
  <c r="R14" i="3"/>
  <c r="Q31" i="3"/>
  <c r="Q63" i="3"/>
  <c r="R88" i="3"/>
  <c r="Q4" i="3"/>
  <c r="CP12" i="3"/>
  <c r="R96" i="3"/>
  <c r="Q96" i="3"/>
  <c r="R8" i="3"/>
  <c r="Q81" i="3"/>
  <c r="R77" i="3"/>
  <c r="R55" i="3"/>
  <c r="Q56" i="3"/>
  <c r="Q97" i="3"/>
  <c r="Q62" i="3"/>
  <c r="R94" i="3"/>
  <c r="Q64" i="3"/>
  <c r="R22" i="3"/>
  <c r="R95" i="3"/>
  <c r="R68" i="3"/>
  <c r="CP38" i="3" s="1"/>
  <c r="Q93" i="3"/>
  <c r="R60" i="3"/>
  <c r="R20" i="3"/>
  <c r="Q72" i="3"/>
  <c r="Q29" i="3"/>
  <c r="R48" i="3"/>
  <c r="CO27" i="3" s="1"/>
  <c r="Q54" i="3"/>
  <c r="R30" i="3"/>
  <c r="Q45" i="3"/>
  <c r="R69" i="3"/>
  <c r="R70" i="3"/>
  <c r="Q73" i="3"/>
  <c r="Q88" i="3"/>
  <c r="CO19" i="3"/>
  <c r="Q69" i="3"/>
  <c r="CP53" i="3"/>
  <c r="R5" i="3"/>
  <c r="Q22" i="3"/>
  <c r="CP15" i="3" s="1"/>
  <c r="R21" i="3"/>
  <c r="CO53" i="3"/>
  <c r="R7" i="3"/>
  <c r="R87" i="3"/>
  <c r="R9" i="3"/>
  <c r="CO8" i="3"/>
  <c r="Q52" i="3"/>
  <c r="R85" i="3"/>
  <c r="CP23" i="3"/>
  <c r="CP30" i="3"/>
  <c r="CO30" i="3"/>
  <c r="CP42" i="3"/>
  <c r="Q78" i="3"/>
  <c r="R81" i="3"/>
  <c r="CO12" i="3"/>
  <c r="R17" i="3"/>
  <c r="Q86" i="3"/>
  <c r="CP48" i="3" s="1"/>
  <c r="R41" i="3"/>
  <c r="R40" i="3"/>
  <c r="CP50" i="3"/>
  <c r="Q8" i="3"/>
  <c r="Q21" i="3"/>
  <c r="CO17" i="3" s="1"/>
  <c r="R38" i="3"/>
  <c r="R80" i="3"/>
  <c r="CO43" i="3" s="1"/>
  <c r="Q85" i="3"/>
  <c r="CO49" i="3" s="1"/>
  <c r="R86" i="3"/>
  <c r="Q13" i="3"/>
  <c r="Q38" i="3"/>
  <c r="R31" i="3"/>
  <c r="R16" i="3"/>
  <c r="CP36" i="3"/>
  <c r="Q65" i="3"/>
  <c r="Q61" i="3"/>
  <c r="CP37" i="3" s="1"/>
  <c r="CP33" i="3"/>
  <c r="Q12" i="3"/>
  <c r="R28" i="3"/>
  <c r="Q40" i="3"/>
  <c r="R78" i="3"/>
  <c r="R54" i="3"/>
  <c r="CO47" i="3"/>
  <c r="CP51" i="3"/>
  <c r="R39" i="3"/>
  <c r="Q30" i="3"/>
  <c r="CP20" i="3" s="1"/>
  <c r="CP47" i="3"/>
  <c r="CO23" i="3"/>
  <c r="R84" i="3"/>
  <c r="CO46" i="3" s="1"/>
  <c r="R49" i="3"/>
  <c r="R56" i="3"/>
  <c r="Q14" i="3"/>
  <c r="Q16" i="3"/>
  <c r="R32" i="3"/>
  <c r="R6" i="3"/>
  <c r="CO18" i="3"/>
  <c r="Q80" i="3"/>
  <c r="Q55" i="3"/>
  <c r="R62" i="3"/>
  <c r="Q9" i="3"/>
  <c r="R79" i="3"/>
  <c r="CO45" i="3" s="1"/>
  <c r="Q46" i="3"/>
  <c r="R29" i="3"/>
  <c r="Q68" i="3"/>
  <c r="CP39" i="3" s="1"/>
  <c r="R72" i="3"/>
  <c r="Q23" i="3"/>
  <c r="R24" i="3"/>
  <c r="Q39" i="3"/>
  <c r="R37" i="3"/>
  <c r="Q41" i="3"/>
  <c r="R53" i="3"/>
  <c r="CO35" i="3"/>
  <c r="CP49" i="3"/>
  <c r="CP35" i="3"/>
  <c r="CQ35" i="3" s="1"/>
  <c r="CP34" i="3"/>
  <c r="CO37" i="3"/>
  <c r="CQ37" i="3" s="1"/>
  <c r="CO34" i="3"/>
  <c r="CO50" i="3"/>
  <c r="CP40" i="3"/>
  <c r="CO21" i="3"/>
  <c r="CO40" i="3"/>
  <c r="CO48" i="3"/>
  <c r="CO11" i="3"/>
  <c r="CP16" i="3"/>
  <c r="CO42" i="3"/>
  <c r="CQ42" i="3" s="1"/>
  <c r="CQ30" i="3"/>
  <c r="CP17" i="3"/>
  <c r="CP21" i="3"/>
  <c r="CP18" i="3"/>
  <c r="CQ18" i="3" s="1"/>
  <c r="CO16" i="3"/>
  <c r="CO20" i="3"/>
  <c r="CQ20" i="3" s="1"/>
  <c r="CP19" i="3"/>
  <c r="CQ19" i="3" s="1"/>
  <c r="CP11" i="3"/>
  <c r="CQ12" i="3"/>
  <c r="CO7" i="3"/>
  <c r="CP8" i="3"/>
  <c r="CQ8" i="3" s="1"/>
  <c r="CP7" i="3"/>
  <c r="CO29" i="3"/>
  <c r="CQ23" i="3"/>
  <c r="CP29" i="3"/>
  <c r="CO33" i="3"/>
  <c r="CQ33" i="3" s="1"/>
  <c r="CO39" i="3"/>
  <c r="CQ39" i="3" s="1"/>
  <c r="CO25" i="3"/>
  <c r="CP25" i="3"/>
  <c r="CP41" i="3"/>
  <c r="CO36" i="3"/>
  <c r="CQ36" i="3" s="1"/>
  <c r="CQ45" i="3"/>
  <c r="CQ53" i="3"/>
  <c r="CP26" i="3" l="1"/>
  <c r="CO41" i="3"/>
  <c r="CQ41" i="3" s="1"/>
  <c r="CO38" i="3"/>
  <c r="CQ38" i="3" s="1"/>
  <c r="CO26" i="3"/>
  <c r="CP10" i="3"/>
  <c r="CO10" i="3"/>
  <c r="CP52" i="3"/>
  <c r="CO13" i="3"/>
  <c r="CP13" i="3"/>
  <c r="CO14" i="3"/>
  <c r="CO28" i="3"/>
  <c r="CO52" i="3"/>
  <c r="CO9" i="3"/>
  <c r="CP14" i="3"/>
  <c r="CO32" i="3"/>
  <c r="CP27" i="3"/>
  <c r="CQ27" i="3" s="1"/>
  <c r="CO44" i="3"/>
  <c r="CP6" i="3"/>
  <c r="CP22" i="3"/>
  <c r="CO6" i="3"/>
  <c r="CP28" i="3"/>
  <c r="CO22" i="3"/>
  <c r="CP44" i="3"/>
  <c r="CP43" i="3"/>
  <c r="CQ43" i="3" s="1"/>
  <c r="CO15" i="3"/>
  <c r="CQ15" i="3" s="1"/>
  <c r="CQ50" i="3"/>
  <c r="CP32" i="3"/>
  <c r="CP24" i="3"/>
  <c r="CP46" i="3"/>
  <c r="CQ46" i="3" s="1"/>
  <c r="CQ51" i="3"/>
  <c r="CP9" i="3"/>
  <c r="CO24" i="3"/>
  <c r="CQ47" i="3"/>
  <c r="CO31" i="3"/>
  <c r="CP31" i="3"/>
  <c r="CQ49" i="3"/>
  <c r="CQ48" i="3"/>
  <c r="CQ34" i="3"/>
  <c r="CQ21" i="3"/>
  <c r="CQ16" i="3"/>
  <c r="CQ40" i="3"/>
  <c r="CQ11" i="3"/>
  <c r="CQ17" i="3"/>
  <c r="CQ7" i="3"/>
  <c r="CQ29" i="3"/>
  <c r="CQ25" i="3"/>
  <c r="CQ26" i="3" l="1"/>
  <c r="CQ10" i="3"/>
  <c r="CQ52" i="3"/>
  <c r="CQ13" i="3"/>
  <c r="CQ14" i="3"/>
  <c r="CQ28" i="3"/>
  <c r="CQ9" i="3"/>
  <c r="CQ32" i="3"/>
  <c r="CQ44" i="3"/>
  <c r="CQ6" i="3"/>
  <c r="CQ22" i="3"/>
  <c r="CQ31" i="3"/>
  <c r="CQ24" i="3"/>
  <c r="CR12" i="3" l="1"/>
  <c r="CR29" i="3"/>
  <c r="CR41" i="3"/>
  <c r="CR47" i="3"/>
  <c r="CR25" i="3"/>
  <c r="CR34" i="3"/>
  <c r="CR49" i="3"/>
  <c r="CR37" i="3"/>
  <c r="CR18" i="3"/>
  <c r="CR40" i="3"/>
  <c r="CR33" i="3"/>
  <c r="CR50" i="3"/>
  <c r="CR23" i="3"/>
  <c r="CR35" i="3"/>
  <c r="CR39" i="3"/>
  <c r="CR38" i="3"/>
  <c r="CR11" i="3"/>
  <c r="CR42" i="3"/>
  <c r="CR17" i="3"/>
  <c r="CR8" i="3"/>
  <c r="CR46" i="3"/>
  <c r="CR30" i="3"/>
  <c r="CR7" i="3"/>
  <c r="CR45" i="3"/>
  <c r="CR16" i="3"/>
  <c r="CR21" i="3"/>
  <c r="CR20" i="3"/>
  <c r="CR48" i="3"/>
  <c r="CR13" i="3"/>
  <c r="CR53" i="3"/>
  <c r="CR36" i="3"/>
  <c r="CR26" i="3"/>
  <c r="CR19" i="3"/>
  <c r="CR10" i="3"/>
  <c r="CR22" i="3"/>
  <c r="CR28" i="3"/>
  <c r="CR6" i="3"/>
  <c r="CR44" i="3"/>
  <c r="CR43" i="3"/>
  <c r="CR9" i="3"/>
  <c r="CR31" i="3"/>
  <c r="CR32" i="3"/>
  <c r="CR52" i="3"/>
  <c r="CR27" i="3"/>
  <c r="CR51" i="3"/>
  <c r="CR15" i="3"/>
  <c r="CR14" i="3"/>
  <c r="CR24" i="3"/>
  <c r="CS53" i="3" l="1"/>
  <c r="T95" i="3" s="1"/>
  <c r="CS15" i="3"/>
  <c r="U22" i="3" s="1"/>
  <c r="CS44" i="3"/>
  <c r="U80" i="3" s="1"/>
  <c r="CS10" i="3"/>
  <c r="T15" i="3" s="1"/>
  <c r="CS23" i="3"/>
  <c r="T40" i="3" s="1"/>
  <c r="CS19" i="3"/>
  <c r="U31" i="3" s="1"/>
  <c r="CS40" i="3"/>
  <c r="U70" i="3" s="1"/>
  <c r="CS43" i="3"/>
  <c r="T80" i="3" s="1"/>
  <c r="CS52" i="3"/>
  <c r="T93" i="3" s="1"/>
  <c r="CS42" i="3"/>
  <c r="T78" i="3" s="1"/>
  <c r="CS50" i="3"/>
  <c r="T92" i="3" s="1"/>
  <c r="CS27" i="3"/>
  <c r="U47" i="3" s="1"/>
  <c r="CS17" i="3"/>
  <c r="T22" i="3" s="1"/>
  <c r="CS51" i="3"/>
  <c r="U92" i="3" s="1"/>
  <c r="CS25" i="3"/>
  <c r="T39" i="3" s="1"/>
  <c r="CS48" i="3"/>
  <c r="U89" i="3" s="1"/>
  <c r="CS28" i="3"/>
  <c r="U48" i="3" s="1"/>
  <c r="CS21" i="3"/>
  <c r="T31" i="3" s="1"/>
  <c r="CS41" i="3"/>
  <c r="T71" i="3" s="1"/>
  <c r="CS32" i="3"/>
  <c r="U56" i="3" s="1"/>
  <c r="CS7" i="3"/>
  <c r="U4" i="3" s="1"/>
  <c r="CS12" i="3"/>
  <c r="T13" i="3" s="1"/>
  <c r="CS18" i="3"/>
  <c r="T30" i="3" s="1"/>
  <c r="CS33" i="3"/>
  <c r="U53" i="3" s="1"/>
  <c r="CS8" i="3"/>
  <c r="U9" i="3" s="1"/>
  <c r="CS37" i="3"/>
  <c r="T63" i="3" s="1"/>
  <c r="CS20" i="3"/>
  <c r="U30" i="3" s="1"/>
  <c r="CS11" i="3"/>
  <c r="T17" i="3" s="1"/>
  <c r="CS16" i="3"/>
  <c r="U23" i="3" s="1"/>
  <c r="CS30" i="3"/>
  <c r="T52" i="3" s="1"/>
  <c r="CS22" i="3"/>
  <c r="T38" i="3" s="1"/>
  <c r="CS47" i="3"/>
  <c r="U84" i="3" s="1"/>
  <c r="CS29" i="3"/>
  <c r="U45" i="3" s="1"/>
  <c r="CS14" i="3"/>
  <c r="U24" i="3" s="1"/>
  <c r="CS34" i="3"/>
  <c r="U65" i="3" s="1"/>
  <c r="CS26" i="3"/>
  <c r="T46" i="3" s="1"/>
  <c r="CS6" i="3"/>
  <c r="U8" i="3" s="1"/>
  <c r="CS38" i="3"/>
  <c r="T70" i="3" s="1"/>
  <c r="CS9" i="3"/>
  <c r="U5" i="3" s="1"/>
  <c r="CS31" i="3"/>
  <c r="U55" i="3" s="1"/>
  <c r="CS45" i="3"/>
  <c r="T79" i="3" s="1"/>
  <c r="CS49" i="3"/>
  <c r="U85" i="3" s="1"/>
  <c r="CS39" i="3"/>
  <c r="U71" i="3" s="1"/>
  <c r="CS24" i="3"/>
  <c r="U38" i="3" s="1"/>
  <c r="CS13" i="3"/>
  <c r="T14" i="3" s="1"/>
  <c r="CS46" i="3"/>
  <c r="U88" i="3" s="1"/>
  <c r="CS36" i="3"/>
  <c r="U62" i="3" s="1"/>
  <c r="CS35" i="3"/>
  <c r="U63" i="3" s="1"/>
  <c r="T25" i="3" l="1"/>
  <c r="T96" i="3"/>
  <c r="T76" i="3"/>
  <c r="U20" i="3"/>
  <c r="U81" i="3"/>
  <c r="T33" i="3"/>
  <c r="T65" i="3"/>
  <c r="T97" i="3"/>
  <c r="U29" i="3"/>
  <c r="U93" i="3"/>
  <c r="U28" i="3"/>
  <c r="T32" i="3"/>
  <c r="U95" i="3"/>
  <c r="U25" i="3"/>
  <c r="T5" i="3"/>
  <c r="U97" i="3"/>
  <c r="CT51" i="3" s="1"/>
  <c r="T68" i="3"/>
  <c r="T16" i="3"/>
  <c r="U73" i="3"/>
  <c r="T69" i="3"/>
  <c r="T72" i="3"/>
  <c r="CT38" i="3" s="1"/>
  <c r="U94" i="3"/>
  <c r="T47" i="3"/>
  <c r="T24" i="3"/>
  <c r="U78" i="3"/>
  <c r="T29" i="3"/>
  <c r="CT50" i="3"/>
  <c r="U77" i="3"/>
  <c r="CT44" i="3" s="1"/>
  <c r="U69" i="3"/>
  <c r="CT40" i="3" s="1"/>
  <c r="T36" i="3"/>
  <c r="U33" i="3"/>
  <c r="T62" i="3"/>
  <c r="T94" i="3"/>
  <c r="CT34" i="3"/>
  <c r="U96" i="3"/>
  <c r="CT53" i="3" s="1"/>
  <c r="T77" i="3"/>
  <c r="U37" i="3"/>
  <c r="CT24" i="3" s="1"/>
  <c r="U87" i="3"/>
  <c r="U68" i="3"/>
  <c r="CT43" i="3"/>
  <c r="T73" i="3"/>
  <c r="U64" i="3"/>
  <c r="T12" i="3"/>
  <c r="U54" i="3"/>
  <c r="U40" i="3"/>
  <c r="T44" i="3"/>
  <c r="U14" i="3"/>
  <c r="T53" i="3"/>
  <c r="CT33" i="3" s="1"/>
  <c r="U86" i="3"/>
  <c r="T8" i="3"/>
  <c r="T6" i="3"/>
  <c r="U32" i="3"/>
  <c r="T41" i="3"/>
  <c r="U76" i="3"/>
  <c r="U49" i="3"/>
  <c r="T89" i="3"/>
  <c r="U44" i="3"/>
  <c r="T60" i="3"/>
  <c r="T48" i="3"/>
  <c r="CT28" i="3" s="1"/>
  <c r="U79" i="3"/>
  <c r="T55" i="3"/>
  <c r="CT31" i="3" s="1"/>
  <c r="T57" i="3"/>
  <c r="U12" i="3"/>
  <c r="U52" i="3"/>
  <c r="T56" i="3"/>
  <c r="T85" i="3"/>
  <c r="U16" i="3"/>
  <c r="U41" i="3"/>
  <c r="T28" i="3"/>
  <c r="CT19" i="3" s="1"/>
  <c r="T61" i="3"/>
  <c r="T45" i="3"/>
  <c r="T4" i="3"/>
  <c r="CT7" i="3" s="1"/>
  <c r="CT17" i="3"/>
  <c r="T49" i="3"/>
  <c r="U46" i="3"/>
  <c r="CT35" i="3"/>
  <c r="U6" i="3"/>
  <c r="U13" i="3"/>
  <c r="T81" i="3"/>
  <c r="T9" i="3"/>
  <c r="T7" i="3"/>
  <c r="U36" i="3"/>
  <c r="U39" i="3"/>
  <c r="CT25" i="3" s="1"/>
  <c r="U21" i="3"/>
  <c r="CT23" i="3"/>
  <c r="U7" i="3"/>
  <c r="T21" i="3"/>
  <c r="T37" i="3"/>
  <c r="T23" i="3"/>
  <c r="U72" i="3"/>
  <c r="CT41" i="3" s="1"/>
  <c r="T88" i="3"/>
  <c r="T86" i="3"/>
  <c r="T54" i="3"/>
  <c r="U17" i="3"/>
  <c r="CT11" i="3" s="1"/>
  <c r="CT12" i="3"/>
  <c r="T87" i="3"/>
  <c r="CT47" i="3" s="1"/>
  <c r="U15" i="3"/>
  <c r="CT37" i="3"/>
  <c r="T84" i="3"/>
  <c r="U57" i="3"/>
  <c r="U61" i="3"/>
  <c r="T20" i="3"/>
  <c r="U60" i="3"/>
  <c r="T64" i="3"/>
  <c r="CT49" i="3"/>
  <c r="CT21" i="3"/>
  <c r="CT48" i="3"/>
  <c r="CT46" i="3"/>
  <c r="CT42" i="3"/>
  <c r="CT45" i="3"/>
  <c r="CT20" i="3"/>
  <c r="CT30" i="3"/>
  <c r="CT18" i="3"/>
  <c r="CT16" i="3"/>
  <c r="CT39" i="3"/>
  <c r="CT29" i="3"/>
  <c r="CT36" i="3"/>
  <c r="CT8" i="3"/>
  <c r="CT26" i="3" l="1"/>
  <c r="CT10" i="3"/>
  <c r="CT13" i="3"/>
  <c r="CT14" i="3"/>
  <c r="CT52" i="3"/>
  <c r="CT15" i="3"/>
  <c r="CT9" i="3"/>
  <c r="CT32" i="3"/>
  <c r="CT22" i="3"/>
  <c r="CT27" i="3"/>
  <c r="CT6" i="3"/>
  <c r="CU21" i="3" l="1"/>
  <c r="CU40" i="3"/>
  <c r="CU47" i="3"/>
  <c r="CU16" i="3"/>
  <c r="CU29" i="3"/>
  <c r="CU50" i="3"/>
  <c r="CU35" i="3"/>
  <c r="CU20" i="3"/>
  <c r="CU37" i="3"/>
  <c r="CU41" i="3"/>
  <c r="CU19" i="3"/>
  <c r="CU8" i="3"/>
  <c r="CU11" i="3"/>
  <c r="CU48" i="3"/>
  <c r="CU12" i="3"/>
  <c r="CU46" i="3"/>
  <c r="CU25" i="3"/>
  <c r="CU45" i="3"/>
  <c r="CU39" i="3"/>
  <c r="CU18" i="3"/>
  <c r="CU49" i="3"/>
  <c r="CU53" i="3"/>
  <c r="CU36" i="3"/>
  <c r="CU10" i="3"/>
  <c r="CU34" i="3"/>
  <c r="CU7" i="3"/>
  <c r="CU42" i="3"/>
  <c r="CU38" i="3"/>
  <c r="CU26" i="3"/>
  <c r="CU17" i="3"/>
  <c r="CU13" i="3"/>
  <c r="CU30" i="3"/>
  <c r="CU23" i="3"/>
  <c r="CU33" i="3"/>
  <c r="CU14" i="3"/>
  <c r="CU24" i="3"/>
  <c r="CU15" i="3"/>
  <c r="CU32" i="3"/>
  <c r="CU6" i="3"/>
  <c r="CU22" i="3"/>
  <c r="CU43" i="3"/>
  <c r="CU51" i="3"/>
  <c r="CU52" i="3"/>
  <c r="CU9" i="3"/>
  <c r="CU28" i="3"/>
  <c r="CU31" i="3"/>
  <c r="CU27" i="3"/>
  <c r="CU44" i="3"/>
  <c r="CV42" i="3" l="1"/>
  <c r="CW42" i="3" s="1"/>
  <c r="CV21" i="3"/>
  <c r="CW21" i="3" s="1"/>
  <c r="CV34" i="3"/>
  <c r="CW34" i="3" s="1"/>
  <c r="CV22" i="3"/>
  <c r="CW22" i="3" s="1"/>
  <c r="CV43" i="3"/>
  <c r="CW43" i="3" s="1"/>
  <c r="CV17" i="3"/>
  <c r="CW17" i="3" s="1"/>
  <c r="CV38" i="3"/>
  <c r="CW38" i="3" s="1"/>
  <c r="CV14" i="3"/>
  <c r="CW14" i="3" s="1"/>
  <c r="CV27" i="3"/>
  <c r="CW27" i="3" s="1"/>
  <c r="CV50" i="3"/>
  <c r="CW50" i="3" s="1"/>
  <c r="CV23" i="3"/>
  <c r="CW23" i="3" s="1"/>
  <c r="CV31" i="3"/>
  <c r="CW31" i="3" s="1"/>
  <c r="CV40" i="3"/>
  <c r="CW40" i="3" s="1"/>
  <c r="CV26" i="3"/>
  <c r="CW26" i="3" s="1"/>
  <c r="CV52" i="3"/>
  <c r="CW52" i="3" s="1"/>
  <c r="CV32" i="3"/>
  <c r="CW32" i="3" s="1"/>
  <c r="CV29" i="3"/>
  <c r="CW29" i="3" s="1"/>
  <c r="CV53" i="3"/>
  <c r="CW53" i="3" s="1"/>
  <c r="CV46" i="3"/>
  <c r="CW46" i="3" s="1"/>
  <c r="CV11" i="3"/>
  <c r="CW11" i="3" s="1"/>
  <c r="CV15" i="3"/>
  <c r="CW15" i="3" s="1"/>
  <c r="CV7" i="3"/>
  <c r="CW7" i="3" s="1"/>
  <c r="CV9" i="3"/>
  <c r="CW9" i="3" s="1"/>
  <c r="CV20" i="3"/>
  <c r="CW20" i="3" s="1"/>
  <c r="CV24" i="3"/>
  <c r="CW24" i="3" s="1"/>
  <c r="CV30" i="3"/>
  <c r="CW30" i="3" s="1"/>
  <c r="CV6" i="3"/>
  <c r="CW6" i="3" s="1"/>
  <c r="CV39" i="3"/>
  <c r="CW39" i="3" s="1"/>
  <c r="CV44" i="3"/>
  <c r="CW44" i="3" s="1"/>
  <c r="CV33" i="3"/>
  <c r="CW33" i="3" s="1"/>
  <c r="CV19" i="3"/>
  <c r="CW19" i="3" s="1"/>
  <c r="CV37" i="3"/>
  <c r="CW37" i="3" s="1"/>
  <c r="CV12" i="3"/>
  <c r="CW12" i="3" s="1"/>
  <c r="CV16" i="3"/>
  <c r="CW16" i="3" s="1"/>
  <c r="CV48" i="3"/>
  <c r="CW48" i="3" s="1"/>
  <c r="CV47" i="3"/>
  <c r="CW47" i="3" s="1"/>
  <c r="CV13" i="3"/>
  <c r="CW13" i="3" s="1"/>
  <c r="CV18" i="3"/>
  <c r="CW18" i="3" s="1"/>
  <c r="CV45" i="3"/>
  <c r="CW45" i="3" s="1"/>
  <c r="CV51" i="3"/>
  <c r="CW51" i="3" s="1"/>
  <c r="CV35" i="3"/>
  <c r="CW35" i="3" s="1"/>
  <c r="CV8" i="3"/>
  <c r="CW8" i="3" s="1"/>
  <c r="CV49" i="3"/>
  <c r="CW49" i="3" s="1"/>
  <c r="CV28" i="3"/>
  <c r="CW28" i="3" s="1"/>
  <c r="CV36" i="3"/>
  <c r="CW36" i="3" s="1"/>
  <c r="CV10" i="3"/>
  <c r="CW10" i="3" s="1"/>
  <c r="CV41" i="3"/>
  <c r="CW41" i="3" s="1"/>
  <c r="CV25" i="3"/>
  <c r="CW25" i="3" s="1"/>
  <c r="CX45" i="3" l="1"/>
  <c r="CX23" i="3"/>
  <c r="CX40" i="3"/>
  <c r="CX11" i="3"/>
  <c r="CX39" i="3"/>
  <c r="CX27" i="3"/>
  <c r="CX10" i="3"/>
  <c r="CX35" i="3"/>
  <c r="CX26" i="3"/>
  <c r="CX49" i="3"/>
  <c r="CX36" i="3"/>
  <c r="CX46" i="3"/>
  <c r="CX18" i="3"/>
  <c r="CX30" i="3"/>
  <c r="CX53" i="3"/>
  <c r="CX32" i="3"/>
  <c r="CX50" i="3"/>
  <c r="CX51" i="3"/>
  <c r="CX31" i="3"/>
  <c r="CX20" i="3"/>
  <c r="CX33" i="3"/>
  <c r="CX42" i="3"/>
  <c r="CX9" i="3"/>
  <c r="CX29" i="3"/>
  <c r="CX21" i="3"/>
  <c r="CX12" i="3"/>
  <c r="CX48" i="3"/>
  <c r="CX7" i="3"/>
  <c r="CX24" i="3"/>
  <c r="CX43" i="3"/>
  <c r="CX6" i="3"/>
  <c r="CX47" i="3"/>
  <c r="CX28" i="3"/>
  <c r="CX22" i="3"/>
  <c r="CX17" i="3"/>
  <c r="CX16" i="3"/>
  <c r="CX38" i="3"/>
  <c r="CX25" i="3"/>
  <c r="CX8" i="3"/>
  <c r="CX34" i="3"/>
  <c r="CX19" i="3"/>
  <c r="CX13" i="3"/>
  <c r="CX15" i="3"/>
  <c r="CX41" i="3"/>
  <c r="CX37" i="3"/>
  <c r="CX52" i="3"/>
  <c r="CX14" i="3"/>
  <c r="CX44" i="3"/>
  <c r="CY34" i="3" l="1"/>
  <c r="CZ34" i="3" s="1"/>
  <c r="CY14" i="3"/>
  <c r="CZ14" i="3" s="1"/>
  <c r="CY19" i="3"/>
  <c r="CZ19" i="3" s="1"/>
  <c r="CY39" i="3"/>
  <c r="CZ39" i="3" s="1"/>
  <c r="CY13" i="3"/>
  <c r="CZ13" i="3" s="1"/>
  <c r="CY7" i="3"/>
  <c r="CZ7" i="3" s="1"/>
  <c r="CY36" i="3"/>
  <c r="CZ36" i="3" s="1"/>
  <c r="CY42" i="3"/>
  <c r="CZ42" i="3" s="1"/>
  <c r="CY29" i="3"/>
  <c r="CZ29" i="3" s="1"/>
  <c r="CY30" i="3"/>
  <c r="CZ30" i="3" s="1"/>
  <c r="CY44" i="3"/>
  <c r="CZ44" i="3" s="1"/>
  <c r="CY21" i="3"/>
  <c r="CZ21" i="3" s="1"/>
  <c r="CY16" i="3"/>
  <c r="CZ16" i="3" s="1"/>
  <c r="CY47" i="3"/>
  <c r="CZ47" i="3" s="1"/>
  <c r="CY18" i="3"/>
  <c r="CZ18" i="3" s="1"/>
  <c r="CY20" i="3"/>
  <c r="CZ20" i="3" s="1"/>
  <c r="CY15" i="3"/>
  <c r="CZ15" i="3" s="1"/>
  <c r="CY51" i="3"/>
  <c r="CZ51" i="3" s="1"/>
  <c r="CY8" i="3"/>
  <c r="CZ8" i="3" s="1"/>
  <c r="CY33" i="3"/>
  <c r="CZ33" i="3" s="1"/>
  <c r="CY25" i="3"/>
  <c r="CZ25" i="3" s="1"/>
  <c r="CY6" i="3"/>
  <c r="CZ6" i="3" s="1"/>
  <c r="CY45" i="3"/>
  <c r="CZ45" i="3" s="1"/>
  <c r="CY52" i="3"/>
  <c r="CZ52" i="3" s="1"/>
  <c r="CY11" i="3"/>
  <c r="CZ11" i="3" s="1"/>
  <c r="CY27" i="3"/>
  <c r="CZ27" i="3" s="1"/>
  <c r="CY41" i="3"/>
  <c r="CZ41" i="3" s="1"/>
  <c r="CY12" i="3"/>
  <c r="CZ12" i="3" s="1"/>
  <c r="CY32" i="3"/>
  <c r="CZ32" i="3" s="1"/>
  <c r="CY50" i="3"/>
  <c r="CZ50" i="3" s="1"/>
  <c r="CY23" i="3"/>
  <c r="CZ23" i="3" s="1"/>
  <c r="CY38" i="3"/>
  <c r="CZ38" i="3" s="1"/>
  <c r="CY48" i="3"/>
  <c r="CZ48" i="3" s="1"/>
  <c r="CY37" i="3"/>
  <c r="CZ37" i="3" s="1"/>
  <c r="CY46" i="3"/>
  <c r="CZ46" i="3" s="1"/>
  <c r="CY24" i="3"/>
  <c r="CZ24" i="3" s="1"/>
  <c r="CY43" i="3"/>
  <c r="CZ43" i="3" s="1"/>
  <c r="CY26" i="3"/>
  <c r="CZ26" i="3" s="1"/>
  <c r="CY28" i="3"/>
  <c r="CZ28" i="3" s="1"/>
  <c r="CY40" i="3"/>
  <c r="CZ40" i="3" s="1"/>
  <c r="CY22" i="3"/>
  <c r="CZ22" i="3" s="1"/>
  <c r="CY31" i="3"/>
  <c r="CZ31" i="3" s="1"/>
  <c r="CY10" i="3"/>
  <c r="CZ10" i="3" s="1"/>
  <c r="CY49" i="3"/>
  <c r="CZ49" i="3" s="1"/>
  <c r="CY17" i="3"/>
  <c r="CZ17" i="3" s="1"/>
  <c r="CY9" i="3"/>
  <c r="CZ9" i="3" s="1"/>
  <c r="CY53" i="3"/>
  <c r="CZ53" i="3" s="1"/>
  <c r="CY35" i="3"/>
  <c r="CZ35" i="3" s="1"/>
  <c r="DA14" i="3" l="1"/>
  <c r="DA11" i="3"/>
  <c r="DA28" i="3"/>
  <c r="DA33" i="3"/>
  <c r="DA53" i="3"/>
  <c r="DA6" i="3"/>
  <c r="DA9" i="3"/>
  <c r="DA22" i="3"/>
  <c r="DA37" i="3"/>
  <c r="DA42" i="3"/>
  <c r="DA26" i="3"/>
  <c r="DA23" i="3"/>
  <c r="DA24" i="3"/>
  <c r="DA20" i="3"/>
  <c r="DA17" i="3"/>
  <c r="DA18" i="3"/>
  <c r="DA50" i="3"/>
  <c r="DA7" i="3"/>
  <c r="DA8" i="3"/>
  <c r="DA45" i="3"/>
  <c r="DA38" i="3"/>
  <c r="DA44" i="3"/>
  <c r="DA36" i="3"/>
  <c r="DA25" i="3"/>
  <c r="DA10" i="3"/>
  <c r="DA15" i="3"/>
  <c r="DA31" i="3"/>
  <c r="DA16" i="3"/>
  <c r="DA13" i="3"/>
  <c r="DA52" i="3"/>
  <c r="DA12" i="3"/>
  <c r="DA41" i="3"/>
  <c r="DA35" i="3"/>
  <c r="DA34" i="3"/>
  <c r="DA29" i="3"/>
  <c r="DA21" i="3"/>
  <c r="DA48" i="3"/>
  <c r="DA30" i="3"/>
  <c r="DA32" i="3"/>
  <c r="DA43" i="3"/>
  <c r="DA19" i="3"/>
  <c r="DA49" i="3"/>
  <c r="DA46" i="3"/>
  <c r="DA40" i="3"/>
  <c r="DA39" i="3"/>
  <c r="DA47" i="3"/>
  <c r="DA51" i="3"/>
  <c r="DA27" i="3"/>
  <c r="DB39" i="3" l="1"/>
  <c r="DC39" i="3" s="1"/>
  <c r="DB25" i="3"/>
  <c r="DC25" i="3" s="1"/>
  <c r="DB27" i="3"/>
  <c r="DC27" i="3" s="1"/>
  <c r="DB40" i="3"/>
  <c r="DC40" i="3" s="1"/>
  <c r="DB38" i="3"/>
  <c r="DC38" i="3" s="1"/>
  <c r="DB49" i="3"/>
  <c r="DC49" i="3" s="1"/>
  <c r="DB43" i="3"/>
  <c r="DC43" i="3" s="1"/>
  <c r="DB18" i="3"/>
  <c r="DC18" i="3" s="1"/>
  <c r="DB46" i="3"/>
  <c r="DC46" i="3" s="1"/>
  <c r="DB22" i="3"/>
  <c r="DC22" i="3" s="1"/>
  <c r="DB44" i="3"/>
  <c r="DC44" i="3" s="1"/>
  <c r="DB14" i="3"/>
  <c r="DC14" i="3" s="1"/>
  <c r="DB23" i="3"/>
  <c r="DC23" i="3" s="1"/>
  <c r="DB12" i="3"/>
  <c r="DC12" i="3" s="1"/>
  <c r="DB26" i="3"/>
  <c r="DC26" i="3" s="1"/>
  <c r="DB19" i="3"/>
  <c r="DC19" i="3" s="1"/>
  <c r="DB51" i="3"/>
  <c r="DC51" i="3" s="1"/>
  <c r="DB29" i="3"/>
  <c r="DC29" i="3" s="1"/>
  <c r="DB30" i="3"/>
  <c r="DC30" i="3" s="1"/>
  <c r="DB33" i="3"/>
  <c r="DC33" i="3" s="1"/>
  <c r="DB36" i="3"/>
  <c r="DC36" i="3" s="1"/>
  <c r="DB34" i="3"/>
  <c r="DC34" i="3" s="1"/>
  <c r="DB28" i="3"/>
  <c r="DC28" i="3" s="1"/>
  <c r="DB6" i="3"/>
  <c r="DC6" i="3" s="1"/>
  <c r="DB15" i="3"/>
  <c r="DC15" i="3" s="1"/>
  <c r="DB35" i="3"/>
  <c r="DC35" i="3" s="1"/>
  <c r="DB9" i="3"/>
  <c r="DC9" i="3" s="1"/>
  <c r="DB32" i="3"/>
  <c r="DC32" i="3" s="1"/>
  <c r="DB41" i="3"/>
  <c r="DC41" i="3" s="1"/>
  <c r="DB42" i="3"/>
  <c r="DC42" i="3" s="1"/>
  <c r="DB45" i="3"/>
  <c r="DC45" i="3" s="1"/>
  <c r="DB53" i="3"/>
  <c r="DC53" i="3" s="1"/>
  <c r="DB24" i="3"/>
  <c r="DC24" i="3" s="1"/>
  <c r="DB11" i="3"/>
  <c r="DC11" i="3" s="1"/>
  <c r="DB10" i="3"/>
  <c r="DC10" i="3" s="1"/>
  <c r="DB48" i="3"/>
  <c r="DC48" i="3" s="1"/>
  <c r="DB7" i="3"/>
  <c r="DC7" i="3" s="1"/>
  <c r="DB16" i="3"/>
  <c r="DC16" i="3" s="1"/>
  <c r="DB13" i="3"/>
  <c r="DC13" i="3" s="1"/>
  <c r="DB47" i="3"/>
  <c r="DC47" i="3" s="1"/>
  <c r="DB20" i="3"/>
  <c r="DC20" i="3" s="1"/>
  <c r="DB21" i="3"/>
  <c r="DC21" i="3" s="1"/>
  <c r="DB17" i="3"/>
  <c r="DC17" i="3" s="1"/>
  <c r="DB31" i="3"/>
  <c r="DC31" i="3" s="1"/>
  <c r="DB52" i="3"/>
  <c r="DC52" i="3" s="1"/>
  <c r="DB8" i="3"/>
  <c r="DC8" i="3" s="1"/>
  <c r="DB50" i="3"/>
  <c r="DC50" i="3" s="1"/>
  <c r="DB37" i="3"/>
  <c r="DC37" i="3" s="1"/>
  <c r="DD53" i="3" l="1"/>
  <c r="BM53" i="3" s="1"/>
  <c r="DD44" i="3"/>
  <c r="BM44" i="3" s="1"/>
  <c r="DD9" i="3"/>
  <c r="BM9" i="3" s="1"/>
  <c r="DD48" i="3"/>
  <c r="BM48" i="3" s="1"/>
  <c r="DD52" i="3"/>
  <c r="BM52" i="3" s="1"/>
  <c r="DD30" i="3"/>
  <c r="BM30" i="3" s="1"/>
  <c r="DD8" i="3"/>
  <c r="BM8" i="3" s="1"/>
  <c r="DD12" i="3"/>
  <c r="BM12" i="3" s="1"/>
  <c r="DD22" i="3"/>
  <c r="BM22" i="3" s="1"/>
  <c r="DD11" i="3"/>
  <c r="BM11" i="3" s="1"/>
  <c r="DD13" i="3"/>
  <c r="BM13"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31" i="3"/>
  <c r="BM31" i="3" s="1"/>
  <c r="DD50" i="3"/>
  <c r="BM50" i="3" s="1"/>
  <c r="DD45" i="3"/>
  <c r="BM45" i="3" s="1"/>
  <c r="DD49" i="3"/>
  <c r="BM49" i="3" s="1"/>
  <c r="DD25" i="3"/>
  <c r="BM25" i="3" s="1"/>
  <c r="DD38" i="3"/>
  <c r="BM38" i="3" s="1"/>
  <c r="DD19" i="3"/>
  <c r="BM19" i="3" s="1"/>
  <c r="DD20" i="3"/>
  <c r="BM20" i="3" s="1"/>
  <c r="DD41" i="3"/>
  <c r="BM41" i="3" s="1"/>
  <c r="DD15" i="3"/>
  <c r="BM15" i="3" s="1"/>
  <c r="DD43" i="3"/>
  <c r="BM43" i="3" s="1"/>
  <c r="DD24" i="3"/>
  <c r="BM24" i="3" s="1"/>
  <c r="DD32" i="3"/>
  <c r="BM32" i="3" s="1"/>
  <c r="DD10" i="3"/>
  <c r="BM10" i="3" s="1"/>
  <c r="DD16" i="3"/>
  <c r="BM16" i="3" s="1"/>
  <c r="DD46" i="3"/>
  <c r="BM46" i="3" s="1"/>
  <c r="DD23" i="3"/>
  <c r="BM23" i="3" s="1"/>
  <c r="DD29" i="3"/>
  <c r="BM29" i="3" s="1"/>
  <c r="DD37" i="3"/>
  <c r="BM37" i="3" s="1"/>
  <c r="DD39" i="3"/>
  <c r="BM39" i="3" s="1"/>
  <c r="DD17" i="3"/>
  <c r="BM17" i="3" s="1"/>
  <c r="DD6" i="3"/>
  <c r="BM6" i="3" s="1"/>
  <c r="DD28" i="3"/>
  <c r="BM28" i="3" s="1"/>
  <c r="DD51" i="3"/>
  <c r="BM51" i="3" s="1"/>
  <c r="DD35" i="3"/>
  <c r="BM35" i="3" s="1"/>
  <c r="DQ12" i="3" l="1"/>
  <c r="DJ12" i="3" s="1"/>
  <c r="AV9" i="3"/>
  <c r="DQ11" i="3"/>
  <c r="DJ11" i="3" s="1"/>
  <c r="AV16" i="3"/>
  <c r="AV23" i="3"/>
  <c r="AV25" i="3"/>
  <c r="AV15" i="3"/>
  <c r="DQ8" i="3"/>
  <c r="DJ8" i="3" s="1"/>
  <c r="AV8" i="3"/>
  <c r="DQ9" i="3"/>
  <c r="DJ9" i="3" s="1"/>
  <c r="AV6" i="3"/>
  <c r="DF8" i="3" s="1"/>
  <c r="DQ15" i="3"/>
  <c r="DJ15" i="3" s="1"/>
  <c r="DQ19" i="3"/>
  <c r="DJ19" i="3" s="1"/>
  <c r="AV71" i="3"/>
  <c r="DQ17" i="3"/>
  <c r="DJ17" i="3" s="1"/>
  <c r="DQ7" i="3"/>
  <c r="DJ7" i="3" s="1"/>
  <c r="DQ46" i="3"/>
  <c r="DJ46" i="3" s="1"/>
  <c r="AV73" i="3"/>
  <c r="DQ39" i="3"/>
  <c r="DJ39" i="3" s="1"/>
  <c r="DQ21" i="3"/>
  <c r="DJ21" i="3" s="1"/>
  <c r="DQ41" i="3"/>
  <c r="DJ41" i="3" s="1"/>
  <c r="AV22" i="3"/>
  <c r="AV7" i="3"/>
  <c r="DQ29" i="3"/>
  <c r="DJ29" i="3" s="1"/>
  <c r="DQ40" i="3"/>
  <c r="DJ40" i="3" s="1"/>
  <c r="AV87" i="3"/>
  <c r="DQ14" i="3"/>
  <c r="DJ14" i="3" s="1"/>
  <c r="DQ6" i="3"/>
  <c r="DJ6" i="3" s="1"/>
  <c r="DQ13" i="3"/>
  <c r="DJ13" i="3" s="1"/>
  <c r="DQ10" i="3"/>
  <c r="DJ10" i="3" s="1"/>
  <c r="AV64" i="3"/>
  <c r="DQ28" i="3"/>
  <c r="DJ28" i="3" s="1"/>
  <c r="AV17" i="3"/>
  <c r="AV14" i="3"/>
  <c r="DQ51" i="3"/>
  <c r="DJ51" i="3" s="1"/>
  <c r="AV31" i="3"/>
  <c r="DQ23" i="3"/>
  <c r="DJ23" i="3" s="1"/>
  <c r="DQ26" i="3"/>
  <c r="DJ26" i="3" s="1"/>
  <c r="AV32" i="3"/>
  <c r="DQ35" i="3"/>
  <c r="DJ35" i="3" s="1"/>
  <c r="AV46" i="3"/>
  <c r="AV80" i="3"/>
  <c r="AV81" i="3"/>
  <c r="DQ24" i="3"/>
  <c r="DJ24" i="3" s="1"/>
  <c r="DQ31" i="3"/>
  <c r="DJ31" i="3" s="1"/>
  <c r="DQ48" i="3"/>
  <c r="DJ48" i="3" s="1"/>
  <c r="AV62" i="3"/>
  <c r="DQ27" i="3"/>
  <c r="DJ27" i="3" s="1"/>
  <c r="DQ42" i="3"/>
  <c r="DJ42" i="3" s="1"/>
  <c r="AV63" i="3"/>
  <c r="DQ34" i="3"/>
  <c r="DJ34" i="3" s="1"/>
  <c r="AV39" i="3"/>
  <c r="AV55" i="3"/>
  <c r="DQ44" i="3"/>
  <c r="DJ44" i="3" s="1"/>
  <c r="DQ38" i="3"/>
  <c r="DJ38" i="3" s="1"/>
  <c r="DQ25" i="3"/>
  <c r="DJ25" i="3" s="1"/>
  <c r="AV86" i="3"/>
  <c r="AV72" i="3"/>
  <c r="DQ30" i="3"/>
  <c r="DJ30" i="3" s="1"/>
  <c r="AV79" i="3"/>
  <c r="AV56" i="3"/>
  <c r="AV54" i="3"/>
  <c r="AV49" i="3"/>
  <c r="DQ18" i="3"/>
  <c r="DJ18" i="3" s="1"/>
  <c r="AV24" i="3"/>
  <c r="AV88" i="3"/>
  <c r="AV40" i="3"/>
  <c r="AV94" i="3"/>
  <c r="AV97" i="3"/>
  <c r="AV33" i="3"/>
  <c r="AV38" i="3"/>
  <c r="DQ22" i="3"/>
  <c r="DJ22" i="3" s="1"/>
  <c r="DQ45" i="3"/>
  <c r="DJ45" i="3" s="1"/>
  <c r="DQ53" i="3"/>
  <c r="DJ53" i="3" s="1"/>
  <c r="DQ52" i="3"/>
  <c r="DJ52" i="3" s="1"/>
  <c r="AV96" i="3"/>
  <c r="AV48" i="3"/>
  <c r="AV30" i="3"/>
  <c r="DQ37" i="3"/>
  <c r="DJ37" i="3" s="1"/>
  <c r="DQ43" i="3"/>
  <c r="DJ43" i="3" s="1"/>
  <c r="DQ36" i="3"/>
  <c r="DJ36" i="3" s="1"/>
  <c r="AV41" i="3"/>
  <c r="DQ20" i="3"/>
  <c r="DJ20" i="3" s="1"/>
  <c r="DQ47" i="3"/>
  <c r="DJ47" i="3" s="1"/>
  <c r="DQ49" i="3"/>
  <c r="DJ49" i="3" s="1"/>
  <c r="AV65" i="3"/>
  <c r="AV47" i="3"/>
  <c r="DQ50" i="3"/>
  <c r="DJ50" i="3" s="1"/>
  <c r="DQ32" i="3"/>
  <c r="DJ32" i="3" s="1"/>
  <c r="DQ16" i="3"/>
  <c r="DJ16" i="3" s="1"/>
  <c r="AV95" i="3"/>
  <c r="AV57" i="3"/>
  <c r="DQ33" i="3"/>
  <c r="DJ33" i="3" s="1"/>
  <c r="AV89" i="3"/>
  <c r="AV78" i="3"/>
  <c r="AV70" i="3"/>
  <c r="DL18" i="3" l="1"/>
  <c r="AU30" i="3" s="1"/>
  <c r="DF7" i="3"/>
  <c r="DL35" i="3"/>
  <c r="AU63" i="3" s="1"/>
  <c r="DL49" i="3"/>
  <c r="AU89" i="3" s="1"/>
  <c r="DL38" i="3"/>
  <c r="AU70" i="3" s="1"/>
  <c r="DL8" i="3"/>
  <c r="AU8" i="3" s="1"/>
  <c r="DL15" i="3"/>
  <c r="AU23" i="3" s="1"/>
  <c r="DL33" i="3"/>
  <c r="AU57" i="3" s="1"/>
  <c r="DL36" i="3"/>
  <c r="AU64" i="3" s="1"/>
  <c r="DL31" i="3"/>
  <c r="AU55" i="3" s="1"/>
  <c r="DL23" i="3"/>
  <c r="AU39" i="3" s="1"/>
  <c r="DL30" i="3"/>
  <c r="AU54" i="3" s="1"/>
  <c r="DL22" i="3"/>
  <c r="AU38" i="3" s="1"/>
  <c r="DL47" i="3"/>
  <c r="AU87" i="3" s="1"/>
  <c r="DL43" i="3"/>
  <c r="AU79" i="3" s="1"/>
  <c r="DL24" i="3"/>
  <c r="AU40" i="3" s="1"/>
  <c r="DL11" i="3"/>
  <c r="DM11" i="3" s="1"/>
  <c r="DL29" i="3"/>
  <c r="DN29" i="3" s="1" a="1"/>
  <c r="DN29" i="3" s="1"/>
  <c r="DL21" i="3"/>
  <c r="AU33" i="3" s="1"/>
  <c r="DL42" i="3"/>
  <c r="AU78" i="3" s="1"/>
  <c r="DL40" i="3"/>
  <c r="AU72" i="3" s="1"/>
  <c r="DL13" i="3"/>
  <c r="AU17" i="3" s="1"/>
  <c r="DL25" i="3"/>
  <c r="AU41" i="3" s="1"/>
  <c r="DL32" i="3"/>
  <c r="AU56" i="3" s="1"/>
  <c r="DL45" i="3"/>
  <c r="DN45" i="3" s="1" a="1"/>
  <c r="DN45" i="3" s="1"/>
  <c r="DL41" i="3"/>
  <c r="DM41" i="3" s="1"/>
  <c r="DL34" i="3"/>
  <c r="AU62" i="3" s="1"/>
  <c r="DL26" i="3"/>
  <c r="AU46" i="3" s="1"/>
  <c r="DL46" i="3"/>
  <c r="AU86" i="3" s="1"/>
  <c r="DL39" i="3"/>
  <c r="AU71" i="3" s="1"/>
  <c r="DL20" i="3"/>
  <c r="DN20" i="3" s="1" a="1"/>
  <c r="DN20" i="3" s="1"/>
  <c r="DL16" i="3"/>
  <c r="AU24" i="3" s="1"/>
  <c r="DL27" i="3"/>
  <c r="AU47" i="3" s="1"/>
  <c r="DL12" i="3"/>
  <c r="AU16" i="3" s="1"/>
  <c r="DL28" i="3"/>
  <c r="AU48" i="3" s="1"/>
  <c r="DL7" i="3"/>
  <c r="DN7" i="3" s="1" a="1"/>
  <c r="DN7" i="3" s="1"/>
  <c r="DL50" i="3"/>
  <c r="DN50" i="3" s="1" a="1"/>
  <c r="DN50" i="3" s="1"/>
  <c r="DL37" i="3"/>
  <c r="AU65" i="3" s="1"/>
  <c r="DL44" i="3"/>
  <c r="AU80" i="3" s="1"/>
  <c r="DL19" i="3"/>
  <c r="AU31" i="3" s="1"/>
  <c r="DL51" i="3"/>
  <c r="AU95" i="3" s="1"/>
  <c r="DL9" i="3"/>
  <c r="AU9" i="3" s="1"/>
  <c r="DL14" i="3"/>
  <c r="DM14" i="3" s="1"/>
  <c r="DL52" i="3"/>
  <c r="AU96" i="3" s="1"/>
  <c r="DL17" i="3"/>
  <c r="AU25" i="3" s="1"/>
  <c r="DL53" i="3"/>
  <c r="AU97" i="3" s="1"/>
  <c r="DL48" i="3"/>
  <c r="AU88" i="3" s="1"/>
  <c r="DL6" i="3"/>
  <c r="AU6" i="3" s="1"/>
  <c r="DL10" i="3"/>
  <c r="AU14" i="3" s="1"/>
  <c r="DM15" i="3" l="1"/>
  <c r="DM18" i="3"/>
  <c r="DN18" i="3" a="1"/>
  <c r="DN18" i="3" s="1"/>
  <c r="DM47" i="3"/>
  <c r="AU53" i="3"/>
  <c r="AV52" i="3" s="1"/>
  <c r="AU22" i="3"/>
  <c r="AU21" i="3" s="1"/>
  <c r="AV20" i="3" s="1"/>
  <c r="DM30" i="3"/>
  <c r="DN42" i="3" a="1"/>
  <c r="DN42" i="3" s="1"/>
  <c r="DM26" i="3"/>
  <c r="DN32" i="3" a="1"/>
  <c r="DN32" i="3" s="1"/>
  <c r="DN26" i="3" a="1"/>
  <c r="DN26" i="3" s="1"/>
  <c r="DM49" i="3"/>
  <c r="DN49" i="3" a="1"/>
  <c r="DN49" i="3" s="1"/>
  <c r="DM42" i="3"/>
  <c r="DM7" i="3"/>
  <c r="DN16" i="3" a="1"/>
  <c r="DN16" i="3" s="1"/>
  <c r="DM52" i="3"/>
  <c r="DM32" i="3"/>
  <c r="DN33" i="3" a="1"/>
  <c r="DN33" i="3" s="1"/>
  <c r="AU7" i="3"/>
  <c r="AU5" i="3" s="1"/>
  <c r="AV4" i="3" s="1"/>
  <c r="DN24" i="3" a="1"/>
  <c r="DN24" i="3" s="1"/>
  <c r="DM24" i="3"/>
  <c r="DM16" i="3"/>
  <c r="DM19" i="3"/>
  <c r="DN30" i="3" a="1"/>
  <c r="DN30" i="3" s="1"/>
  <c r="DM33" i="3"/>
  <c r="DM31" i="3"/>
  <c r="DN8" i="3" a="1"/>
  <c r="DN8" i="3" s="1"/>
  <c r="DN48" i="3" a="1"/>
  <c r="DN48" i="3" s="1"/>
  <c r="DM6" i="3"/>
  <c r="DM38" i="3"/>
  <c r="DM40" i="3"/>
  <c r="DN40" i="3" a="1"/>
  <c r="DN40" i="3" s="1"/>
  <c r="DN44" i="3" a="1"/>
  <c r="DN44" i="3" s="1"/>
  <c r="DM23" i="3"/>
  <c r="DN15" i="3" a="1"/>
  <c r="DN15" i="3" s="1"/>
  <c r="DN14" i="3" a="1"/>
  <c r="DN14" i="3" s="1"/>
  <c r="DM44" i="3"/>
  <c r="DN35" i="3" a="1"/>
  <c r="DN35" i="3" s="1"/>
  <c r="DM48" i="3"/>
  <c r="DN21" i="3" a="1"/>
  <c r="DN21" i="3" s="1"/>
  <c r="DM35" i="3"/>
  <c r="DM25" i="3"/>
  <c r="DN27" i="3" a="1"/>
  <c r="DN27" i="3" s="1"/>
  <c r="DM45" i="3"/>
  <c r="DN22" i="3" a="1"/>
  <c r="DN22" i="3" s="1"/>
  <c r="DN36" i="3" a="1"/>
  <c r="DN36" i="3" s="1"/>
  <c r="DM46" i="3"/>
  <c r="DN11" i="3" a="1"/>
  <c r="DN11" i="3" s="1"/>
  <c r="AU81" i="3"/>
  <c r="AU77" i="3" s="1"/>
  <c r="AV76" i="3" s="1"/>
  <c r="DM27" i="3"/>
  <c r="DN38" i="3" a="1"/>
  <c r="DN38" i="3" s="1"/>
  <c r="DM36" i="3"/>
  <c r="DM22" i="3"/>
  <c r="DN46" i="3" a="1"/>
  <c r="DN46" i="3" s="1"/>
  <c r="AU94" i="3"/>
  <c r="AU93" i="3" s="1"/>
  <c r="AV92" i="3" s="1"/>
  <c r="DM50" i="3"/>
  <c r="AU15" i="3"/>
  <c r="AU13" i="3" s="1"/>
  <c r="AV12" i="3" s="1"/>
  <c r="DF10" i="3" s="1"/>
  <c r="AU61" i="3"/>
  <c r="AV60" i="3" s="1"/>
  <c r="DN17" i="3" a="1"/>
  <c r="DN17" i="3" s="1"/>
  <c r="AU73" i="3"/>
  <c r="AU69" i="3" s="1"/>
  <c r="AV68" i="3" s="1"/>
  <c r="DM8" i="3"/>
  <c r="DM51" i="3"/>
  <c r="DM39" i="3"/>
  <c r="AU49" i="3"/>
  <c r="AU45" i="3" s="1"/>
  <c r="AV44" i="3" s="1"/>
  <c r="DN12" i="3" a="1"/>
  <c r="DN12" i="3" s="1"/>
  <c r="DN47" i="3" a="1"/>
  <c r="DN47" i="3" s="1"/>
  <c r="DN31" i="3" a="1"/>
  <c r="DN31" i="3" s="1"/>
  <c r="AU37" i="3"/>
  <c r="AV36" i="3" s="1"/>
  <c r="AU85" i="3"/>
  <c r="AV84" i="3" s="1"/>
  <c r="DN23" i="3" a="1"/>
  <c r="DN23" i="3" s="1"/>
  <c r="DN34" i="3" a="1"/>
  <c r="DN34" i="3" s="1"/>
  <c r="DN41" i="3" a="1"/>
  <c r="DN41" i="3" s="1"/>
  <c r="DM29" i="3"/>
  <c r="DN39" i="3" a="1"/>
  <c r="DN39" i="3" s="1"/>
  <c r="DN13" i="3" a="1"/>
  <c r="DN13" i="3" s="1"/>
  <c r="DM34" i="3"/>
  <c r="DM13" i="3"/>
  <c r="DN43" i="3" a="1"/>
  <c r="DN43" i="3" s="1"/>
  <c r="DM12" i="3"/>
  <c r="DM43" i="3"/>
  <c r="DM21" i="3"/>
  <c r="DN6" i="3" a="1"/>
  <c r="DN6" i="3" s="1"/>
  <c r="DN51" i="3" a="1"/>
  <c r="DN51" i="3" s="1"/>
  <c r="DN19" i="3" a="1"/>
  <c r="DN19" i="3" s="1"/>
  <c r="DN52" i="3" a="1"/>
  <c r="DN52" i="3" s="1"/>
  <c r="DN25" i="3" a="1"/>
  <c r="DN25" i="3" s="1"/>
  <c r="DN10" i="3" a="1"/>
  <c r="DN10" i="3" s="1"/>
  <c r="DM20" i="3"/>
  <c r="DM28" i="3"/>
  <c r="DM37" i="3"/>
  <c r="DM10" i="3"/>
  <c r="DN53" i="3" a="1"/>
  <c r="DN53" i="3" s="1"/>
  <c r="AU32" i="3"/>
  <c r="AU29" i="3" s="1"/>
  <c r="AV28" i="3" s="1"/>
  <c r="DN9" i="3" a="1"/>
  <c r="DN9" i="3" s="1"/>
  <c r="DM9" i="3"/>
  <c r="DM17" i="3"/>
  <c r="DM53" i="3"/>
  <c r="DN28" i="3" a="1"/>
  <c r="DN28" i="3" s="1"/>
  <c r="DN37" i="3" a="1"/>
  <c r="DN37" i="3" s="1"/>
  <c r="DF9" i="3"/>
  <c r="DF37" i="3" l="1"/>
  <c r="DF24" i="3"/>
  <c r="DF14" i="3"/>
  <c r="DF22" i="3"/>
  <c r="DF23" i="3"/>
  <c r="DF12" i="3"/>
  <c r="DF16" i="3"/>
  <c r="DF19" i="3"/>
  <c r="DF18" i="3"/>
  <c r="DF25"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59" i="3" l="1"/>
  <c r="BJ59" i="3" s="1"/>
  <c r="D105" i="3"/>
  <c r="N122" i="3" s="1"/>
  <c r="AF122" i="3" s="1"/>
  <c r="BF63" i="3"/>
  <c r="BJ63"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l="1"/>
  <c r="BL59" i="3"/>
  <c r="AG105" i="3"/>
  <c r="D127" i="3"/>
  <c r="AG127" i="3" s="1"/>
  <c r="D124" i="3"/>
  <c r="M132" i="3" s="1"/>
  <c r="AA132" i="3" s="1"/>
  <c r="D132" i="3" s="1"/>
  <c r="D121" i="3"/>
  <c r="AG121" i="3" s="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D134" i="3" s="1"/>
  <c r="M131" i="3"/>
  <c r="AA131" i="3" s="1"/>
  <c r="D131" i="3" s="1"/>
  <c r="AG131" i="3" s="1"/>
  <c r="AG124" i="3"/>
  <c r="D120" i="3"/>
  <c r="BS63" i="3"/>
  <c r="BS68" i="3"/>
  <c r="BS66" i="3"/>
  <c r="BS65" i="3"/>
  <c r="BS58" i="3"/>
  <c r="BS69" i="3"/>
  <c r="BS60" i="3"/>
  <c r="BS64" i="3"/>
  <c r="BS67" i="3"/>
  <c r="BS62" i="3"/>
  <c r="BS61" i="3"/>
  <c r="BS59" i="3"/>
  <c r="C190" i="31"/>
  <c r="AE11" i="45"/>
  <c r="B200" i="31"/>
  <c r="AG126" i="3"/>
  <c r="N138" i="3"/>
  <c r="AF138" i="3" s="1"/>
  <c r="AG132" i="3"/>
  <c r="C211" i="31"/>
  <c r="AI19" i="45"/>
  <c r="C212" i="31"/>
  <c r="AI31" i="45"/>
  <c r="AI43" i="45"/>
  <c r="C213" i="31"/>
  <c r="C210" i="31" l="1"/>
  <c r="M138" i="3"/>
  <c r="AA138" i="3" s="1"/>
  <c r="H138" i="3" s="1"/>
  <c r="AI7" i="45"/>
  <c r="C217" i="31"/>
  <c r="AI44" i="45"/>
  <c r="C223" i="31"/>
  <c r="B223" i="31"/>
  <c r="AG134" i="3"/>
  <c r="N139" i="3"/>
  <c r="AF139" i="3" s="1"/>
  <c r="AF147" i="3" s="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C228" i="31"/>
  <c r="AM14" i="45"/>
  <c r="D138" i="3" l="1"/>
  <c r="M147" i="3" s="1"/>
  <c r="AA147" i="3"/>
  <c r="D147" i="3" s="1"/>
  <c r="AG147" i="3" s="1"/>
  <c r="D139" i="3"/>
  <c r="N143" i="3" s="1"/>
  <c r="C232" i="31"/>
  <c r="C226" i="31"/>
  <c r="AM13" i="45"/>
  <c r="AA143" i="3"/>
  <c r="C229" i="31"/>
  <c r="AM38" i="45" a="1"/>
  <c r="AM38" i="45" s="1"/>
  <c r="B232" i="31"/>
  <c r="AI8" i="45"/>
  <c r="C220" i="31"/>
  <c r="C214" i="31"/>
  <c r="B220" i="31"/>
  <c r="BV61" i="3"/>
  <c r="BV60" i="3"/>
  <c r="BV66" i="3"/>
  <c r="BV69" i="3"/>
  <c r="BV65" i="3"/>
  <c r="BV68" i="3"/>
  <c r="BV62" i="3"/>
  <c r="BV59" i="3"/>
  <c r="BV64" i="3"/>
  <c r="BV58" i="3"/>
  <c r="BV67" i="3"/>
  <c r="BV63" i="3"/>
  <c r="AA150" i="3"/>
  <c r="H147" i="3"/>
  <c r="AA151" i="3"/>
  <c r="AU26" i="45"/>
  <c r="C241" i="31"/>
  <c r="AU25" i="45" l="1"/>
  <c r="B247" i="31"/>
  <c r="C240" i="31"/>
  <c r="C247" i="31"/>
  <c r="M143" i="3"/>
  <c r="AG138" i="3"/>
  <c r="C236" i="31"/>
  <c r="AQ31" i="45"/>
  <c r="AG139" i="3"/>
  <c r="N147"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3" i="3" l="1"/>
  <c r="H139" i="3"/>
  <c r="C227" i="31"/>
  <c r="B233" i="31"/>
  <c r="AM37" i="45"/>
  <c r="C233" i="31"/>
  <c r="AA152" i="3" l="1"/>
  <c r="D143" i="3"/>
  <c r="AG143" i="3" s="1"/>
  <c r="C244" i="31"/>
  <c r="C237" i="31"/>
  <c r="B244" i="31"/>
  <c r="AQ32" i="45"/>
  <c r="AG152" i="3" l="1"/>
  <c r="AJ151" i="3" s="1"/>
  <c r="C252" i="31"/>
  <c r="AZ25" i="45"/>
  <c r="AJ155" i="3" l="1"/>
  <c r="BM29" i="45"/>
  <c r="BL29" i="45" s="1"/>
  <c r="BK29" i="45" s="1"/>
  <c r="BJ29" i="45" s="1"/>
  <c r="BI29" i="45" s="1"/>
  <c r="BH29" i="45" s="1"/>
  <c r="BM16" i="45"/>
  <c r="BL16" i="45" s="1"/>
  <c r="BK16" i="45" s="1"/>
  <c r="BJ16" i="45" s="1"/>
  <c r="BI16" i="45" s="1"/>
  <c r="BH16" i="45" s="1"/>
  <c r="BM50" i="45"/>
  <c r="BL50" i="45" s="1"/>
  <c r="BK50" i="45" s="1"/>
  <c r="BJ50" i="45" s="1"/>
  <c r="BI50" i="45" s="1"/>
  <c r="BH50" i="45" s="1"/>
  <c r="BM24" i="45"/>
  <c r="BL24" i="45" s="1"/>
  <c r="BK24" i="45" s="1"/>
  <c r="BJ24" i="45" s="1"/>
  <c r="BI24" i="45" s="1"/>
  <c r="BH24" i="45" s="1"/>
  <c r="BM18" i="45"/>
  <c r="BL18" i="45" s="1"/>
  <c r="BK18" i="45" s="1"/>
  <c r="BJ18" i="45" s="1"/>
  <c r="BI18" i="45" s="1"/>
  <c r="BH18" i="45" s="1"/>
  <c r="BM25" i="45"/>
  <c r="BL25" i="45" s="1"/>
  <c r="BK25" i="45" s="1"/>
  <c r="BJ25" i="45" s="1"/>
  <c r="BI25" i="45" s="1"/>
  <c r="BH25" i="45" s="1"/>
  <c r="BM4" i="45"/>
  <c r="BL4" i="45" s="1"/>
  <c r="BK4" i="45" s="1"/>
  <c r="BJ4" i="45" s="1"/>
  <c r="BI4" i="45" s="1"/>
  <c r="BH4" i="45" s="1"/>
  <c r="BM38" i="45"/>
  <c r="BL38" i="45" s="1"/>
  <c r="BK38" i="45" s="1"/>
  <c r="BJ38" i="45" s="1"/>
  <c r="BI38" i="45" s="1"/>
  <c r="BH38" i="45" s="1"/>
  <c r="BM12" i="45"/>
  <c r="BL12" i="45" s="1"/>
  <c r="BK12" i="45" s="1"/>
  <c r="BJ12" i="45" s="1"/>
  <c r="BI12" i="45" s="1"/>
  <c r="BH12" i="45" s="1"/>
  <c r="BM14" i="45"/>
  <c r="BL14" i="45" s="1"/>
  <c r="BK14" i="45" s="1"/>
  <c r="BJ14" i="45" s="1"/>
  <c r="BI14" i="45" s="1"/>
  <c r="BH14" i="45" s="1"/>
  <c r="BM10" i="45"/>
  <c r="BL10" i="45" s="1"/>
  <c r="BK10" i="45" s="1"/>
  <c r="BJ10" i="45" s="1"/>
  <c r="BI10" i="45" s="1"/>
  <c r="BH10" i="45" s="1"/>
  <c r="BM5" i="45"/>
  <c r="BL5" i="45" s="1"/>
  <c r="BK5" i="45" s="1"/>
  <c r="BJ5" i="45" s="1"/>
  <c r="BI5" i="45" s="1"/>
  <c r="BH5" i="45" s="1"/>
  <c r="BM28" i="45"/>
  <c r="BL28" i="45" s="1"/>
  <c r="BK28" i="45" s="1"/>
  <c r="BJ28" i="45" s="1"/>
  <c r="BI28" i="45" s="1"/>
  <c r="BH28" i="45" s="1"/>
  <c r="BM26" i="45"/>
  <c r="BL26" i="45" s="1"/>
  <c r="BK26" i="45" s="1"/>
  <c r="BJ26" i="45" s="1"/>
  <c r="BI26" i="45" s="1"/>
  <c r="BH26" i="45" s="1"/>
  <c r="BM43" i="45"/>
  <c r="BL43" i="45" s="1"/>
  <c r="BK43" i="45" s="1"/>
  <c r="BJ43" i="45" s="1"/>
  <c r="BI43" i="45" s="1"/>
  <c r="BH43" i="45" s="1"/>
  <c r="BM21" i="45"/>
  <c r="BL21" i="45" s="1"/>
  <c r="BK21" i="45" s="1"/>
  <c r="BJ21" i="45" s="1"/>
  <c r="BI21" i="45" s="1"/>
  <c r="BH21" i="45" s="1"/>
  <c r="BM23" i="45"/>
  <c r="BL23" i="45" s="1"/>
  <c r="BK23" i="45" s="1"/>
  <c r="BJ23" i="45" s="1"/>
  <c r="BI23" i="45" s="1"/>
  <c r="BH23" i="45" s="1"/>
  <c r="BM33" i="45"/>
  <c r="BL33" i="45" s="1"/>
  <c r="BK33" i="45" s="1"/>
  <c r="BJ33" i="45" s="1"/>
  <c r="BI33" i="45" s="1"/>
  <c r="BH33" i="45" s="1"/>
  <c r="BM19" i="45"/>
  <c r="BL19" i="45" s="1"/>
  <c r="BK19" i="45" s="1"/>
  <c r="BJ19" i="45" s="1"/>
  <c r="BI19" i="45" s="1"/>
  <c r="BH19" i="45" s="1"/>
  <c r="BM34" i="45"/>
  <c r="BL34" i="45" s="1"/>
  <c r="BK34" i="45" s="1"/>
  <c r="BJ34" i="45" s="1"/>
  <c r="BI34" i="45" s="1"/>
  <c r="BH34" i="45" s="1"/>
  <c r="BM35" i="45"/>
  <c r="BL35" i="45" s="1"/>
  <c r="BK35" i="45" s="1"/>
  <c r="BJ35" i="45" s="1"/>
  <c r="BI35" i="45" s="1"/>
  <c r="BH35" i="45" s="1"/>
  <c r="BM36" i="45"/>
  <c r="BL36" i="45" s="1"/>
  <c r="BK36" i="45" s="1"/>
  <c r="BJ36" i="45" s="1"/>
  <c r="BI36" i="45" s="1"/>
  <c r="BH36" i="45" s="1"/>
  <c r="BM47" i="45"/>
  <c r="BL47" i="45" s="1"/>
  <c r="BK47" i="45" s="1"/>
  <c r="BJ47" i="45" s="1"/>
  <c r="BI47" i="45" s="1"/>
  <c r="BH47" i="45" s="1"/>
  <c r="BM20" i="45"/>
  <c r="BL20" i="45" s="1"/>
  <c r="BK20" i="45" s="1"/>
  <c r="BJ20" i="45" s="1"/>
  <c r="BI20" i="45" s="1"/>
  <c r="BH20" i="45" s="1"/>
  <c r="BM22" i="45"/>
  <c r="BL22" i="45" s="1"/>
  <c r="BK22" i="45" s="1"/>
  <c r="BJ22" i="45" s="1"/>
  <c r="BI22" i="45" s="1"/>
  <c r="BH22" i="45" s="1"/>
  <c r="BM11" i="45"/>
  <c r="BL11" i="45" s="1"/>
  <c r="BK11" i="45" s="1"/>
  <c r="BJ11" i="45" s="1"/>
  <c r="BI11" i="45" s="1"/>
  <c r="BH11" i="45" s="1"/>
  <c r="BM7" i="45"/>
  <c r="BL7" i="45" s="1"/>
  <c r="BK7" i="45" s="1"/>
  <c r="BJ7" i="45" s="1"/>
  <c r="BI7" i="45" s="1"/>
  <c r="BH7" i="45" s="1"/>
  <c r="BM42" i="45"/>
  <c r="BL42" i="45" s="1"/>
  <c r="BK42" i="45" s="1"/>
  <c r="BJ42" i="45" s="1"/>
  <c r="BI42" i="45" s="1"/>
  <c r="BH42" i="45" s="1"/>
  <c r="BM30" i="45"/>
  <c r="BL30" i="45" s="1"/>
  <c r="BK30" i="45" s="1"/>
  <c r="BJ30" i="45" s="1"/>
  <c r="BI30" i="45" s="1"/>
  <c r="BH30" i="45" s="1"/>
  <c r="BM8" i="45"/>
  <c r="BL8" i="45" s="1"/>
  <c r="BK8" i="45" s="1"/>
  <c r="BJ8" i="45" s="1"/>
  <c r="BI8" i="45" s="1"/>
  <c r="BH8" i="45" s="1"/>
  <c r="BM49" i="45"/>
  <c r="BL49" i="45" s="1"/>
  <c r="BK49" i="45" s="1"/>
  <c r="BJ49" i="45" s="1"/>
  <c r="BI49" i="45" s="1"/>
  <c r="BH49" i="45" s="1"/>
  <c r="BM13" i="45"/>
  <c r="BL13" i="45" s="1"/>
  <c r="BK13" i="45" s="1"/>
  <c r="BJ13" i="45" s="1"/>
  <c r="BI13" i="45" s="1"/>
  <c r="BH13" i="45" s="1"/>
  <c r="BM6" i="45"/>
  <c r="BL6" i="45" s="1"/>
  <c r="BK6" i="45" s="1"/>
  <c r="BJ6" i="45" s="1"/>
  <c r="BI6" i="45" s="1"/>
  <c r="BH6" i="45" s="1"/>
  <c r="BM44" i="45"/>
  <c r="BL44" i="45" s="1"/>
  <c r="BK44" i="45" s="1"/>
  <c r="BJ44" i="45" s="1"/>
  <c r="BI44" i="45" s="1"/>
  <c r="BH44" i="45" s="1"/>
  <c r="BM32" i="45"/>
  <c r="BL32" i="45" s="1"/>
  <c r="BK32" i="45" s="1"/>
  <c r="BJ32" i="45" s="1"/>
  <c r="BI32" i="45" s="1"/>
  <c r="BH32" i="45" s="1"/>
  <c r="BM41" i="45"/>
  <c r="BL41" i="45" s="1"/>
  <c r="BK41" i="45" s="1"/>
  <c r="BJ41" i="45" s="1"/>
  <c r="BI41" i="45" s="1"/>
  <c r="BH41" i="45" s="1"/>
  <c r="BM40" i="45"/>
  <c r="BL40" i="45" s="1"/>
  <c r="BK40" i="45" s="1"/>
  <c r="BJ40" i="45" s="1"/>
  <c r="BI40" i="45" s="1"/>
  <c r="BH40" i="45" s="1"/>
  <c r="BM37" i="45"/>
  <c r="BL37" i="45" s="1"/>
  <c r="BK37" i="45" s="1"/>
  <c r="BJ37" i="45" s="1"/>
  <c r="BI37" i="45" s="1"/>
  <c r="BH37" i="45" s="1"/>
  <c r="BM51" i="45"/>
  <c r="BL51" i="45" s="1"/>
  <c r="BK51" i="45" s="1"/>
  <c r="BJ51" i="45" s="1"/>
  <c r="BI51" i="45" s="1"/>
  <c r="BH51" i="45" s="1"/>
  <c r="BM27" i="45"/>
  <c r="BL27" i="45" s="1"/>
  <c r="BK27" i="45" s="1"/>
  <c r="BJ27" i="45" s="1"/>
  <c r="BI27" i="45" s="1"/>
  <c r="BH27" i="45" s="1"/>
  <c r="BM17" i="45"/>
  <c r="BL17" i="45" s="1"/>
  <c r="BK17" i="45" s="1"/>
  <c r="BJ17" i="45" s="1"/>
  <c r="BI17" i="45" s="1"/>
  <c r="BH17" i="45" s="1"/>
  <c r="BM15" i="45"/>
  <c r="BL15" i="45" s="1"/>
  <c r="BK15" i="45" s="1"/>
  <c r="BJ15" i="45" s="1"/>
  <c r="BI15" i="45" s="1"/>
  <c r="BH15" i="45" s="1"/>
  <c r="BM39" i="45"/>
  <c r="BL39" i="45" s="1"/>
  <c r="BK39" i="45" s="1"/>
  <c r="BJ39" i="45" s="1"/>
  <c r="BI39" i="45" s="1"/>
  <c r="BH39" i="45" s="1"/>
  <c r="BM45" i="45"/>
  <c r="BL45" i="45" s="1"/>
  <c r="BK45" i="45" s="1"/>
  <c r="BJ45" i="45" s="1"/>
  <c r="BI45" i="45" s="1"/>
  <c r="BH45" i="45" s="1"/>
  <c r="BM46" i="45"/>
  <c r="BL46" i="45" s="1"/>
  <c r="BK46" i="45" s="1"/>
  <c r="BJ46" i="45" s="1"/>
  <c r="BI46" i="45" s="1"/>
  <c r="BH46" i="45" s="1"/>
  <c r="BM48" i="45"/>
  <c r="BL48" i="45" s="1"/>
  <c r="BK48" i="45" s="1"/>
  <c r="BJ48" i="45" s="1"/>
  <c r="BI48" i="45" s="1"/>
  <c r="BH48" i="45" s="1"/>
  <c r="BM9" i="45"/>
  <c r="BL9" i="45" s="1"/>
  <c r="BK9" i="45" s="1"/>
  <c r="BJ9" i="45" s="1"/>
  <c r="BI9" i="45" s="1"/>
  <c r="BH9" i="45" s="1"/>
  <c r="BM31" i="45"/>
  <c r="BL31" i="45" s="1"/>
  <c r="BK31" i="45" s="1"/>
  <c r="BJ31" i="45" s="1"/>
  <c r="BI31" i="45" s="1"/>
  <c r="BH31"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<sst xmlns="http://schemas.openxmlformats.org/spreadsheetml/2006/main" count="6764" uniqueCount="1523">
  <si>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</si>
  <si>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</si>
  <si>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</si>
  <si>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</si>
  <si>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</si>
  <si>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</si>
  <si>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</si>
  <si>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</si>
  <si>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</si>
  <si>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</si>
  <si>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</si>
  <si>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</si>
  <si>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</si>
  <si>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</si>
  <si>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</si>
  <si>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</si>
  <si>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</si>
  <si>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</si>
  <si>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</si>
  <si>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</si>
  <si>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</si>
  <si>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</si>
  <si>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</si>
  <si>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</si>
  <si>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</si>
  <si>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</si>
  <si>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</si>
  <si>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</si>
  <si>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</si>
  <si>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</si>
  <si>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</si>
  <si>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</si>
  <si>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</si>
  <si>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</si>
  <si>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</si>
  <si>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</si>
  <si>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</si>
  <si>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</si>
  <si>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</si>
  <si>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</si>
  <si>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</si>
  <si>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</si>
  <si>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</si>
  <si>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</si>
  <si>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</si>
  <si>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</si>
  <si>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</si>
  <si>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</si>
  <si>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</si>
  <si>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</si>
  <si>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</si>
  <si>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</si>
  <si>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</si>
  <si>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</si>
  <si>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</si>
  <si>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</si>
  <si>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</si>
  <si>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</si>
  <si>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</si>
  <si>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</si>
  <si>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</si>
  <si>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</si>
  <si>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</si>
  <si>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</si>
  <si>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</si>
  <si>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</si>
  <si>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</si>
  <si>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</si>
  <si>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</si>
  <si>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</si>
  <si>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</si>
  <si>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</si>
  <si>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</si>
  <si>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</si>
  <si>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</si>
  <si>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</si>
  <si>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</si>
  <si>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</si>
  <si>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</si>
  <si>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</si>
  <si>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</si>
  <si>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</si>
  <si>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</si>
  <si>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</si>
  <si>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</si>
  <si>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</si>
  <si>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</si>
  <si>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</si>
  <si>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</si>
  <si>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</si>
  <si>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</si>
  <si>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</si>
  <si>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</si>
  <si>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</si>
  <si>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</si>
  <si>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</si>
  <si>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</si>
  <si>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</si>
  <si>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</si>
  <si>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</si>
  <si>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</si>
  <si>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</si>
  <si>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</si>
  <si>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</si>
  <si>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</si>
  <si>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</si>
  <si>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</si>
  <si>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</si>
  <si>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</si>
  <si>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</si>
  <si>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</si>
  <si>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</si>
  <si>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</si>
  <si>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</si>
  <si>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</si>
  <si>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</si>
  <si>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</si>
  <si>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</si>
  <si>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</si>
  <si>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</si>
  <si>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</si>
  <si>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</si>
  <si>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</si>
  <si>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</si>
  <si>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</si>
  <si>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</si>
  <si>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</si>
  <si>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</si>
  <si>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</si>
  <si>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</si>
  <si>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</si>
  <si>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</si>
  <si>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</si>
  <si>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</si>
  <si>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</si>
  <si>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</si>
  <si>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</si>
  <si>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</si>
  <si>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</si>
  <si>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</si>
  <si>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</si>
  <si>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</si>
  <si>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</si>
  <si>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</si>
  <si>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</si>
  <si>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</si>
  <si>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</si>
  <si>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</si>
  <si>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</si>
  <si>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</si>
  <si>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</si>
  <si>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</si>
  <si>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</si>
  <si>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</si>
  <si>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</si>
  <si>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</si>
  <si>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</si>
  <si>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</si>
  <si>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</si>
  <si>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</si>
  <si>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</si>
  <si>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</si>
  <si>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</si>
  <si>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</si>
  <si>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</si>
  <si>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</si>
  <si>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</si>
  <si>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</si>
  <si>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</si>
  <si>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</si>
  <si>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</si>
  <si>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</si>
  <si>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</si>
  <si>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</si>
  <si>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</si>
  <si>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</si>
  <si>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</si>
  <si>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</si>
  <si>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</si>
  <si>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</si>
  <si>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</si>
  <si>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</si>
  <si>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</si>
  <si>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</si>
  <si>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</si>
  <si>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</si>
  <si>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</si>
  <si>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</si>
  <si>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</si>
  <si>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</si>
  <si>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</si>
  <si>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</si>
  <si>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</si>
  <si>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</si>
  <si>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</si>
  <si>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</si>
  <si>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</si>
  <si>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</si>
  <si>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</si>
  <si>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</si>
  <si>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</si>
  <si>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</si>
  <si>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</si>
  <si>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</si>
  <si>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</si>
  <si>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</si>
  <si>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</si>
  <si>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</si>
  <si>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</si>
  <si>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</si>
  <si>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</si>
  <si>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</si>
  <si>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</si>
  <si>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</si>
  <si>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</si>
  <si>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</si>
  <si>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</si>
  <si>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</si>
  <si>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</si>
  <si>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</si>
  <si>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</si>
  <si>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</si>
  <si>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</si>
  <si>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</si>
  <si>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</si>
  <si>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</si>
  <si>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</si>
  <si>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</si>
  <si>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</si>
  <si>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</si>
  <si>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</si>
  <si>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</si>
  <si>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</si>
  <si>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</si>
  <si>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</si>
  <si>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</si>
  <si>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</si>
  <si>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</si>
  <si>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</si>
  <si>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</si>
  <si>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</si>
  <si>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</si>
  <si>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</si>
  <si>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</si>
  <si>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</si>
  <si>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</si>
  <si>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</si>
  <si>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</si>
  <si>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</si>
  <si>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</si>
  <si>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</si>
  <si>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</si>
  <si>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</si>
  <si>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</si>
  <si>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</si>
  <si>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</si>
  <si>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</si>
  <si>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</si>
  <si>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</si>
  <si>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</si>
  <si>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</si>
  <si>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</si>
  <si>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</si>
  <si>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</si>
  <si>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</si>
  <si>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</si>
  <si>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</si>
  <si>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</si>
  <si>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</si>
  <si>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</si>
  <si>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</si>
  <si>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</si>
  <si>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</si>
  <si>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</si>
  <si>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</si>
  <si>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</si>
  <si>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</si>
  <si>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</si>
  <si>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</si>
  <si>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</si>
  <si>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</si>
  <si>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</si>
  <si>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</si>
  <si>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</si>
  <si>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</si>
  <si>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</si>
  <si>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</si>
  <si>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</si>
  <si>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</si>
  <si>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</si>
  <si>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</si>
  <si>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</si>
  <si>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</si>
  <si>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</si>
  <si>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</si>
  <si>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</si>
  <si>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</si>
  <si>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</si>
  <si>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</si>
  <si>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</si>
  <si>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</si>
  <si>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</si>
  <si>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</si>
  <si>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</si>
  <si>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</si>
  <si>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</si>
  <si>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</si>
  <si>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</si>
  <si>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</si>
  <si>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</si>
  <si>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</si>
  <si>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</si>
  <si>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</si>
  <si>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</si>
  <si>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</si>
  <si>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</si>
  <si>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</si>
  <si>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</si>
  <si>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</si>
  <si>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</si>
  <si>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</si>
  <si>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</si>
  <si>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</si>
  <si>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</si>
  <si>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</si>
  <si>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</si>
  <si>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</si>
  <si>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</si>
  <si>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</si>
  <si>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</si>
  <si>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</si>
  <si>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</si>
  <si>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</si>
  <si>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</si>
  <si>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</si>
  <si>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</si>
  <si>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</si>
  <si>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</si>
  <si>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</si>
  <si>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</si>
  <si>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</si>
  <si>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</si>
  <si>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</si>
  <si>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</si>
  <si>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</si>
  <si>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</si>
  <si>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</si>
  <si>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</si>
  <si>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</si>
  <si>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</si>
  <si>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</si>
  <si>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</si>
  <si>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</si>
  <si>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</si>
  <si>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</si>
  <si>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</si>
  <si>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</si>
  <si>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</si>
  <si>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</si>
  <si>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</si>
  <si>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</si>
  <si>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</si>
  <si>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</si>
  <si>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</si>
  <si>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</si>
  <si>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</si>
  <si>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</si>
  <si>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</si>
  <si>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</si>
  <si>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</si>
  <si>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</si>
  <si>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</si>
  <si>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</si>
  <si>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</si>
  <si>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</si>
  <si>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</si>
  <si>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</si>
  <si>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</si>
  <si>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</si>
  <si>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</si>
  <si>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</si>
  <si>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</si>
  <si>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</si>
  <si>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</si>
  <si>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</si>
  <si>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</si>
  <si>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</si>
  <si>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</si>
  <si>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</si>
  <si>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</si>
  <si>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</si>
  <si>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</si>
  <si>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</si>
  <si>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</si>
  <si>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</si>
  <si>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</si>
  <si>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</si>
  <si>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</si>
  <si>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</si>
  <si>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</si>
  <si>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</si>
  <si>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</si>
  <si>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</si>
  <si>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</si>
  <si>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</si>
  <si>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</si>
  <si>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</si>
  <si>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</si>
  <si>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</si>
  <si>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</si>
  <si>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</si>
  <si>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</si>
  <si>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</si>
  <si>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</si>
  <si>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</si>
  <si>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</si>
  <si>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</si>
  <si>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</si>
  <si>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</si>
  <si>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</si>
  <si>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</si>
  <si>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</si>
  <si>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</si>
  <si>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</si>
  <si>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</si>
  <si>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</si>
  <si>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</si>
  <si>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</si>
  <si>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</si>
  <si>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</si>
  <si>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</si>
  <si>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</si>
  <si>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</si>
  <si>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</si>
  <si>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</si>
  <si>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</si>
  <si>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</si>
  <si>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</si>
  <si>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</si>
  <si>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</si>
  <si>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</si>
  <si>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</si>
  <si>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</si>
  <si>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</si>
  <si>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</si>
  <si>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</si>
  <si>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</si>
  <si>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</si>
  <si>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</si>
  <si>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</si>
  <si>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</si>
  <si>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</si>
  <si>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</si>
  <si>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</si>
  <si>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</si>
  <si>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</si>
  <si>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</si>
  <si>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</si>
  <si>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</si>
  <si>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</si>
  <si>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</si>
  <si>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</si>
  <si>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</si>
  <si>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</si>
  <si>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</si>
  <si>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</si>
  <si>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</si>
  <si>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</si>
  <si>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</si>
  <si>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</si>
  <si>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</si>
  <si>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</si>
  <si>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</si>
  <si>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</si>
  <si>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</si>
  <si>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</si>
  <si>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</si>
  <si>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</si>
  <si>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</si>
  <si>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</si>
  <si>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</si>
  <si>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</si>
  <si>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</si>
  <si>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</si>
  <si>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</si>
  <si>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</si>
  <si>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</si>
  <si>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</si>
  <si>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</si>
  <si>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</si>
  <si>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</si>
  <si>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</si>
  <si>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</si>
  <si>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</si>
  <si>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</si>
  <si>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</si>
  <si>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</si>
  <si>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</si>
  <si>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</si>
  <si>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</si>
  <si>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</si>
  <si>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</si>
  <si>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</si>
  <si>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</si>
  <si>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</si>
  <si>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</si>
  <si>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</si>
  <si>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</si>
  <si>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</si>
  <si>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</si>
  <si>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</si>
  <si>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</si>
  <si>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</si>
  <si>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</si>
  <si>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</si>
  <si>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</si>
  <si>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</si>
  <si>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</si>
  <si>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</si>
  <si>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</si>
  <si>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</si>
  <si>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</si>
  <si>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</si>
  <si>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</si>
  <si>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</si>
  <si>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</si>
  <si>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</si>
  <si>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</si>
  <si>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</si>
  <si>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</si>
  <si>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</si>
  <si>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</si>
  <si>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</si>
  <si>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</si>
  <si>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</si>
  <si>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</si>
  <si>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</si>
  <si>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</si>
  <si>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</si>
  <si>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</si>
  <si>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</si>
  <si>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</si>
  <si>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</si>
  <si>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</si>
  <si>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</si>
  <si>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</si>
  <si>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</si>
  <si>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</si>
  <si>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</si>
  <si>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</si>
  <si>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</si>
  <si>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</si>
  <si>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</si>
  <si>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</si>
  <si>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</si>
  <si>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</si>
  <si>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</si>
  <si>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</si>
  <si>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</si>
  <si>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</si>
  <si>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</si>
  <si>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</si>
  <si>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</si>
  <si>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</si>
  <si>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</si>
  <si>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</si>
  <si>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</si>
  <si>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</si>
  <si>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</si>
  <si>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</si>
  <si>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</si>
  <si>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</si>
  <si>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</si>
  <si>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</si>
  <si>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</si>
  <si>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</si>
  <si>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</si>
  <si>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</si>
  <si>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</si>
  <si>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</si>
  <si>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</si>
  <si>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</si>
  <si>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</si>
  <si>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</si>
  <si>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</si>
  <si>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</si>
  <si>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</si>
  <si>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</si>
  <si>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</si>
  <si>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</si>
  <si>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</si>
  <si>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</si>
  <si>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</si>
  <si>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</si>
  <si>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</si>
  <si>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</si>
  <si>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</si>
  <si>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</si>
  <si>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</si>
  <si>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</si>
  <si>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</si>
  <si>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</si>
  <si>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</si>
  <si>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</si>
  <si>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</si>
  <si>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</si>
  <si>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</si>
  <si>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</si>
  <si>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</si>
  <si>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</si>
  <si>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</si>
  <si>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</si>
  <si>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</si>
  <si>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</si>
  <si>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</si>
  <si>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</si>
  <si>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</si>
  <si>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</si>
  <si>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</si>
  <si>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</si>
  <si>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</si>
  <si>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</si>
  <si>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</si>
  <si>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</si>
  <si>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</si>
  <si>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</si>
  <si>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</si>
  <si>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</si>
  <si>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</si>
  <si>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</si>
  <si>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</si>
  <si>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</si>
  <si>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</si>
  <si>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</si>
  <si>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</si>
  <si>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</si>
  <si>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</si>
  <si>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</si>
  <si>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</si>
  <si>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</si>
  <si>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</si>
  <si>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</si>
  <si>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</si>
  <si>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</si>
  <si>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</si>
  <si>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</si>
  <si>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</si>
  <si>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</si>
  <si>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</si>
  <si>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</si>
  <si>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</si>
  <si>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</si>
  <si>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</si>
  <si>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</si>
  <si>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</si>
  <si>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</si>
  <si>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</si>
  <si>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</si>
  <si>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</si>
  <si>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</si>
  <si>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</si>
  <si>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</si>
  <si>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</si>
  <si>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</si>
  <si>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</si>
  <si>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</si>
  <si>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</si>
  <si>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</si>
  <si>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</si>
  <si>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</si>
  <si>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</si>
  <si>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</si>
  <si>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</si>
  <si>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</si>
  <si>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</si>
  <si>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</si>
  <si>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</si>
  <si>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</si>
  <si>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</si>
  <si>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</si>
  <si>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</si>
  <si>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</si>
  <si>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</si>
  <si>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</si>
  <si>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</si>
  <si>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</si>
  <si>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</si>
  <si>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</si>
  <si>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</si>
  <si>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</si>
  <si>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</si>
  <si>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</si>
  <si>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</si>
  <si>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</si>
  <si>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</si>
  <si>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</si>
  <si>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</si>
  <si>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</si>
  <si>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</si>
  <si>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</si>
  <si>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</si>
  <si>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</si>
  <si>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</si>
  <si>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</si>
  <si>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</si>
  <si>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</si>
  <si>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</si>
  <si>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</si>
  <si>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</si>
  <si>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</si>
  <si>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</si>
  <si>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</si>
  <si>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</si>
  <si>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</si>
  <si>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</si>
  <si>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</si>
  <si>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</si>
  <si>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</si>
  <si>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</si>
  <si>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</si>
  <si>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</si>
  <si>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</si>
  <si>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</si>
  <si>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</si>
  <si>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</si>
  <si>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</si>
  <si>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</si>
  <si>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</si>
  <si>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</si>
  <si>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</si>
  <si>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</si>
  <si>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</si>
  <si>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</si>
  <si>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</si>
  <si>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</si>
  <si>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</si>
  <si>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</si>
  <si>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</si>
  <si>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</si>
  <si>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</si>
  <si>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</si>
  <si>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</si>
  <si>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</si>
  <si>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</si>
  <si>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</si>
  <si>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</si>
  <si>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</si>
  <si>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</si>
  <si>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</si>
  <si>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</si>
  <si>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</si>
  <si>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</si>
  <si>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</si>
  <si>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</si>
  <si>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</si>
  <si>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</si>
  <si>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</si>
  <si>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</si>
  <si>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</si>
  <si>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</si>
  <si>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</si>
  <si>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</si>
  <si>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</si>
  <si>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</si>
  <si>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</si>
  <si>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</si>
  <si>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</si>
  <si>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</si>
  <si>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</si>
  <si>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</si>
  <si>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</si>
  <si>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</si>
  <si>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</si>
  <si>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</si>
  <si>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</si>
  <si>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</si>
  <si>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</si>
  <si>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</si>
  <si>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</si>
  <si>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</si>
  <si>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</si>
  <si>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</si>
  <si>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</si>
  <si>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</si>
  <si>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</si>
  <si>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</si>
  <si>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</si>
  <si>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</si>
  <si>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</si>
  <si>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</si>
  <si>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</si>
  <si>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</si>
  <si>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</si>
  <si>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</si>
  <si>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</si>
  <si>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</si>
  <si>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</si>
  <si>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</si>
  <si>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</si>
  <si>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</si>
  <si>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</si>
  <si>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</si>
  <si>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</si>
  <si>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</si>
  <si>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</si>
  <si>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</si>
  <si>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</si>
  <si>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</si>
  <si>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</si>
  <si>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</si>
  <si>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</si>
  <si>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</si>
  <si>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</si>
  <si>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</si>
  <si>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</si>
  <si>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</si>
  <si>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</si>
  <si>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</si>
  <si>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</si>
  <si>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</si>
  <si>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</si>
  <si>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</si>
  <si>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</si>
  <si>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</si>
  <si>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</si>
  <si>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</si>
  <si>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</si>
  <si>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</si>
  <si>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</si>
  <si>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</si>
  <si>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</si>
  <si>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</si>
  <si>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</si>
  <si>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</si>
  <si>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</si>
  <si>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</si>
  <si>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</si>
  <si>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</si>
  <si>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</si>
  <si>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</si>
  <si>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</si>
  <si>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</si>
  <si>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</si>
  <si>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</si>
  <si>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</si>
  <si>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</si>
  <si>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</si>
  <si>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</si>
  <si>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</si>
  <si>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</si>
  <si>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</si>
  <si>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</si>
  <si>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</si>
  <si>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</si>
  <si>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</si>
  <si>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</si>
  <si>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</si>
  <si>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</si>
  <si>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</si>
  <si>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</si>
  <si>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</si>
  <si>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</si>
  <si>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</si>
  <si>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</si>
  <si>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</si>
  <si>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</si>
  <si>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</si>
  <si>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</si>
  <si>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</si>
  <si>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</si>
  <si>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</si>
  <si>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</si>
  <si>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</si>
  <si>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</si>
  <si>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</si>
  <si>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</si>
  <si>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</si>
  <si>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</si>
  <si>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</si>
  <si>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</si>
  <si>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</si>
  <si>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</si>
  <si>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</si>
  <si>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</si>
  <si>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</si>
  <si>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</si>
  <si>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</si>
  <si>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</si>
  <si>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</si>
  <si>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</si>
  <si>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</si>
  <si>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</si>
  <si>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</si>
  <si>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</si>
  <si>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</si>
  <si>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</si>
  <si>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</si>
  <si>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</si>
  <si>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</si>
  <si>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</si>
  <si>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</si>
  <si>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</si>
  <si>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</si>
  <si>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</si>
  <si>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</si>
  <si>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</si>
  <si>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</si>
  <si>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</si>
  <si>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</si>
  <si>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</si>
  <si>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</si>
  <si>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</si>
  <si>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</si>
  <si>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</si>
  <si>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</si>
  <si>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</si>
  <si>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</si>
  <si>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</si>
  <si>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</si>
  <si>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</si>
  <si>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</si>
  <si>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</si>
  <si>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</si>
  <si>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</si>
  <si>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</si>
  <si>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</si>
  <si>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</si>
  <si>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</si>
  <si>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</si>
  <si>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</si>
  <si>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</si>
  <si>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</si>
  <si>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</si>
  <si>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</si>
  <si>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</si>
  <si>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</si>
  <si>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</si>
  <si>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</si>
  <si>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</si>
  <si>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</si>
  <si>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</si>
  <si>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</si>
  <si>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</si>
  <si>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</si>
  <si>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</si>
  <si>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</si>
  <si>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</si>
  <si>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</si>
  <si>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</si>
  <si>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</si>
  <si>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</si>
  <si>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</si>
  <si>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</si>
  <si>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</si>
  <si>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</si>
  <si>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</si>
  <si>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</si>
  <si>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</si>
  <si>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</si>
  <si>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</si>
  <si>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</si>
  <si>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</si>
  <si>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</si>
  <si>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</si>
  <si>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</si>
  <si>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</si>
  <si>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</si>
  <si>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</si>
  <si>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</si>
  <si>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</si>
  <si>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</si>
  <si>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</si>
  <si>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</si>
  <si>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</si>
  <si>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</si>
  <si>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</si>
  <si>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</si>
  <si>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</si>
  <si>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</si>
  <si>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</si>
  <si>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</si>
  <si>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</si>
  <si>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</si>
  <si>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</si>
  <si>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</si>
  <si>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</si>
  <si>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</si>
  <si>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</si>
  <si>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</si>
  <si>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</si>
  <si>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</si>
  <si>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</si>
  <si>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</si>
  <si>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</si>
  <si>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</si>
  <si>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</si>
  <si>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</si>
  <si>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</si>
  <si>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</si>
  <si>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</si>
  <si>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</si>
  <si>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</si>
  <si>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</si>
  <si>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</si>
  <si>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</si>
  <si>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</si>
  <si>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</si>
  <si>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</si>
  <si>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</si>
  <si>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</si>
  <si>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</si>
  <si>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</si>
  <si>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</si>
  <si>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</si>
  <si>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</si>
  <si>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</si>
  <si>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</si>
  <si>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</si>
  <si>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</si>
  <si>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</si>
  <si>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</si>
  <si>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</si>
  <si>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</si>
  <si>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</si>
  <si>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</si>
  <si>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</si>
  <si>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</si>
  <si>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</si>
  <si>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</si>
  <si>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</si>
  <si>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</si>
  <si>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</si>
  <si>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</si>
  <si>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</si>
  <si>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</si>
  <si>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</si>
  <si>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</si>
  <si>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</si>
  <si>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</si>
  <si>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</si>
  <si>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</si>
  <si>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</si>
  <si>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</si>
  <si>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</si>
  <si>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</si>
  <si>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</si>
  <si>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</si>
  <si>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</si>
  <si>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</si>
  <si>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</si>
  <si>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</si>
  <si>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</si>
  <si>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</si>
  <si>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</si>
  <si>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</si>
  <si>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</si>
  <si>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</si>
  <si>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</si>
  <si>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</si>
  <si>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</si>
  <si>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</si>
  <si>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</si>
  <si>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</si>
  <si>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</si>
  <si>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</si>
  <si>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</si>
  <si>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</si>
  <si>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</si>
  <si>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</si>
  <si>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</si>
  <si>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</si>
  <si>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</si>
  <si>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</si>
  <si>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</si>
  <si>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</si>
  <si>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</si>
  <si>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</si>
  <si>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</si>
  <si>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</si>
  <si>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</si>
  <si>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</si>
  <si>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</si>
  <si>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</si>
  <si>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</si>
  <si>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</si>
  <si>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</si>
  <si>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</si>
  <si>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</si>
  <si>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</si>
  <si>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</si>
  <si>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</si>
  <si>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</si>
  <si>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</si>
  <si>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</si>
  <si>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</si>
  <si>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</si>
  <si>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</si>
  <si>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</si>
  <si>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</si>
  <si>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</si>
  <si>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</si>
  <si>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</si>
  <si>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</si>
  <si>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</si>
  <si>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</si>
  <si>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</si>
  <si>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</si>
  <si>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</si>
  <si>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</si>
  <si>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</si>
  <si>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</si>
  <si>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</si>
  <si>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</si>
  <si>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</si>
  <si>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</si>
  <si>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</si>
  <si>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</si>
  <si>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</si>
  <si>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</si>
  <si>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</si>
  <si>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</si>
  <si>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</si>
  <si>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</si>
  <si>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</si>
  <si>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</si>
  <si>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</si>
  <si>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</si>
  <si>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</si>
  <si>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</si>
  <si>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</si>
  <si>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</si>
  <si>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</si>
  <si>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</si>
  <si>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</si>
  <si>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</si>
  <si>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</si>
  <si>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</si>
  <si>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</si>
  <si>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</si>
  <si>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</si>
  <si>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</si>
  <si>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</si>
  <si>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</si>
  <si>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</si>
  <si>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</si>
  <si>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</si>
  <si>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</si>
  <si>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</si>
  <si>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</si>
  <si>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</si>
  <si>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</si>
  <si>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</si>
  <si>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</si>
  <si>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</si>
  <si>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</si>
  <si>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</si>
  <si>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</si>
  <si>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</si>
  <si>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</si>
  <si>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</si>
  <si>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</si>
  <si>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</si>
  <si>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</si>
  <si>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</si>
  <si>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</si>
  <si>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</si>
  <si>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</si>
  <si>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</si>
  <si>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</si>
  <si>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</si>
  <si>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</si>
  <si>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</si>
  <si>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</si>
  <si>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</si>
  <si>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</si>
  <si>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</si>
  <si>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</si>
  <si>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</si>
  <si>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</si>
  <si>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</si>
  <si>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</si>
  <si>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</si>
  <si>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</si>
  <si>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</si>
  <si>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</si>
  <si>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</si>
  <si>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</si>
  <si>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</si>
  <si>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</si>
  <si>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</si>
  <si>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</si>
  <si>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</si>
  <si>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</si>
  <si>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</si>
  <si>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</si>
  <si>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</si>
  <si>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</si>
  <si>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</si>
  <si>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</si>
  <si>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</si>
  <si>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</si>
  <si>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</si>
  <si>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</si>
  <si>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</si>
  <si>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</si>
  <si>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</si>
  <si>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</si>
  <si>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</si>
  <si>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</si>
  <si>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</si>
  <si>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</si>
  <si>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</si>
  <si>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</si>
  <si>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</si>
  <si>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</si>
  <si>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</si>
  <si>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</si>
  <si>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</si>
  <si>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</si>
  <si>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</si>
  <si>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</si>
  <si>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</si>
  <si>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</si>
  <si>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</si>
  <si>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</si>
  <si>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</si>
  <si>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</si>
  <si>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</si>
  <si>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</si>
  <si>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</si>
  <si>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</si>
  <si>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</si>
  <si>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</si>
  <si>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</si>
  <si>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</si>
  <si>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</si>
  <si>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</si>
  <si>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</si>
  <si>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</si>
  <si>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</si>
  <si>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</si>
  <si>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</si>
  <si>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</si>
  <si>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</si>
  <si>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</si>
  <si>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</si>
  <si>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</si>
  <si>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</si>
  <si>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</si>
  <si>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</si>
  <si>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</si>
  <si>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</si>
  <si>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</si>
  <si>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</si>
  <si>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</si>
  <si>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</si>
  <si>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</si>
  <si>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</si>
  <si>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</si>
  <si>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</si>
  <si>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</si>
  <si>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</si>
  <si>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</si>
  <si>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</si>
  <si>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</si>
  <si>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</si>
  <si>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</si>
  <si>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</si>
  <si>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</si>
  <si>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</si>
  <si>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</si>
  <si>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</si>
  <si>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</si>
  <si>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</si>
  <si>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</si>
  <si>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</si>
  <si>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</si>
  <si>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</si>
  <si>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</si>
  <si>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</si>
  <si>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</si>
  <si>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</si>
  <si>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</si>
  <si>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</si>
  <si>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</si>
  <si>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</si>
  <si>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</si>
  <si>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</si>
  <si>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</si>
  <si>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</si>
  <si>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</si>
  <si>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</si>
  <si>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</si>
  <si>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</si>
  <si>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</si>
  <si>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</si>
  <si>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</si>
  <si>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</si>
  <si>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</si>
  <si>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</si>
  <si>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</si>
  <si>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</si>
  <si>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</si>
  <si>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</si>
  <si>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</si>
  <si>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</si>
  <si>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</si>
  <si>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</si>
  <si>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</si>
  <si>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</si>
  <si>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</si>
  <si>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</si>
  <si>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</si>
  <si>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</si>
  <si>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</si>
  <si>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</si>
  <si>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</si>
  <si>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</si>
  <si>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</si>
  <si>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</si>
  <si>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</si>
  <si>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</si>
  <si>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</si>
  <si>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</si>
  <si>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</si>
  <si>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</si>
  <si>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</si>
  <si>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</si>
  <si>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</si>
  <si>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</si>
  <si>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</si>
  <si>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</si>
  <si>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</si>
  <si>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</si>
  <si>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</si>
  <si>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</si>
  <si>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</si>
  <si>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</si>
  <si>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</si>
  <si>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</si>
  <si>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</si>
  <si>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</si>
  <si>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</si>
  <si>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</si>
  <si>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</si>
  <si>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</si>
  <si>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</si>
  <si>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</si>
  <si>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</si>
  <si>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</si>
  <si>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</si>
  <si>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</si>
  <si>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</si>
  <si>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</si>
  <si>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</si>
  <si>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</si>
  <si>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</si>
  <si>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</si>
  <si>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</si>
  <si>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</si>
  <si>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</si>
  <si>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</si>
  <si>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</si>
  <si>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</si>
  <si>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</si>
  <si>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</si>
  <si>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</si>
  <si>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</si>
  <si>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</si>
  <si>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</si>
  <si>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</si>
  <si>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</si>
  <si>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</si>
  <si>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</si>
  <si>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</si>
  <si>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</si>
  <si>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</si>
  <si>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</si>
  <si>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</si>
  <si>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</si>
  <si>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</si>
  <si>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</si>
  <si>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</si>
  <si>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</si>
  <si>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</si>
  <si>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</si>
  <si>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</si>
  <si>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</si>
  <si>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</si>
  <si>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</si>
  <si>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</si>
  <si>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</si>
  <si>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</si>
  <si>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</si>
  <si>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</si>
  <si>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</si>
  <si>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</si>
  <si>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</si>
  <si>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</si>
  <si>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</si>
  <si>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</si>
  <si>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</si>
  <si>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</si>
  <si>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</si>
  <si>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</si>
  <si>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</si>
  <si>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</si>
  <si>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</si>
  <si>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</si>
  <si>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</si>
  <si>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</si>
  <si>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</si>
  <si>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</si>
  <si>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</si>
  <si>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</si>
  <si>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</si>
  <si>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</si>
  <si>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</si>
  <si>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</si>
  <si>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</si>
  <si>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</si>
  <si>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</si>
  <si>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</si>
  <si>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</si>
  <si>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</si>
  <si>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</si>
  <si>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</si>
  <si>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</si>
  <si>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</si>
  <si>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</si>
  <si>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</si>
  <si>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</si>
  <si>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</si>
  <si>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</si>
  <si>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</si>
  <si>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</si>
  <si>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</si>
  <si>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</si>
  <si>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</si>
  <si>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</si>
  <si>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</si>
  <si>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</si>
  <si>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</si>
  <si>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</si>
  <si>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</si>
  <si>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</si>
  <si>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</si>
  <si>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</si>
  <si>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</si>
  <si>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</si>
  <si>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</si>
  <si>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</si>
  <si>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</si>
  <si>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</si>
  <si>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</si>
  <si>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</si>
  <si>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</si>
  <si>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</si>
  <si>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</si>
  <si>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</si>
  <si>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</si>
  <si>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</si>
  <si>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</si>
  <si>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</si>
  <si>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</si>
  <si>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</si>
  <si>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</si>
  <si>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</si>
  <si>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</si>
  <si>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</si>
  <si>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</si>
  <si>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</si>
  <si>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</si>
  <si>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</si>
  <si>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</si>
  <si>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</si>
  <si>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</si>
  <si>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</si>
  <si>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</si>
  <si>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</si>
  <si>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</si>
  <si>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</si>
  <si>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</si>
  <si>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</si>
  <si>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</si>
  <si>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</si>
  <si>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</si>
  <si>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</si>
  <si>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</si>
  <si>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</si>
  <si>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</si>
  <si>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</si>
  <si>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</si>
  <si>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</si>
  <si>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</si>
  <si>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</si>
  <si>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</si>
  <si>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</si>
  <si>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</si>
  <si>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</si>
  <si>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</si>
  <si>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</si>
  <si>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</si>
  <si>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</si>
  <si>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</si>
  <si>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</si>
  <si>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</si>
  <si>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</si>
  <si>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</si>
  <si>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</si>
  <si>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</si>
  <si>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</si>
  <si>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</si>
  <si>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</si>
  <si>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</si>
  <si>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</si>
  <si>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Mbappe</t>
  </si>
  <si>
    <t>Jose</t>
  </si>
  <si>
    <t>Harry Kane</t>
  </si>
  <si>
    <t>Cristiano Ronaldo</t>
  </si>
  <si>
    <t>Vitinha</t>
  </si>
  <si>
    <t>Vinicius</t>
  </si>
  <si>
    <t>Dembelé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</si>
</sst>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1" sqref="C11"/>
      <extLst>
        <ext xmlns:xlsdti="http://schemas.microsoft.com/office/spreadsheetml/2023/showDataTypeIcons" uri="{77bfe23e-c014-4d31-8a63-9c772dbf06b6}">
          <xlsdti:showDataTypeIcons visible="0"/>
        </ext>
      </extLst>
    </sheetView>
  </sheetViews>
  <sheetFormatPr defaultColWidth="0" defaultRowHeight="14.5"/>
  <cols>
    <col min="1" max="1" width="3.81640625" style="299" customWidth="1"/>
    <col min="2" max="2" width="15.81640625" style="299" customWidth="1"/>
    <col min="3" max="3" width="26.81640625" style="299" customWidth="1"/>
    <col min="4" max="4" width="5.81640625" style="299" customWidth="1"/>
    <col min="5" max="9" width="11.26953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5"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4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4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4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1517</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4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49999999999999"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AA143"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7265625" customWidth="1"/>
    <col min="24" max="24" width="11.81640625" customWidth="1"/>
    <col min="25" max="25" width="6.81640625" customWidth="1"/>
    <col min="26" max="26" width="5.1796875" customWidth="1"/>
    <col min="27" max="27" width="20.81640625" customWidth="1"/>
    <col min="28" max="28" width="3.26953125" customWidth="1"/>
    <col min="29" max="30" width="5.26953125" customWidth="1"/>
    <col min="31" max="31" width="3.26953125" customWidth="1"/>
    <col min="32" max="32" width="20.81640625" customWidth="1"/>
    <col min="33" max="33" width="3.453125" customWidth="1"/>
    <col min="34" max="34" width="5.1796875" style="187" customWidth="1"/>
    <col min="35" max="35" width="3.26953125" style="187" customWidth="1"/>
    <col min="36" max="36" width="4.26953125" customWidth="1"/>
    <col min="37" max="37" width="3.26953125" customWidth="1"/>
    <col min="38" max="38" width="20.81640625" customWidth="1"/>
    <col min="39" max="39" width="5.81640625" customWidth="1"/>
    <col min="40" max="43" width="4.26953125" customWidth="1"/>
    <col min="44" max="45" width="4.7265625" customWidth="1"/>
    <col min="46" max="46" width="4.81640625" customWidth="1"/>
    <col min="47" max="47" width="3.26953125" style="190" customWidth="1"/>
    <col min="48" max="48" width="18.453125" style="194" customWidth="1"/>
    <col min="49" max="49" width="3.453125" style="7" customWidth="1"/>
    <col min="50" max="50" width="3.453125" style="4" customWidth="1"/>
    <col min="51" max="51" width="19.7265625" style="15" customWidth="1"/>
    <col min="52" max="52" width="15.81640625" style="7" customWidth="1"/>
    <col min="53" max="53" width="3" customWidth="1"/>
    <col min="54" max="54" width="11" hidden="1" customWidth="1"/>
    <col min="55" max="55" width="6" hidden="1" customWidth="1"/>
    <col min="56" max="56" width="17" hidden="1" customWidth="1"/>
    <col min="57" max="57" width="9.26953125" hidden="1" customWidth="1"/>
    <col min="58" max="58" width="2.1796875" hidden="1" customWidth="1"/>
    <col min="59" max="59" width="8.26953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7265625" hidden="1" customWidth="1"/>
    <col min="67" max="69" width="10" hidden="1" customWidth="1"/>
    <col min="70" max="71" width="7.26953125" hidden="1" customWidth="1"/>
    <col min="72" max="100" width="8" hidden="1" customWidth="1"/>
    <col min="101" max="101" width="4.1796875" hidden="1" customWidth="1"/>
    <col min="102" max="102" width="7.26953125" hidden="1" customWidth="1"/>
    <col min="103" max="103" width="0" hidden="1" customWidth="1"/>
    <col min="104" max="104" width="3.1796875" hidden="1" customWidth="1"/>
    <col min="105" max="105" width="8.7265625" hidden="1" customWidth="1"/>
    <col min="106" max="106" width="8" hidden="1" customWidth="1"/>
    <col min="107" max="107" width="15.81640625" hidden="1" customWidth="1"/>
    <col min="108" max="108" width="11" hidden="1" customWidth="1"/>
    <col min="109" max="109" width="2.72656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P.2 (2)</v>
      </c>
      <c r="F4" s="16" t="str">
        <f t="shared" ref="F4:F9" ca="1" si="2">IF(D4="Pendiente","-",INDEX($BT$6:$BT$53,MATCH($AF4,$BD$6:$BD$53,0)))</f>
        <v>-</v>
      </c>
      <c r="G4" s="16"/>
      <c r="H4" s="16" t="str">
        <f t="shared" ref="H4:H9" ca="1" si="3">IF(D4="Pendiente","-",INDEX($BZ$6:$BZ$53,MATCH($AA4,$BD$6:$BD$53,0)))</f>
        <v>P.2 (2)</v>
      </c>
      <c r="I4" s="16" t="str">
        <f t="shared" ref="I4:I9" ca="1" si="4">IF(D4="Pendiente","-",INDEX($BZ$6:$BZ$53,MATCH($AF4,$BD$6:$BD$53,0)))</f>
        <v>-</v>
      </c>
      <c r="J4" s="16"/>
      <c r="K4" s="16" t="str">
        <f t="shared" ref="K4:K9" ca="1" si="5">IF(D4="Pendiente","-",INDEX($CE$6:$CE$53,MATCH($AA4,$BD$6:$BD$53,0)))</f>
        <v>P.2 (2)</v>
      </c>
      <c r="L4" s="16" t="str">
        <f t="shared" ref="L4:L9" ca="1" si="6">IF(D4="Pendiente","-",INDEX($CE$6:$CE$53,MATCH($AF4,$BD$6:$BD$53,0)))</f>
        <v>-</v>
      </c>
      <c r="M4" s="16"/>
      <c r="N4" s="16" t="str">
        <f t="shared" ref="N4:N9" ca="1" si="7">IF(D4="Pendiente","-",INDEX($CH$6:$CH$53,MATCH($AA4,$BD$6:$BD$53,0)))</f>
        <v>P.2 (2)</v>
      </c>
      <c r="O4" s="16" t="str">
        <f t="shared" ref="O4:O9" ca="1" si="8">IF(D4="Pendiente","-",INDEX($CH$6:$CH$53,MATCH($AF4,$BD$6:$BD$53,0)))</f>
        <v>-</v>
      </c>
      <c r="P4" s="16"/>
      <c r="Q4" s="16" t="str">
        <f t="shared" ref="Q4:Q9" ca="1" si="9">IF(D4="Pendiente","-",INDEX($CN$6:$CN$53,MATCH($AA4,$BD$6:$BD$53,0)))</f>
        <v>P.2 (2)</v>
      </c>
      <c r="R4" s="16" t="str">
        <f t="shared" ref="R4:R9" ca="1" si="10">IF(D4="Pendiente","-",INDEX($CN$6:$CN$53,MATCH($AF4,$BD$6:$BD$53,0)))</f>
        <v>-</v>
      </c>
      <c r="S4" s="16"/>
      <c r="T4" s="16" t="str">
        <f t="shared" ref="T4:T9" ca="1" si="11">IF(D4="Pendiente","-",INDEX($CS$6:$CS$53,MATCH($AA4,$BD$6:$BD$53,0)))</f>
        <v>P.2 (2)</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Local</v>
      </c>
      <c r="E5" s="16" t="str">
        <f t="shared" ca="1" si="1"/>
        <v>-</v>
      </c>
      <c r="F5" s="16" t="str">
        <f t="shared" ca="1" si="2"/>
        <v>P.2 (2)</v>
      </c>
      <c r="G5" s="16"/>
      <c r="H5" s="16" t="str">
        <f t="shared" ca="1" si="3"/>
        <v>-</v>
      </c>
      <c r="I5" s="16" t="str">
        <f t="shared" ca="1" si="4"/>
        <v>P.2 (2)</v>
      </c>
      <c r="J5" s="16"/>
      <c r="K5" s="16" t="str">
        <f t="shared" ca="1" si="5"/>
        <v>-</v>
      </c>
      <c r="L5" s="16" t="str">
        <f t="shared" ca="1" si="6"/>
        <v>P.2 (2)</v>
      </c>
      <c r="M5" s="16"/>
      <c r="N5" s="16" t="str">
        <f t="shared" ca="1" si="7"/>
        <v>-</v>
      </c>
      <c r="O5" s="16" t="str">
        <f t="shared" ca="1" si="8"/>
        <v>P.2 (2)</v>
      </c>
      <c r="P5" s="16"/>
      <c r="Q5" s="16" t="str">
        <f t="shared" ca="1" si="9"/>
        <v>-</v>
      </c>
      <c r="R5" s="16" t="str">
        <f t="shared" ca="1" si="10"/>
        <v>P.2 (2)</v>
      </c>
      <c r="S5" s="16"/>
      <c r="T5" s="16" t="str">
        <f t="shared" ca="1" si="11"/>
        <v>-</v>
      </c>
      <c r="U5" s="16" t="str">
        <f t="shared" ca="1" si="12"/>
        <v>P.2 (2)</v>
      </c>
      <c r="V5" s="17"/>
      <c r="W5" s="630"/>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Local</v>
      </c>
      <c r="E6" s="16" t="str">
        <f t="shared" ca="1" si="1"/>
        <v>P.2 (2)</v>
      </c>
      <c r="F6" s="16" t="str">
        <f t="shared" ca="1" si="2"/>
        <v>-</v>
      </c>
      <c r="G6" s="16"/>
      <c r="H6" s="16" t="str">
        <f t="shared" ca="1" si="3"/>
        <v>P.2 (2)</v>
      </c>
      <c r="I6" s="16" t="str">
        <f t="shared" ca="1" si="4"/>
        <v>-</v>
      </c>
      <c r="J6" s="16"/>
      <c r="K6" s="16" t="str">
        <f t="shared" ca="1" si="5"/>
        <v>P.2 (2)</v>
      </c>
      <c r="L6" s="16" t="str">
        <f t="shared" ca="1" si="6"/>
        <v>-</v>
      </c>
      <c r="M6" s="16"/>
      <c r="N6" s="16" t="str">
        <f t="shared" ca="1" si="7"/>
        <v>P.2 (2)</v>
      </c>
      <c r="O6" s="16" t="str">
        <f t="shared" ca="1" si="8"/>
        <v>-</v>
      </c>
      <c r="P6" s="16"/>
      <c r="Q6" s="16" t="str">
        <f t="shared" ca="1" si="9"/>
        <v>P.2 (2)</v>
      </c>
      <c r="R6" s="16" t="str">
        <f t="shared" ca="1" si="10"/>
        <v>-</v>
      </c>
      <c r="S6" s="16"/>
      <c r="T6" s="16" t="str">
        <f t="shared" ca="1" si="11"/>
        <v>P.2 (2)</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3</v>
      </c>
      <c r="AD6" s="51">
        <v>0</v>
      </c>
      <c r="AE6" s="595" t="e" cm="1" vm="2">
        <f t="array" aca="1" ref="AE6" ca="1">Ver_flag_visit</f>
        <v>#VALUE!</v>
      </c>
      <c r="AF6" s="32" t="str">
        <f ca="1">A6</f>
        <v>Sudáfrica</v>
      </c>
      <c r="AG6" s="323">
        <f t="shared" si="13"/>
        <v>1</v>
      </c>
      <c r="AH6" s="195">
        <v>25</v>
      </c>
      <c r="AI6" s="181" t="str">
        <f>AJ6&amp;$B$4</f>
        <v>1A</v>
      </c>
      <c r="AJ6" s="40">
        <v>1</v>
      </c>
      <c r="AK6" s="597" t="e" cm="1" vm="3">
        <f t="array" aca="1" ref="AK6" ca="1">Ver_flag_visit</f>
        <v>#VALUE!</v>
      </c>
      <c r="AL6" s="34" t="str">
        <f ca="1">IFERROR(INDEX($BD$6:$BD$53,MATCH(AI6,$BN$6:$BN$53,0)),"")</f>
        <v>Corea del Sur</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2</v>
      </c>
      <c r="AT6" s="41">
        <f t="shared" ca="1" si="15"/>
        <v>5</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5</v>
      </c>
      <c r="BL6" s="16">
        <f ca="1">+BJ6-BK6</f>
        <v>0</v>
      </c>
      <c r="BM6" s="16" t="str">
        <f t="shared" ref="BM6:BM53" ca="1" si="22">DD6&amp;BC6</f>
        <v>3A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P.2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P.2 (2)</v>
      </c>
      <c r="CA6" s="16">
        <f t="shared" ref="CA6:CA53" ca="1" si="27">IF($BZ6="-","-",SUMIFS(FG_GolesLocal,FGLocal,$BD6,Part1Empate2V,$BZ6)+SUMIFS(FG_GolesVisitante,FGVisitante,$BD6,Part1Empate2L,$BZ6))</f>
        <v>2</v>
      </c>
      <c r="CB6" s="16">
        <f t="shared" ref="CB6:CB53" ca="1" si="28">IF($BZ6="-","-",SUMIFS(FG_GolesVisitante,FGLocal,$BD6,Part1Empate2V,$BZ6)+SUMIFS(FG_GolesLocal,FGVisitante,$BD6,Part1Empate2L,$BZ6))</f>
        <v>2</v>
      </c>
      <c r="CC6" s="16">
        <f ca="1">IF($BZ6="-","-",CA6-CB6)</f>
        <v>0</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P.2 (2)</v>
      </c>
      <c r="CF6" s="16">
        <f t="shared" ref="CF6:CF53" ca="1" si="29">IF($CE6="-","-",SUMIFS(FG_GolesLocal,FGLocal,$BD6,Part1Empate3V,$CE6)+SUMIFS(FG_GolesVisitante,FGVisitante,$BD6,Part1Empate3L,$CE6))</f>
        <v>2</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P.2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P.2 (2)</v>
      </c>
      <c r="CO6" s="16">
        <f t="shared" ref="CO6:CO53" ca="1" si="33">IF($CN6="-","-",SUMIFS(FG_GolesLocal,FGLocal,$BD6,Part2Empate5V,$CN6)+SUMIFS(FG_GolesVisitante,FGVisitante,$BD6,Part2Empate5L,$CN6))</f>
        <v>2</v>
      </c>
      <c r="CP6" s="16">
        <f t="shared" ref="CP6:CP53" ca="1" si="34">IF($CN6="-","-",SUMIFS(FG_GolesVisitante,FGLocal,$BD6,Part2Empate5V,$CN6)+SUMIFS(FG_GolesLocal,FGVisitante,$BD6,Part2Empate5L,$CN6))</f>
        <v>2</v>
      </c>
      <c r="CQ6" s="16">
        <f ca="1">IF($CN6="-","-",CO6-CP6)</f>
        <v>0</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P.2 (2)</v>
      </c>
      <c r="CT6" s="16">
        <f t="shared" ref="CT6:CT53" ca="1" si="35">IF($CS6="-","-",SUMIFS(FG_GolesLocal,FGLocal,$BD6,Part2Empate6V,$CS6)+SUMIFS(FG_GolesVisitante,FGVisitante,$BD6,Part2Empate6L,$CS6))</f>
        <v>2</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P.2 (2)</v>
      </c>
      <c r="CW6" s="16">
        <f t="shared" ref="CW6:CW53" ca="1" si="36">IF(CV6="-","-",BL6)</f>
        <v>0</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ca="1">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Corea del Sur</v>
      </c>
    </row>
    <row r="7" spans="1:121" ht="16" customHeight="1">
      <c r="A7" s="16" t="str">
        <f ca="1">+Equipos!B4</f>
        <v>Corea del Sur</v>
      </c>
      <c r="B7" s="16"/>
      <c r="C7" s="16"/>
      <c r="D7" s="16" t="str">
        <f t="shared" si="0"/>
        <v>Visitante</v>
      </c>
      <c r="E7" s="16" t="str">
        <f t="shared" ca="1" si="1"/>
        <v>P.2 (2)</v>
      </c>
      <c r="F7" s="16" t="str">
        <f t="shared" ca="1" si="2"/>
        <v>-</v>
      </c>
      <c r="G7" s="16"/>
      <c r="H7" s="16" t="str">
        <f t="shared" ca="1" si="3"/>
        <v>P.2 (2)</v>
      </c>
      <c r="I7" s="16" t="str">
        <f t="shared" ca="1" si="4"/>
        <v>-</v>
      </c>
      <c r="J7" s="16"/>
      <c r="K7" s="16" t="str">
        <f t="shared" ca="1" si="5"/>
        <v>P.2 (2)</v>
      </c>
      <c r="L7" s="16" t="str">
        <f t="shared" ca="1" si="6"/>
        <v>-</v>
      </c>
      <c r="M7" s="16"/>
      <c r="N7" s="16" t="str">
        <f t="shared" ca="1" si="7"/>
        <v>P.2 (2)</v>
      </c>
      <c r="O7" s="16" t="str">
        <f t="shared" ca="1" si="8"/>
        <v>-</v>
      </c>
      <c r="P7" s="16"/>
      <c r="Q7" s="16" t="str">
        <f t="shared" ca="1" si="9"/>
        <v>P.2 (2)</v>
      </c>
      <c r="R7" s="16" t="str">
        <f t="shared" ca="1" si="10"/>
        <v>-</v>
      </c>
      <c r="S7" s="16"/>
      <c r="T7" s="16" t="str">
        <f t="shared" ca="1" si="11"/>
        <v>P.2 (2)</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1</v>
      </c>
      <c r="AD7" s="51">
        <v>2</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6</v>
      </c>
      <c r="AS7" s="39">
        <f t="shared" ca="1" si="15"/>
        <v>4</v>
      </c>
      <c r="AT7" s="43">
        <f t="shared" ca="1" si="15"/>
        <v>2</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8</v>
      </c>
      <c r="BL7" s="16">
        <f t="shared" ref="BL7:BL53" ca="1" si="42">+BJ7-BK7</f>
        <v>-7</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6" customHeight="1">
      <c r="A8" s="16" t="str">
        <f ca="1">+Equipos!B5</f>
        <v>República Checa</v>
      </c>
      <c r="B8" s="16"/>
      <c r="C8" s="16"/>
      <c r="D8" s="16" t="str">
        <f t="shared" si="0"/>
        <v>Empate</v>
      </c>
      <c r="E8" s="16" t="str">
        <f t="shared" ca="1" si="1"/>
        <v>P.2 (2)</v>
      </c>
      <c r="F8" s="16" t="str">
        <f t="shared" ca="1" si="2"/>
        <v>P.2 (2)</v>
      </c>
      <c r="G8" s="16"/>
      <c r="H8" s="16" t="str">
        <f t="shared" ca="1" si="3"/>
        <v>P.2 (2)</v>
      </c>
      <c r="I8" s="16" t="str">
        <f t="shared" ca="1" si="4"/>
        <v>P.2 (2)</v>
      </c>
      <c r="J8" s="16"/>
      <c r="K8" s="16" t="str">
        <f t="shared" ca="1" si="5"/>
        <v>P.2 (2)</v>
      </c>
      <c r="L8" s="16" t="str">
        <f t="shared" ca="1" si="6"/>
        <v>P.2 (2)</v>
      </c>
      <c r="M8" s="16"/>
      <c r="N8" s="16" t="str">
        <f t="shared" ca="1" si="7"/>
        <v>P.2 (2)</v>
      </c>
      <c r="O8" s="16" t="str">
        <f t="shared" ca="1" si="8"/>
        <v>P.2 (2)</v>
      </c>
      <c r="P8" s="16"/>
      <c r="Q8" s="16" t="str">
        <f t="shared" ca="1" si="9"/>
        <v>P.2 (2)</v>
      </c>
      <c r="R8" s="16" t="str">
        <f t="shared" ca="1" si="10"/>
        <v>P.2 (2)</v>
      </c>
      <c r="S8" s="16"/>
      <c r="T8" s="16" t="str">
        <f t="shared" ca="1" si="11"/>
        <v>P.2 (2)</v>
      </c>
      <c r="U8" s="16" t="str">
        <f t="shared" ca="1" si="12"/>
        <v>P.2 (2)</v>
      </c>
      <c r="V8" s="17"/>
      <c r="W8" s="630"/>
      <c r="X8" s="24">
        <f ca="1">Horarios!C8</f>
        <v>46198.125</v>
      </c>
      <c r="Y8" s="25">
        <f ca="1">Horarios!C8</f>
        <v>46198.125</v>
      </c>
      <c r="Z8" s="26" t="str">
        <f>Idiomas!D63</f>
        <v>J3</v>
      </c>
      <c r="AA8" s="27" t="str">
        <f ca="1">A8</f>
        <v>República Checa</v>
      </c>
      <c r="AB8" s="49" t="e" cm="1" vm="4">
        <f t="array" aca="1" ref="AB8" ca="1">Ver_flag_local</f>
        <v>#VALUE!</v>
      </c>
      <c r="AC8" s="50">
        <v>2</v>
      </c>
      <c r="AD8" s="51">
        <v>2</v>
      </c>
      <c r="AE8" s="595" t="e" cm="1" vm="1">
        <f t="array" aca="1" ref="AE8" ca="1">Ver_flag_visit</f>
        <v>#VALUE!</v>
      </c>
      <c r="AF8" s="32" t="str">
        <f ca="1">A5</f>
        <v>México</v>
      </c>
      <c r="AG8" s="323">
        <f t="shared" si="13"/>
        <v>1</v>
      </c>
      <c r="AH8" s="195">
        <v>53</v>
      </c>
      <c r="AI8" s="181" t="str">
        <f>AJ8&amp;$B$4</f>
        <v>3A</v>
      </c>
      <c r="AJ8" s="42">
        <v>3</v>
      </c>
      <c r="AK8" s="598" t="e" cm="1" vm="1">
        <f t="array" aca="1" ref="AK8" ca="1">Ver_flag_visit</f>
        <v>#VALUE!</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5</v>
      </c>
      <c r="AS8" s="39">
        <f t="shared" ca="1" si="15"/>
        <v>5</v>
      </c>
      <c r="AT8" s="43">
        <f t="shared" ca="1" si="15"/>
        <v>0</v>
      </c>
      <c r="AU8" s="330">
        <f ca="1">INDEX($DL$6:$DL$53,MATCH(AI8,$DP$6:$DP$53,0))</f>
        <v>1</v>
      </c>
      <c r="AV8" s="182" t="str">
        <f ca="1">INDEX($BD$6:$BD$53,MATCH(AI8,$BM$6:$BM$53,0))</f>
        <v>México</v>
      </c>
      <c r="AW8" s="210"/>
      <c r="AX8" s="171"/>
      <c r="AY8" s="201" t="str">
        <f ca="1">+A7</f>
        <v>Corea del Sur</v>
      </c>
      <c r="AZ8" s="202"/>
      <c r="BA8" s="176"/>
      <c r="BC8" s="16" t="str">
        <f ca="1">+INDEX(T_Equipos[Grupo],MATCH(WORLDCUP!BD8,T_Equipos[NombreEquipo],0))</f>
        <v>A</v>
      </c>
      <c r="BD8" s="16" t="str">
        <f ca="1">+Equipos!B4</f>
        <v>Corea del Sur</v>
      </c>
      <c r="BE8" s="16">
        <f t="shared" ca="1" si="16"/>
        <v>9</v>
      </c>
      <c r="BF8" s="16">
        <f t="shared" ca="1" si="41"/>
        <v>3</v>
      </c>
      <c r="BG8" s="16">
        <f t="shared" ca="1" si="17"/>
        <v>3</v>
      </c>
      <c r="BH8" s="16">
        <f t="shared" ca="1" si="18"/>
        <v>0</v>
      </c>
      <c r="BI8" s="16">
        <f t="shared" ca="1" si="19"/>
        <v>0</v>
      </c>
      <c r="BJ8" s="16">
        <f t="shared" ca="1" si="20"/>
        <v>7</v>
      </c>
      <c r="BK8" s="16">
        <f t="shared" ca="1" si="21"/>
        <v>2</v>
      </c>
      <c r="BL8" s="16">
        <f t="shared" ca="1" si="42"/>
        <v>5</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9</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México</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0</v>
      </c>
      <c r="AD9" s="54">
        <v>3</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8</v>
      </c>
      <c r="AT9" s="48">
        <f t="shared" ca="1" si="15"/>
        <v>-7</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6</v>
      </c>
      <c r="BK9" s="16">
        <f t="shared" ca="1" si="21"/>
        <v>4</v>
      </c>
      <c r="BL9" s="16">
        <f t="shared" ca="1" si="42"/>
        <v>2</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1</v>
      </c>
      <c r="BW9" s="16">
        <f t="shared" ca="1" si="26"/>
        <v>0</v>
      </c>
      <c r="BX9" s="16">
        <f ca="1">IF($BT9="-","-",BU9*3+BV9)</f>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27"/>
        <v>2</v>
      </c>
      <c r="CB9" s="16">
        <f t="shared" ca="1" si="28"/>
        <v>2</v>
      </c>
      <c r="CC9" s="16">
        <f ca="1">IF($BZ9="-","-",CA9-CB9)</f>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29"/>
        <v>2</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0"/>
        <v>0</v>
      </c>
      <c r="CJ9" s="16">
        <f t="shared" ca="1" si="31"/>
        <v>1</v>
      </c>
      <c r="CK9" s="16">
        <f t="shared" ca="1" si="32"/>
        <v>0</v>
      </c>
      <c r="CL9" s="16">
        <f ca="1">IF($CH9="-","-",CI9*3+CJ9)</f>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33"/>
        <v>2</v>
      </c>
      <c r="CP9" s="16">
        <f t="shared" ca="1" si="34"/>
        <v>2</v>
      </c>
      <c r="CQ9" s="16">
        <f ca="1">IF($CN9="-","-",CO9-CP9)</f>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35"/>
        <v>2</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36"/>
        <v>2</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8</v>
      </c>
      <c r="BK10" s="16">
        <f t="shared" ca="1" si="21"/>
        <v>3</v>
      </c>
      <c r="BL10" s="16">
        <f t="shared" ca="1" si="42"/>
        <v>5</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2</v>
      </c>
      <c r="CB10" s="16">
        <f t="shared" ca="1" si="28"/>
        <v>2</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2</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2</v>
      </c>
      <c r="CP10" s="16">
        <f t="shared" ca="1" si="34"/>
        <v>2</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2</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5</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Canadá</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4</v>
      </c>
      <c r="BK11" s="16">
        <f t="shared" ca="1" si="21"/>
        <v>6</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32" t="s">
        <v>1</v>
      </c>
      <c r="X12" s="24">
        <f ca="1">Horarios!C12</f>
        <v>46185.875</v>
      </c>
      <c r="Y12" s="25">
        <f ca="1">Horarios!C12</f>
        <v>46185.875</v>
      </c>
      <c r="Z12" s="26" t="str">
        <f>$Z$4</f>
        <v>J1</v>
      </c>
      <c r="AA12" s="27" t="str">
        <f ca="1">A13</f>
        <v>Canadá</v>
      </c>
      <c r="AB12" s="49" t="e" cm="1" vm="5">
        <f t="array" aca="1" ref="AB12" ca="1">Ver_flag_local</f>
        <v>#VALUE!</v>
      </c>
      <c r="AC12" s="50">
        <v>3</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3</v>
      </c>
      <c r="BL13" s="16">
        <f t="shared" ca="1" si="42"/>
        <v>3</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2</v>
      </c>
      <c r="CB13" s="16">
        <f t="shared" ca="1" si="28"/>
        <v>2</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2</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2</v>
      </c>
      <c r="CP13" s="16">
        <f t="shared" ca="1" si="34"/>
        <v>2</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2</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3</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2</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8</v>
      </c>
      <c r="AS14" s="36">
        <f t="shared" ca="1" si="69"/>
        <v>3</v>
      </c>
      <c r="AT14" s="72">
        <f t="shared" ca="1" si="69"/>
        <v>5</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9</v>
      </c>
      <c r="BK14" s="16">
        <f t="shared" ca="1" si="21"/>
        <v>2</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3</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7</v>
      </c>
      <c r="AN15" s="39">
        <f t="shared" ca="1" si="69"/>
        <v>3</v>
      </c>
      <c r="AO15" s="39">
        <f t="shared" ca="1" si="69"/>
        <v>2</v>
      </c>
      <c r="AP15" s="39">
        <f t="shared" ca="1" si="69"/>
        <v>1</v>
      </c>
      <c r="AQ15" s="39">
        <f t="shared" ca="1" si="69"/>
        <v>0</v>
      </c>
      <c r="AR15" s="39">
        <f t="shared" ca="1" si="69"/>
        <v>6</v>
      </c>
      <c r="AS15" s="39">
        <f t="shared" ca="1" si="69"/>
        <v>3</v>
      </c>
      <c r="AT15" s="74">
        <f t="shared" ca="1" si="69"/>
        <v>3</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4</v>
      </c>
      <c r="BL15" s="16">
        <f t="shared" ca="1" si="42"/>
        <v>2</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2"/>
      <c r="X16" s="24">
        <f ca="1">Horarios!C16</f>
        <v>46197.875</v>
      </c>
      <c r="Y16" s="25">
        <f ca="1">Horarios!C16</f>
        <v>46197.875</v>
      </c>
      <c r="Z16" s="26" t="str">
        <f>$Z$8</f>
        <v>J3</v>
      </c>
      <c r="AA16" s="27" t="str">
        <f ca="1">A16</f>
        <v>Suiza</v>
      </c>
      <c r="AB16" s="49" t="e" cm="1" vm="8">
        <f t="array" aca="1" ref="AB16" ca="1">Ver_flag_local</f>
        <v>#VALUE!</v>
      </c>
      <c r="AC16" s="50">
        <v>2</v>
      </c>
      <c r="AD16" s="51">
        <v>2</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4</v>
      </c>
      <c r="AS16" s="39">
        <f t="shared" ca="1" si="69"/>
        <v>6</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11</v>
      </c>
      <c r="BL16" s="16">
        <f t="shared" ca="1" si="42"/>
        <v>-11</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6</v>
      </c>
      <c r="BK17" s="16">
        <f t="shared" ca="1" si="21"/>
        <v>4</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6</v>
      </c>
      <c r="BK18" s="16">
        <f t="shared" ca="1" si="21"/>
        <v>4</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3</v>
      </c>
      <c r="BK19" s="16">
        <f t="shared" ca="1" si="21"/>
        <v>7</v>
      </c>
      <c r="BL19" s="16">
        <f t="shared" ca="1" si="42"/>
        <v>-4</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2</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3</v>
      </c>
      <c r="BK20" s="16">
        <f t="shared" ca="1" si="21"/>
        <v>6</v>
      </c>
      <c r="BL20" s="16">
        <f t="shared" ca="1" si="42"/>
        <v>-3</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0</v>
      </c>
      <c r="AD21" s="51">
        <v>4</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9</v>
      </c>
      <c r="BK21" s="16">
        <f t="shared" ca="1" si="21"/>
        <v>4</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9</v>
      </c>
      <c r="AS22" s="36">
        <f t="shared" ca="1" si="87"/>
        <v>2</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12</v>
      </c>
      <c r="BK22" s="16">
        <f t="shared" ca="1" si="21"/>
        <v>2</v>
      </c>
      <c r="BL22" s="16">
        <f t="shared" ca="1" si="42"/>
        <v>10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4</v>
      </c>
      <c r="AT23" s="43">
        <f t="shared" ca="1" si="87"/>
        <v>2</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14</v>
      </c>
      <c r="BL23" s="16">
        <f t="shared" ca="1" si="42"/>
        <v>-14</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6</v>
      </c>
      <c r="AS24" s="39">
        <f t="shared" ca="1" si="87"/>
        <v>4</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7</v>
      </c>
      <c r="BK24" s="16">
        <f t="shared" ca="1" si="21"/>
        <v>4</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3</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11</v>
      </c>
      <c r="AT25" s="48">
        <f t="shared" ca="1" si="87"/>
        <v>-11</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6</v>
      </c>
      <c r="BK25" s="16">
        <f t="shared" ca="1" si="21"/>
        <v>5</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8</v>
      </c>
      <c r="BK26" s="16">
        <f t="shared" ca="1" si="21"/>
        <v>3</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2</v>
      </c>
      <c r="CB26" s="16">
        <f t="shared" ca="1" si="28"/>
        <v>2</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2</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2</v>
      </c>
      <c r="CP26" s="16">
        <f t="shared" ca="1" si="34"/>
        <v>2</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2</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5</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5</v>
      </c>
      <c r="BK27" s="16">
        <f t="shared" ca="1" si="21"/>
        <v>5</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43"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6</v>
      </c>
      <c r="BK28" s="16">
        <f t="shared" ca="1" si="21"/>
        <v>3</v>
      </c>
      <c r="BL28" s="16">
        <f t="shared" ca="1" si="42"/>
        <v>3</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(2)</v>
      </c>
      <c r="BU28" s="16">
        <f t="shared" ca="1" si="24"/>
        <v>0</v>
      </c>
      <c r="BV28" s="16">
        <f t="shared" ca="1" si="25"/>
        <v>1</v>
      </c>
      <c r="BW28" s="16">
        <f t="shared" ca="1" si="26"/>
        <v>0</v>
      </c>
      <c r="BX28" s="16">
        <f t="shared" ca="1" si="48"/>
        <v>1</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(2)</v>
      </c>
      <c r="CA28" s="16">
        <f t="shared" ca="1" si="27"/>
        <v>2</v>
      </c>
      <c r="CB28" s="16">
        <f t="shared" ca="1" si="28"/>
        <v>2</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(2)</v>
      </c>
      <c r="CF28" s="16">
        <f t="shared" ca="1" si="29"/>
        <v>2</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(2)</v>
      </c>
      <c r="CI28" s="16">
        <f t="shared" ca="1" si="30"/>
        <v>0</v>
      </c>
      <c r="CJ28" s="16">
        <f t="shared" ca="1" si="31"/>
        <v>1</v>
      </c>
      <c r="CK28" s="16">
        <f t="shared" ca="1" si="32"/>
        <v>0</v>
      </c>
      <c r="CL28" s="16">
        <f t="shared" ca="1" si="50"/>
        <v>1</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(2)</v>
      </c>
      <c r="CO28" s="16">
        <f t="shared" ca="1" si="33"/>
        <v>2</v>
      </c>
      <c r="CP28" s="16">
        <f t="shared" ca="1" si="34"/>
        <v>2</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(2)</v>
      </c>
      <c r="CT28" s="16">
        <f t="shared" ca="1" si="35"/>
        <v>2</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(2)</v>
      </c>
      <c r="CW28" s="16">
        <f t="shared" ca="1" si="36"/>
        <v>3</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3"/>
      <c r="X29" s="24">
        <f ca="1">Horarios!C29</f>
        <v>46187.25</v>
      </c>
      <c r="Y29" s="25">
        <f ca="1">Horarios!C29</f>
        <v>46187.25</v>
      </c>
      <c r="Z29" s="26" t="str">
        <f>$Z$4</f>
        <v>J1</v>
      </c>
      <c r="AA29" s="27" t="str">
        <f ca="1">A31</f>
        <v>Australia</v>
      </c>
      <c r="AB29" s="49" t="e" cm="1" vm="15">
        <f t="array" aca="1" ref="AB29" ca="1">Ver_flag_local</f>
        <v>#VALUE!</v>
      </c>
      <c r="AC29" s="50">
        <v>1</v>
      </c>
      <c r="AD29" s="51">
        <v>3</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8</v>
      </c>
      <c r="BL29" s="16">
        <f t="shared" ca="1" si="42"/>
        <v>-8</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9</v>
      </c>
      <c r="AS30" s="36">
        <f t="shared" ca="1" si="107"/>
        <v>4</v>
      </c>
      <c r="AT30" s="41">
        <f t="shared" ca="1" si="107"/>
        <v>5</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9</v>
      </c>
      <c r="BK30" s="16">
        <f t="shared" ca="1" si="21"/>
        <v>2</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v>3</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6</v>
      </c>
      <c r="AS31" s="39">
        <f t="shared" ca="1" si="107"/>
        <v>4</v>
      </c>
      <c r="AT31" s="43">
        <f t="shared" ca="1" si="107"/>
        <v>2</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3</v>
      </c>
      <c r="AS32" s="39">
        <f t="shared" ca="1" si="107"/>
        <v>6</v>
      </c>
      <c r="AT32" s="43">
        <f t="shared" ca="1" si="107"/>
        <v>-3</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4</v>
      </c>
      <c r="BK32" s="16">
        <f t="shared" ca="1" si="21"/>
        <v>5</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v>1</v>
      </c>
      <c r="AD33" s="54">
        <v>2</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3</v>
      </c>
      <c r="AS33" s="47">
        <f t="shared" ca="1" si="107"/>
        <v>7</v>
      </c>
      <c r="AT33" s="48">
        <f t="shared" ca="1" si="107"/>
        <v>-4</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7</v>
      </c>
      <c r="BL33" s="16">
        <f t="shared" ca="1" si="42"/>
        <v>-7</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12</v>
      </c>
      <c r="BK34" s="16">
        <f t="shared" ca="1" si="21"/>
        <v>2</v>
      </c>
      <c r="BL34" s="16">
        <f t="shared" ca="1" si="42"/>
        <v>10</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1</v>
      </c>
      <c r="BH35" s="16">
        <f t="shared" ca="1" si="18"/>
        <v>0</v>
      </c>
      <c r="BI35" s="16">
        <f t="shared" ca="1" si="19"/>
        <v>2</v>
      </c>
      <c r="BJ35" s="16">
        <f t="shared" ca="1" si="20"/>
        <v>4</v>
      </c>
      <c r="BK35" s="16">
        <f t="shared" ca="1" si="21"/>
        <v>9</v>
      </c>
      <c r="BL35" s="16">
        <f t="shared" ca="1" si="42"/>
        <v>-5</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46187.791666666664</v>
      </c>
      <c r="Y36" s="25">
        <f ca="1">Horarios!C36</f>
        <v>46187.791666666664</v>
      </c>
      <c r="Z36" s="26" t="str">
        <f>$Z$4</f>
        <v>J1</v>
      </c>
      <c r="AA36" s="27" t="str">
        <f ca="1">A37</f>
        <v>Alemania</v>
      </c>
      <c r="AB36" s="49" t="e" cm="1" vm="17">
        <f t="array" aca="1" ref="AB36" ca="1">Ver_flag_local</f>
        <v>#VALUE!</v>
      </c>
      <c r="AC36" s="50">
        <v>6</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3</v>
      </c>
      <c r="BG36" s="16">
        <f t="shared" ca="1" si="17"/>
        <v>0</v>
      </c>
      <c r="BH36" s="16">
        <f t="shared" ca="1" si="18"/>
        <v>0</v>
      </c>
      <c r="BI36" s="16">
        <f t="shared" ca="1" si="19"/>
        <v>3</v>
      </c>
      <c r="BJ36" s="16">
        <f t="shared" ca="1" si="20"/>
        <v>2</v>
      </c>
      <c r="BK36" s="16">
        <f t="shared" ca="1" si="21"/>
        <v>8</v>
      </c>
      <c r="BL36" s="16">
        <f t="shared" ca="1" si="42"/>
        <v>-6</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4</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v>3</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12</v>
      </c>
      <c r="AS38" s="36">
        <f t="shared" ca="1" si="127"/>
        <v>2</v>
      </c>
      <c r="AT38" s="41">
        <f t="shared" ca="1" si="127"/>
        <v>10</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7</v>
      </c>
      <c r="BK38" s="16">
        <f t="shared" ca="1" si="21"/>
        <v>4</v>
      </c>
      <c r="BL38" s="16">
        <f t="shared" ca="1" si="42"/>
        <v>3</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e" cm="1" vm="20">
        <f t="array" aca="1" ref="AB39" ca="1">Ver_flag_local</f>
        <v>#VALUE!</v>
      </c>
      <c r="AC39" s="50">
        <v>4</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7</v>
      </c>
      <c r="AS39" s="39">
        <f t="shared" ca="1" si="127"/>
        <v>4</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5</v>
      </c>
      <c r="BF39" s="16">
        <f t="shared" ca="1" si="41"/>
        <v>3</v>
      </c>
      <c r="BG39" s="16">
        <f t="shared" ca="1" si="17"/>
        <v>1</v>
      </c>
      <c r="BH39" s="16">
        <f t="shared" ca="1" si="18"/>
        <v>2</v>
      </c>
      <c r="BI39" s="16">
        <f t="shared" ca="1" si="19"/>
        <v>0</v>
      </c>
      <c r="BJ39" s="16">
        <f t="shared" ca="1" si="20"/>
        <v>7</v>
      </c>
      <c r="BK39" s="16">
        <f t="shared" ca="1" si="21"/>
        <v>5</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5</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v>0</v>
      </c>
      <c r="AD40" s="51">
        <v>4</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6</v>
      </c>
      <c r="AS40" s="39">
        <f t="shared" ca="1" si="127"/>
        <v>5</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3</v>
      </c>
      <c r="BK40" s="16">
        <f t="shared" ca="1" si="21"/>
        <v>9</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e" cm="1" vm="20">
        <f t="array" aca="1" ref="AB41" ca="1">Ver_flag_local</f>
        <v>#VALUE!</v>
      </c>
      <c r="AC41" s="53">
        <v>1</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14</v>
      </c>
      <c r="AT41" s="48">
        <f t="shared" ca="1" si="127"/>
        <v>-14</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6</v>
      </c>
      <c r="BK41" s="16">
        <f t="shared" ca="1" si="21"/>
        <v>5</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2</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2</v>
      </c>
      <c r="CB43" s="16">
        <f t="shared" ca="1" si="28"/>
        <v>2</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2</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2</v>
      </c>
      <c r="CP43" s="16">
        <f t="shared" ca="1" si="34"/>
        <v>2</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2</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P.1 (2)</v>
      </c>
      <c r="F44" s="16" t="str">
        <f t="shared" ref="F44:F49" ca="1" si="133">IF(D44="Pendiente","-",INDEX($BT$6:$BT$53,MATCH($AF44,$BD$6:$BD$53,0)))</f>
        <v>-</v>
      </c>
      <c r="G44" s="16"/>
      <c r="H44" s="16" t="str">
        <f t="shared" ref="H44:H49" ca="1" si="134">IF(D44="Pendiente","-",INDEX($BZ$6:$BZ$53,MATCH($AA44,$BD$6:$BD$53,0)))</f>
        <v>P.1 (2)</v>
      </c>
      <c r="I44" s="16" t="str">
        <f t="shared" ref="I44:I49" ca="1" si="135">IF(D44="Pendiente","-",INDEX($BZ$6:$BZ$53,MATCH($AF44,$BD$6:$BD$53,0)))</f>
        <v>-</v>
      </c>
      <c r="J44" s="16"/>
      <c r="K44" s="16" t="str">
        <f t="shared" ref="K44:K49" ca="1" si="136">IF(D44="Pendiente","-",INDEX($CE$6:$CE$53,MATCH($AA44,$BD$6:$BD$53,0)))</f>
        <v>P.1 (2)</v>
      </c>
      <c r="L44" s="16" t="str">
        <f t="shared" ref="L44:L49" ca="1" si="137">IF(D44="Pendiente","-",INDEX($CE$6:$CE$53,MATCH($AF44,$BD$6:$BD$53,0)))</f>
        <v>-</v>
      </c>
      <c r="M44" s="16"/>
      <c r="N44" s="16" t="str">
        <f t="shared" ref="N44:N49" ca="1" si="138">IF(D44="Pendiente","-",INDEX($CH$6:$CH$53,MATCH($AA44,$BD$6:$BD$53,0)))</f>
        <v>P.1 (2)</v>
      </c>
      <c r="O44" s="16" t="str">
        <f t="shared" ref="O44:O49" ca="1" si="139">IF(D44="Pendiente","-",INDEX($CH$6:$CH$53,MATCH($AF44,$BD$6:$BD$53,0)))</f>
        <v>-</v>
      </c>
      <c r="P44" s="16"/>
      <c r="Q44" s="16" t="str">
        <f t="shared" ref="Q44:Q49" ca="1" si="140">IF(D44="Pendiente","-",INDEX($CN$6:$CN$53,MATCH($AA44,$BD$6:$BD$53,0)))</f>
        <v>P.1 (2)</v>
      </c>
      <c r="R44" s="16" t="str">
        <f t="shared" ref="R44:R49" ca="1" si="141">IF(D44="Pendiente","-",INDEX($CN$6:$CN$53,MATCH($AF44,$BD$6:$BD$53,0)))</f>
        <v>-</v>
      </c>
      <c r="S44" s="16"/>
      <c r="T44" s="16" t="str">
        <f t="shared" ref="T44:T49" ca="1" si="142">IF(D44="Pendiente","-",INDEX($CS$6:$CS$53,MATCH($AA44,$BD$6:$BD$53,0)))</f>
        <v>P.1 (2)</v>
      </c>
      <c r="U44" s="16" t="str">
        <f t="shared" ref="U44:U49" ca="1" si="143">IF(D44="Pendiente","-",INDEX($CS$6:$CS$53,MATCH($AF44,$BD$6:$BD$53,0)))</f>
        <v>-</v>
      </c>
      <c r="V44" s="17"/>
      <c r="W44" s="655" t="s">
        <v>4</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4</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2</v>
      </c>
      <c r="CB44" s="16">
        <f t="shared" ca="1" si="28"/>
        <v>2</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2</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2</v>
      </c>
      <c r="CP44" s="16">
        <f t="shared" ca="1" si="34"/>
        <v>2</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2</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P.1 (2)</v>
      </c>
      <c r="F45" s="16" t="str">
        <f t="shared" ca="1" si="133"/>
        <v>-</v>
      </c>
      <c r="G45" s="16"/>
      <c r="H45" s="16" t="str">
        <f t="shared" ca="1" si="134"/>
        <v>P.1 (2)</v>
      </c>
      <c r="I45" s="16" t="str">
        <f t="shared" ca="1" si="135"/>
        <v>-</v>
      </c>
      <c r="J45" s="16"/>
      <c r="K45" s="16" t="str">
        <f t="shared" ca="1" si="136"/>
        <v>P.1 (2)</v>
      </c>
      <c r="L45" s="16" t="str">
        <f t="shared" ca="1" si="137"/>
        <v>-</v>
      </c>
      <c r="M45" s="16"/>
      <c r="N45" s="16" t="str">
        <f t="shared" ca="1" si="138"/>
        <v>P.1 (2)</v>
      </c>
      <c r="O45" s="16" t="str">
        <f t="shared" ca="1" si="139"/>
        <v>-</v>
      </c>
      <c r="P45" s="16"/>
      <c r="Q45" s="16" t="str">
        <f t="shared" ca="1" si="140"/>
        <v>P.1 (2)</v>
      </c>
      <c r="R45" s="16" t="str">
        <f t="shared" ca="1" si="141"/>
        <v>-</v>
      </c>
      <c r="S45" s="16"/>
      <c r="T45" s="16" t="str">
        <f t="shared" ca="1" si="142"/>
        <v>P.1 (2)</v>
      </c>
      <c r="U45" s="16" t="str">
        <f t="shared" ca="1" si="143"/>
        <v>-</v>
      </c>
      <c r="V45" s="17"/>
      <c r="W45" s="655"/>
      <c r="X45" s="24">
        <f ca="1">Horarios!C45</f>
        <v>46188.166666666664</v>
      </c>
      <c r="Y45" s="25">
        <f ca="1">Horarios!C45</f>
        <v>46188.166666666664</v>
      </c>
      <c r="Z45" s="26" t="str">
        <f>$Z$4</f>
        <v>J1</v>
      </c>
      <c r="AA45" s="27" t="str">
        <f ca="1">A47</f>
        <v>Suecia</v>
      </c>
      <c r="AB45" s="49" t="e" cm="1" vm="23">
        <f t="array" aca="1" ref="AB45" ca="1">Ver_flag_local</f>
        <v>#VALUE!</v>
      </c>
      <c r="AC45" s="50">
        <v>2</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8</v>
      </c>
      <c r="BL45" s="16">
        <f t="shared" ca="1" si="42"/>
        <v>-8</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Empate</v>
      </c>
      <c r="E46" s="16" t="str">
        <f t="shared" ca="1" si="132"/>
        <v>P.1 (2)</v>
      </c>
      <c r="F46" s="16" t="str">
        <f t="shared" ca="1" si="133"/>
        <v>P.1 (2)</v>
      </c>
      <c r="G46" s="16"/>
      <c r="H46" s="16" t="str">
        <f t="shared" ca="1" si="134"/>
        <v>P.1 (2)</v>
      </c>
      <c r="I46" s="16" t="str">
        <f t="shared" ca="1" si="135"/>
        <v>P.1 (2)</v>
      </c>
      <c r="J46" s="16"/>
      <c r="K46" s="16" t="str">
        <f t="shared" ca="1" si="136"/>
        <v>P.1 (2)</v>
      </c>
      <c r="L46" s="16" t="str">
        <f t="shared" ca="1" si="137"/>
        <v>P.1 (2)</v>
      </c>
      <c r="M46" s="16"/>
      <c r="N46" s="16" t="str">
        <f t="shared" ca="1" si="138"/>
        <v>P.1 (2)</v>
      </c>
      <c r="O46" s="16" t="str">
        <f t="shared" ca="1" si="139"/>
        <v>P.1 (2)</v>
      </c>
      <c r="P46" s="16"/>
      <c r="Q46" s="16" t="str">
        <f t="shared" ca="1" si="140"/>
        <v>P.1 (2)</v>
      </c>
      <c r="R46" s="16" t="str">
        <f t="shared" ca="1" si="141"/>
        <v>P.1 (2)</v>
      </c>
      <c r="S46" s="16"/>
      <c r="T46" s="16" t="str">
        <f t="shared" ca="1" si="142"/>
        <v>P.1 (2)</v>
      </c>
      <c r="U46" s="16" t="str">
        <f t="shared" ca="1" si="143"/>
        <v>P.1 (2)</v>
      </c>
      <c r="V46" s="17"/>
      <c r="W46" s="65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2</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8</v>
      </c>
      <c r="AS46" s="36">
        <f t="shared" ca="1" si="147"/>
        <v>3</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2</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e" cm="1" vm="24">
        <f t="array" aca="1" ref="AB47" ca="1">Ver_flag_local</f>
        <v>#VALUE!</v>
      </c>
      <c r="AC47" s="50">
        <v>0</v>
      </c>
      <c r="AD47" s="51">
        <v>3</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7</v>
      </c>
      <c r="AN47" s="39">
        <f t="shared" ca="1" si="147"/>
        <v>3</v>
      </c>
      <c r="AO47" s="39">
        <f t="shared" ca="1" si="147"/>
        <v>2</v>
      </c>
      <c r="AP47" s="39">
        <f t="shared" ca="1" si="147"/>
        <v>1</v>
      </c>
      <c r="AQ47" s="39">
        <f t="shared" ca="1" si="147"/>
        <v>0</v>
      </c>
      <c r="AR47" s="39">
        <f t="shared" ca="1" si="147"/>
        <v>6</v>
      </c>
      <c r="AS47" s="39">
        <f t="shared" ca="1" si="147"/>
        <v>3</v>
      </c>
      <c r="AT47" s="43">
        <f t="shared" ca="1" si="147"/>
        <v>3</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4</v>
      </c>
      <c r="BK47" s="16">
        <f t="shared" ca="1" si="21"/>
        <v>5</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c r="A48" s="16" t="str">
        <f ca="1">+Equipos!B25</f>
        <v>Túnez</v>
      </c>
      <c r="B48" s="16"/>
      <c r="C48" s="16"/>
      <c r="D48" s="16" t="str">
        <f t="shared" si="131"/>
        <v>Visitante</v>
      </c>
      <c r="E48" s="16" t="str">
        <f t="shared" ca="1" si="132"/>
        <v>-</v>
      </c>
      <c r="F48" s="16" t="str">
        <f t="shared" ca="1" si="133"/>
        <v>P.1 (2)</v>
      </c>
      <c r="G48" s="16"/>
      <c r="H48" s="16" t="str">
        <f t="shared" ca="1" si="134"/>
        <v>-</v>
      </c>
      <c r="I48" s="16" t="str">
        <f t="shared" ca="1" si="135"/>
        <v>P.1 (2)</v>
      </c>
      <c r="J48" s="16"/>
      <c r="K48" s="16" t="str">
        <f t="shared" ca="1" si="136"/>
        <v>-</v>
      </c>
      <c r="L48" s="16" t="str">
        <f t="shared" ca="1" si="137"/>
        <v>P.1 (2)</v>
      </c>
      <c r="M48" s="16"/>
      <c r="N48" s="16" t="str">
        <f t="shared" ca="1" si="138"/>
        <v>-</v>
      </c>
      <c r="O48" s="16" t="str">
        <f t="shared" ca="1" si="139"/>
        <v>P.1 (2)</v>
      </c>
      <c r="P48" s="16"/>
      <c r="Q48" s="16" t="str">
        <f t="shared" ca="1" si="140"/>
        <v>-</v>
      </c>
      <c r="R48" s="16" t="str">
        <f t="shared" ca="1" si="141"/>
        <v>P.1 (2)</v>
      </c>
      <c r="S48" s="16"/>
      <c r="T48" s="16" t="str">
        <f t="shared" ca="1" si="142"/>
        <v>-</v>
      </c>
      <c r="U48" s="16" t="str">
        <f t="shared" ca="1" si="143"/>
        <v>P.1 (2)</v>
      </c>
      <c r="V48" s="17"/>
      <c r="W48" s="655"/>
      <c r="X48" s="24">
        <f ca="1">Horarios!C48</f>
        <v>46199.041666666664</v>
      </c>
      <c r="Y48" s="25">
        <f ca="1">Horarios!C48</f>
        <v>46199.041666666664</v>
      </c>
      <c r="Z48" s="26" t="str">
        <f>$Z$8</f>
        <v>J3</v>
      </c>
      <c r="AA48" s="27" t="str">
        <f ca="1">A46</f>
        <v>Japón</v>
      </c>
      <c r="AB48" s="49" t="e" cm="1" vm="22">
        <f t="array" aca="1" ref="AB48" ca="1">Ver_flag_local</f>
        <v>#VALUE!</v>
      </c>
      <c r="AC48" s="50">
        <v>1</v>
      </c>
      <c r="AD48" s="51">
        <v>2</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5</v>
      </c>
      <c r="AS48" s="39">
        <f t="shared" ca="1" si="147"/>
        <v>5</v>
      </c>
      <c r="AT48" s="43">
        <f t="shared" ca="1" si="147"/>
        <v>0</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7</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P.1 (2)</v>
      </c>
      <c r="G49" s="16"/>
      <c r="H49" s="16" t="str">
        <f t="shared" ca="1" si="134"/>
        <v>-</v>
      </c>
      <c r="I49" s="16" t="str">
        <f t="shared" ca="1" si="135"/>
        <v>P.1 (2)</v>
      </c>
      <c r="J49" s="16"/>
      <c r="K49" s="16" t="str">
        <f t="shared" ca="1" si="136"/>
        <v>-</v>
      </c>
      <c r="L49" s="16" t="str">
        <f t="shared" ca="1" si="137"/>
        <v>P.1 (2)</v>
      </c>
      <c r="M49" s="16"/>
      <c r="N49" s="16" t="str">
        <f t="shared" ca="1" si="138"/>
        <v>-</v>
      </c>
      <c r="O49" s="16" t="str">
        <f t="shared" ca="1" si="139"/>
        <v>P.1 (2)</v>
      </c>
      <c r="P49" s="16"/>
      <c r="Q49" s="16" t="str">
        <f t="shared" ca="1" si="140"/>
        <v>-</v>
      </c>
      <c r="R49" s="16" t="str">
        <f t="shared" ca="1" si="141"/>
        <v>P.1 (2)</v>
      </c>
      <c r="S49" s="16"/>
      <c r="T49" s="16" t="str">
        <f t="shared" ca="1" si="142"/>
        <v>-</v>
      </c>
      <c r="U49" s="16" t="str">
        <f t="shared" ca="1" si="143"/>
        <v>P.1 (2)</v>
      </c>
      <c r="V49" s="17"/>
      <c r="W49" s="656"/>
      <c r="X49" s="28">
        <f ca="1">Horarios!C49</f>
        <v>46199.041666666664</v>
      </c>
      <c r="Y49" s="29">
        <f ca="1">Horarios!C49</f>
        <v>46199.041666666664</v>
      </c>
      <c r="Z49" s="30" t="str">
        <f>$Z$8</f>
        <v>J3</v>
      </c>
      <c r="AA49" s="31" t="str">
        <f ca="1">A48</f>
        <v>Túnez</v>
      </c>
      <c r="AB49" s="52" t="e" cm="1" vm="24">
        <f t="array" aca="1" ref="AB49" ca="1">Ver_flag_local</f>
        <v>#VALUE!</v>
      </c>
      <c r="AC49" s="53">
        <v>0</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8</v>
      </c>
      <c r="AT49" s="48">
        <f t="shared" ca="1" si="147"/>
        <v>-8</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3</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9</v>
      </c>
      <c r="BK50" s="16">
        <f t="shared" ca="1" si="21"/>
        <v>2</v>
      </c>
      <c r="BL50" s="16">
        <f t="shared" ca="1" si="42"/>
        <v>7</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3</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75" t="s">
        <v>6</v>
      </c>
      <c r="X52" s="24">
        <f ca="1">Horarios!C52</f>
        <v>46188.875</v>
      </c>
      <c r="Y52" s="25">
        <f ca="1">Horarios!C52</f>
        <v>46188.875</v>
      </c>
      <c r="Z52" s="26" t="str">
        <f>$Z$4</f>
        <v>J1</v>
      </c>
      <c r="AA52" s="27" t="str">
        <f ca="1">A53</f>
        <v>Bélgica</v>
      </c>
      <c r="AB52" s="49" t="e" cm="1" vm="25">
        <f t="array" aca="1" ref="AB52" ca="1">Ver_flag_local</f>
        <v>#VALUE!</v>
      </c>
      <c r="AC52" s="50">
        <v>3</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e" cm="1" vm="27">
        <f t="array" aca="1" ref="AB53" ca="1">Ver_flag_local</f>
        <v>#VALUE!</v>
      </c>
      <c r="AC53" s="50">
        <v>2</v>
      </c>
      <c r="AD53" s="51">
        <v>0</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8</v>
      </c>
      <c r="BL53" s="16">
        <f t="shared" ca="1" si="42"/>
        <v>-8</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75"/>
      <c r="X54" s="24">
        <f ca="1">Horarios!C54</f>
        <v>46194.875</v>
      </c>
      <c r="Y54" s="25">
        <f ca="1">Horarios!C54</f>
        <v>46194.875</v>
      </c>
      <c r="Z54" s="26" t="str">
        <f>$Z$6</f>
        <v>J2</v>
      </c>
      <c r="AA54" s="27" t="str">
        <f ca="1">A53</f>
        <v>Bélgica</v>
      </c>
      <c r="AB54" s="49" t="e" cm="1" vm="25">
        <f t="array" aca="1" ref="AB54" ca="1">Ver_flag_local</f>
        <v>#VALUE!</v>
      </c>
      <c r="AC54" s="50">
        <v>3</v>
      </c>
      <c r="AD54" s="51">
        <v>1</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9</v>
      </c>
      <c r="AS54" s="36">
        <f t="shared" ca="1" si="165"/>
        <v>2</v>
      </c>
      <c r="AT54" s="41">
        <f t="shared" ca="1" si="165"/>
        <v>7</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75"/>
      <c r="X55" s="24">
        <f ca="1">Horarios!C55</f>
        <v>46195.125</v>
      </c>
      <c r="Y55" s="25">
        <f ca="1">Horarios!C55</f>
        <v>46195.125</v>
      </c>
      <c r="Z55" s="26" t="str">
        <f>$Z$6</f>
        <v>J2</v>
      </c>
      <c r="AA55" s="27" t="str">
        <f ca="1">A56</f>
        <v>Nueva Zelanda</v>
      </c>
      <c r="AB55" s="49" t="e" cm="1" vm="28">
        <f t="array" aca="1" ref="AB55" ca="1">Ver_flag_local</f>
        <v>#VALUE!</v>
      </c>
      <c r="AC55" s="50">
        <v>0</v>
      </c>
      <c r="AD55" s="51">
        <v>2</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5</v>
      </c>
      <c r="AS55" s="39">
        <f t="shared" ca="1" si="165"/>
        <v>4</v>
      </c>
      <c r="AT55" s="43">
        <f t="shared" ca="1" si="165"/>
        <v>1</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75"/>
      <c r="X56" s="24">
        <f ca="1">Horarios!C56</f>
        <v>46200.208333333336</v>
      </c>
      <c r="Y56" s="25">
        <f ca="1">Horarios!C56</f>
        <v>46200.208333333336</v>
      </c>
      <c r="Z56" s="26" t="str">
        <f>$Z$8</f>
        <v>J3</v>
      </c>
      <c r="AA56" s="27" t="str">
        <f ca="1">A54</f>
        <v>Egipto</v>
      </c>
      <c r="AB56" s="49" t="e" cm="1" vm="26">
        <f t="array" aca="1" ref="AB56" ca="1">Ver_flag_local</f>
        <v>#VALUE!</v>
      </c>
      <c r="AC56" s="50">
        <v>2</v>
      </c>
      <c r="AD56" s="51">
        <v>1</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4</v>
      </c>
      <c r="AS56" s="39">
        <f t="shared" ca="1" si="165"/>
        <v>5</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8">
        <f t="array" aca="1" ref="AB57" ca="1">Ver_flag_local</f>
        <v>#VALUE!</v>
      </c>
      <c r="AC57" s="53">
        <v>0</v>
      </c>
      <c r="AD57" s="54">
        <v>3</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7</v>
      </c>
      <c r="AT57" s="48">
        <f t="shared" ca="1" si="165"/>
        <v>-7</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0</v>
      </c>
      <c r="BM58" s="16">
        <f ca="1">CB58</f>
        <v>3</v>
      </c>
      <c r="BN58" s="16">
        <f ca="1">CF58</f>
        <v>3</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(3)</v>
      </c>
      <c r="BU58" s="16">
        <f t="shared" ref="BU58:BU69" ca="1" si="176">IF(BT58="-","-",BL58)</f>
        <v>0</v>
      </c>
      <c r="BV58" s="16">
        <f t="shared" ref="BV58:BV69" ca="1" si="177">BS58+COUNTIFS(BT$58:BT$69,BT58,BU$58:BU$69,"&gt;"&amp;BU58)</f>
        <v>3</v>
      </c>
      <c r="BW58" s="16" t="str">
        <f t="shared" ref="BW58:BW69" ca="1" si="178">IF(COUNTIF(BV$58:BV$69,BV58)=1,"-","Pos. "&amp;BV58&amp;" ("&amp;COUNTIF(BV$58:BV$69,BV58)&amp;")")</f>
        <v>-</v>
      </c>
      <c r="BX58" s="16" t="str">
        <f t="shared" ref="BX58:BX69" ca="1" si="179">IF(BW58="-","-",BJ58)</f>
        <v>-</v>
      </c>
      <c r="BY58" s="16">
        <f t="shared" ref="BY58:BY69" ca="1" si="180">BV58+COUNTIFS(BW$58:BW$69,BW58,BX$58:BX$69,"&gt;"&amp;BX58)</f>
        <v>3</v>
      </c>
      <c r="BZ58" s="16" t="str">
        <f t="shared" ref="BZ58:BZ69" ca="1" si="181">IF(COUNTIF(BY$58:BY$69,BY58)=1,"-","Pos. "&amp;BY58&amp;" ("&amp;COUNTIF(BY$58:BY$69,BY58)&amp;")")</f>
        <v>-</v>
      </c>
      <c r="CA58" s="16" t="str">
        <f t="shared" ref="CA58:CA69" ca="1" si="182">IF(BZ58="-","-",COUNTIF($BD$58:$BD$69,"&gt;"&amp;BD58))</f>
        <v>-</v>
      </c>
      <c r="CB58" s="16">
        <f ca="1">BY58+COUNTIFS(BZ$58:BZ$69,BZ58,CA$58:CA$69,"&gt;"&amp;CA58)</f>
        <v>3</v>
      </c>
      <c r="CC58" s="16"/>
      <c r="CD58" s="16">
        <f t="shared" ref="CD58:CD69" ca="1" si="183">IF(OR(INDEX($AW$102:$AW$113,MATCH($BD58,$AV$102:$AV$113,0))="",BZ58="-"),CB58,INDEX($AW$102:$AW$113,MATCH($BD58,$AV$102:$AV$113,0))+CB58/1000)</f>
        <v>3</v>
      </c>
      <c r="CE58" s="16" t="str">
        <f ca="1">IF(BZ58="-","-",COUNTIF(CD$58:CD$69,"&lt;"&amp;CD58))</f>
        <v>-</v>
      </c>
      <c r="CF58" s="16">
        <f ca="1">BY58+COUNTIFS(BZ$58:BZ$69,BZ58,CE$58:CE$69,"&lt;"&amp;CE58)</f>
        <v>3</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4</v>
      </c>
      <c r="BK59" s="16">
        <f t="shared" ca="1" si="173"/>
        <v>6</v>
      </c>
      <c r="BL59" s="16">
        <f t="shared" ref="BL59:BL69" ca="1" si="190">+BJ59-BK59</f>
        <v>-2</v>
      </c>
      <c r="BM59" s="16">
        <f t="shared" ref="BM59:BM69" ca="1" si="191">CB59</f>
        <v>10</v>
      </c>
      <c r="BN59" s="16">
        <f t="shared" ref="BN59:BN69" ca="1" si="192">CF59</f>
        <v>10</v>
      </c>
      <c r="BO59" s="16" t="str">
        <f t="shared" si="174"/>
        <v>4B</v>
      </c>
      <c r="BP59" s="16"/>
      <c r="BQ59" s="16"/>
      <c r="BR59" s="16">
        <f t="shared" ca="1" si="175"/>
        <v>3</v>
      </c>
      <c r="BS59" s="16">
        <f t="shared" ref="BS59:BS69" ca="1" si="193">COUNTIFS(BR$58:BR$69,"&gt;"&amp;BR59)+1</f>
        <v>4</v>
      </c>
      <c r="BT59" s="16" t="str">
        <f t="shared" ref="BT59:BT69" ca="1" si="194">IF(COUNTIF(BS$58:BS$69,BS59)=1,"-","Pos. "&amp;BS59&amp;" ("&amp;COUNTIF(BS$58:BS$69,BS59)&amp;")")</f>
        <v>Pos. 4 (9)</v>
      </c>
      <c r="BU59" s="16">
        <f t="shared" ca="1" si="176"/>
        <v>-2</v>
      </c>
      <c r="BV59" s="16">
        <f t="shared" ca="1" si="177"/>
        <v>10</v>
      </c>
      <c r="BW59" s="16" t="str">
        <f t="shared" ca="1" si="178"/>
        <v>-</v>
      </c>
      <c r="BX59" s="16" t="str">
        <f t="shared" ca="1" si="179"/>
        <v>-</v>
      </c>
      <c r="BY59" s="16">
        <f t="shared" ca="1" si="180"/>
        <v>10</v>
      </c>
      <c r="BZ59" s="16" t="str">
        <f t="shared" ca="1" si="181"/>
        <v>-</v>
      </c>
      <c r="CA59" s="16" t="str">
        <f t="shared" ca="1" si="182"/>
        <v>-</v>
      </c>
      <c r="CB59" s="16">
        <f t="shared" ref="CB59:CB68" ca="1" si="195">BY59+COUNTIFS(BZ$58:BZ$69,BZ59,CA$58:CA$69,"&gt;"&amp;CA59)</f>
        <v>10</v>
      </c>
      <c r="CC59" s="16"/>
      <c r="CD59" s="16">
        <f t="shared" ca="1" si="183"/>
        <v>10</v>
      </c>
      <c r="CE59" s="16" t="str">
        <f t="shared" ref="CE59:CE69" ca="1" si="196">IF(BZ59="-","-",COUNTIF(CD$58:CD$69,"&lt;"&amp;CD59))</f>
        <v>-</v>
      </c>
      <c r="CF59" s="16">
        <f t="shared" ref="CF59:CF69" ca="1" si="197">BY59+COUNTIFS(BZ$58:BZ$69,BZ59,CE$58:CE$69,"&lt;"&amp;CE59)</f>
        <v>10</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Argelia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447</v>
      </c>
      <c r="X60" s="24">
        <f ca="1">Horarios!C60</f>
        <v>46188.75</v>
      </c>
      <c r="Y60" s="25">
        <f ca="1">Horarios!C60</f>
        <v>46188.75</v>
      </c>
      <c r="Z60" s="26" t="str">
        <f>$Z$4</f>
        <v>J1</v>
      </c>
      <c r="AA60" s="27" t="str">
        <f ca="1">A61</f>
        <v>España</v>
      </c>
      <c r="AB60" s="49" t="e" cm="1" vm="29">
        <f t="array" aca="1" ref="AB60" ca="1">Ver_flag_local</f>
        <v>#VALUE!</v>
      </c>
      <c r="AC60" s="50">
        <v>6</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6</v>
      </c>
      <c r="BK60" s="16">
        <f t="shared" ca="1" si="173"/>
        <v>4</v>
      </c>
      <c r="BL60" s="16">
        <f t="shared" ca="1" si="190"/>
        <v>2</v>
      </c>
      <c r="BM60" s="16">
        <f t="shared" ca="1" si="191"/>
        <v>4</v>
      </c>
      <c r="BN60" s="16">
        <f t="shared" ca="1" si="192"/>
        <v>4</v>
      </c>
      <c r="BO60" s="16" t="str">
        <f t="shared" si="174"/>
        <v>4C</v>
      </c>
      <c r="BP60" s="16"/>
      <c r="BQ60" s="16"/>
      <c r="BR60" s="16">
        <f t="shared" ca="1" si="175"/>
        <v>3</v>
      </c>
      <c r="BS60" s="16">
        <f t="shared" ca="1" si="193"/>
        <v>4</v>
      </c>
      <c r="BT60" s="16" t="str">
        <f t="shared" ca="1" si="194"/>
        <v>Pos. 4 (9)</v>
      </c>
      <c r="BU60" s="16">
        <f t="shared" ca="1" si="176"/>
        <v>2</v>
      </c>
      <c r="BV60" s="16">
        <f t="shared" ca="1" si="177"/>
        <v>4</v>
      </c>
      <c r="BW60" s="16" t="str">
        <f t="shared" ca="1" si="178"/>
        <v>-</v>
      </c>
      <c r="BX60" s="16" t="str">
        <f t="shared" ca="1" si="179"/>
        <v>-</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México</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57"/>
      <c r="X61" s="24">
        <f ca="1">Horarios!C61</f>
        <v>46189</v>
      </c>
      <c r="Y61" s="25">
        <f ca="1">Horarios!C61</f>
        <v>46189</v>
      </c>
      <c r="Z61" s="26" t="str">
        <f>$Z$4</f>
        <v>J1</v>
      </c>
      <c r="AA61" s="27" t="str">
        <f ca="1">A63</f>
        <v>Arabia Saudita</v>
      </c>
      <c r="AB61" s="49" t="e" cm="1" vm="31">
        <f t="array" aca="1" ref="AB61" ca="1">Ver_flag_local</f>
        <v>#VALUE!</v>
      </c>
      <c r="AC61" s="50">
        <v>0</v>
      </c>
      <c r="AD61" s="51">
        <v>2</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3</v>
      </c>
      <c r="BF61" s="16">
        <f t="shared" ca="1" si="189"/>
        <v>3</v>
      </c>
      <c r="BG61" s="16">
        <f t="shared" ca="1" si="169"/>
        <v>1</v>
      </c>
      <c r="BH61" s="16">
        <f t="shared" ca="1" si="170"/>
        <v>0</v>
      </c>
      <c r="BI61" s="16">
        <f t="shared" ca="1" si="171"/>
        <v>2</v>
      </c>
      <c r="BJ61" s="16">
        <f t="shared" ca="1" si="172"/>
        <v>3</v>
      </c>
      <c r="BK61" s="16">
        <f t="shared" ca="1" si="173"/>
        <v>6</v>
      </c>
      <c r="BL61" s="16">
        <f t="shared" ca="1" si="190"/>
        <v>-3</v>
      </c>
      <c r="BM61" s="16">
        <f t="shared" ca="1" si="191"/>
        <v>11</v>
      </c>
      <c r="BN61" s="16">
        <f t="shared" ca="1" si="192"/>
        <v>11</v>
      </c>
      <c r="BO61" s="16" t="str">
        <f t="shared" si="174"/>
        <v>4D</v>
      </c>
      <c r="BP61" s="16"/>
      <c r="BQ61" s="16"/>
      <c r="BR61" s="16">
        <f t="shared" ca="1" si="175"/>
        <v>3</v>
      </c>
      <c r="BS61" s="16">
        <f t="shared" ca="1" si="193"/>
        <v>4</v>
      </c>
      <c r="BT61" s="16" t="str">
        <f t="shared" ca="1" si="194"/>
        <v>Pos. 4 (9)</v>
      </c>
      <c r="BU61" s="16">
        <f t="shared" ca="1" si="176"/>
        <v>-3</v>
      </c>
      <c r="BV61" s="16">
        <f t="shared" ca="1" si="177"/>
        <v>11</v>
      </c>
      <c r="BW61" s="16" t="str">
        <f t="shared" ca="1" si="178"/>
        <v>-</v>
      </c>
      <c r="BX61" s="16" t="str">
        <f t="shared" ca="1" si="179"/>
        <v>-</v>
      </c>
      <c r="BY61" s="16">
        <f t="shared" ca="1" si="180"/>
        <v>11</v>
      </c>
      <c r="BZ61" s="16" t="str">
        <f t="shared" ca="1" si="181"/>
        <v>-</v>
      </c>
      <c r="CA61" s="16" t="str">
        <f t="shared" ca="1" si="182"/>
        <v>-</v>
      </c>
      <c r="CB61" s="16">
        <f t="shared" ca="1" si="195"/>
        <v>11</v>
      </c>
      <c r="CC61" s="16"/>
      <c r="CD61" s="16">
        <f t="shared" ca="1" si="183"/>
        <v>11</v>
      </c>
      <c r="CE61" s="16" t="str">
        <f t="shared" ca="1" si="196"/>
        <v>-</v>
      </c>
      <c r="CF61" s="16">
        <f t="shared" ca="1" si="197"/>
        <v>11</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57"/>
      <c r="X62" s="24">
        <f ca="1">Horarios!C62</f>
        <v>46194.75</v>
      </c>
      <c r="Y62" s="25">
        <f ca="1">Horarios!C62</f>
        <v>46194.75</v>
      </c>
      <c r="Z62" s="26" t="str">
        <f>$Z$6</f>
        <v>J2</v>
      </c>
      <c r="AA62" s="27" t="str">
        <f ca="1">A61</f>
        <v>España</v>
      </c>
      <c r="AB62" s="49" t="e" cm="1" vm="29">
        <f t="array" aca="1" ref="AB62" ca="1">Ver_flag_local</f>
        <v>#VALUE!</v>
      </c>
      <c r="AC62" s="50">
        <v>3</v>
      </c>
      <c r="AD62" s="51">
        <v>1</v>
      </c>
      <c r="AE62" s="595" t="e" cm="1" vm="31">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12</v>
      </c>
      <c r="AS62" s="36">
        <f t="shared" ca="1" si="215"/>
        <v>2</v>
      </c>
      <c r="AT62" s="41">
        <f t="shared" ca="1" si="215"/>
        <v>10</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6</v>
      </c>
      <c r="BK62" s="16">
        <f t="shared" ca="1" si="173"/>
        <v>5</v>
      </c>
      <c r="BL62" s="16">
        <f t="shared" ca="1" si="190"/>
        <v>1</v>
      </c>
      <c r="BM62" s="16">
        <f t="shared" ca="1" si="191"/>
        <v>5</v>
      </c>
      <c r="BN62" s="16">
        <f t="shared" ca="1" si="192"/>
        <v>5</v>
      </c>
      <c r="BO62" s="16" t="str">
        <f t="shared" si="174"/>
        <v>4E</v>
      </c>
      <c r="BP62" s="16"/>
      <c r="BQ62" s="16"/>
      <c r="BR62" s="16">
        <f t="shared" ca="1" si="175"/>
        <v>3</v>
      </c>
      <c r="BS62" s="16">
        <f t="shared" ca="1" si="193"/>
        <v>4</v>
      </c>
      <c r="BT62" s="16" t="str">
        <f t="shared" ca="1" si="194"/>
        <v>Pos. 4 (9)</v>
      </c>
      <c r="BU62" s="16">
        <f t="shared" ca="1" si="176"/>
        <v>1</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Ecuador</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57"/>
      <c r="X63" s="24">
        <f ca="1">Horarios!C63</f>
        <v>46195</v>
      </c>
      <c r="Y63" s="25">
        <f ca="1">Horarios!C63</f>
        <v>46195</v>
      </c>
      <c r="Z63" s="26" t="str">
        <f>$Z$6</f>
        <v>J2</v>
      </c>
      <c r="AA63" s="27" t="str">
        <f ca="1">A64</f>
        <v>Uruguay</v>
      </c>
      <c r="AB63" s="49" t="e" cm="1" vm="32">
        <f t="array" aca="1" ref="AB63" ca="1">Ver_flag_local</f>
        <v>#VALUE!</v>
      </c>
      <c r="AC63" s="50">
        <v>2</v>
      </c>
      <c r="AD63" s="51">
        <v>1</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4</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3</v>
      </c>
      <c r="BF63" s="16">
        <f t="shared" ca="1" si="189"/>
        <v>3</v>
      </c>
      <c r="BG63" s="16">
        <f t="shared" ca="1" si="169"/>
        <v>1</v>
      </c>
      <c r="BH63" s="16">
        <f t="shared" ca="1" si="170"/>
        <v>0</v>
      </c>
      <c r="BI63" s="16">
        <f t="shared" ca="1" si="171"/>
        <v>2</v>
      </c>
      <c r="BJ63" s="16">
        <f t="shared" ca="1" si="172"/>
        <v>5</v>
      </c>
      <c r="BK63" s="16">
        <f t="shared" ca="1" si="173"/>
        <v>5</v>
      </c>
      <c r="BL63" s="16">
        <f t="shared" ca="1" si="190"/>
        <v>0</v>
      </c>
      <c r="BM63" s="16">
        <f t="shared" ca="1" si="191"/>
        <v>6</v>
      </c>
      <c r="BN63" s="16">
        <f t="shared" ca="1" si="192"/>
        <v>6</v>
      </c>
      <c r="BO63" s="16" t="str">
        <f t="shared" si="174"/>
        <v>4F</v>
      </c>
      <c r="BP63" s="16"/>
      <c r="BQ63" s="16"/>
      <c r="BR63" s="16">
        <f t="shared" ca="1" si="175"/>
        <v>3</v>
      </c>
      <c r="BS63" s="16">
        <f t="shared" ca="1" si="193"/>
        <v>4</v>
      </c>
      <c r="BT63" s="16" t="str">
        <f t="shared" ca="1" si="194"/>
        <v>Pos. 4 (9)</v>
      </c>
      <c r="BU63" s="16">
        <f t="shared" ca="1" si="176"/>
        <v>0</v>
      </c>
      <c r="BV63" s="16">
        <f t="shared" ca="1" si="177"/>
        <v>6</v>
      </c>
      <c r="BW63" s="16" t="str">
        <f t="shared" ca="1" si="178"/>
        <v>-</v>
      </c>
      <c r="BX63" s="16" t="str">
        <f t="shared" ca="1" si="179"/>
        <v>-</v>
      </c>
      <c r="BY63" s="16">
        <f t="shared" ca="1" si="180"/>
        <v>6</v>
      </c>
      <c r="BZ63" s="16" t="str">
        <f t="shared" ca="1" si="181"/>
        <v>-</v>
      </c>
      <c r="CA63" s="16" t="str">
        <f t="shared" ca="1" si="182"/>
        <v>-</v>
      </c>
      <c r="CB63" s="16">
        <f t="shared" ca="1" si="195"/>
        <v>6</v>
      </c>
      <c r="CC63" s="16"/>
      <c r="CD63" s="16">
        <f t="shared" ca="1" si="183"/>
        <v>6</v>
      </c>
      <c r="CE63" s="16" t="str">
        <f t="shared" ca="1" si="196"/>
        <v>-</v>
      </c>
      <c r="CF63" s="16">
        <f t="shared" ca="1" si="197"/>
        <v>6</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Japón</v>
      </c>
    </row>
    <row r="64" spans="1:121" ht="16" customHeight="1">
      <c r="A64" s="16" t="str">
        <f ca="1">+Equipos!B33</f>
        <v>Uruguay</v>
      </c>
      <c r="B64" s="16"/>
      <c r="C64" s="16"/>
      <c r="D64" s="16" t="str">
        <f t="shared" si="199"/>
        <v>Local</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57"/>
      <c r="X64" s="24">
        <f ca="1">Horarios!C64</f>
        <v>46200.083333333336</v>
      </c>
      <c r="Y64" s="25">
        <f ca="1">Horarios!C64</f>
        <v>46200.083333333336</v>
      </c>
      <c r="Z64" s="26" t="str">
        <f>$Z$8</f>
        <v>J3</v>
      </c>
      <c r="AA64" s="27" t="str">
        <f ca="1">A62</f>
        <v>Cabo Verde</v>
      </c>
      <c r="AB64" s="49" t="e" cm="1" vm="30">
        <f t="array" aca="1" ref="AB64" ca="1">Ver_flag_local</f>
        <v>#VALUE!</v>
      </c>
      <c r="AC64" s="50">
        <v>3</v>
      </c>
      <c r="AD64" s="51">
        <v>1</v>
      </c>
      <c r="AE64" s="595" t="e" cm="1" vm="31">
        <f t="array" aca="1" ref="AE64" ca="1">Ver_flag_visit</f>
        <v>#VALUE!</v>
      </c>
      <c r="AF64" s="32" t="str">
        <f ca="1">A63</f>
        <v>Arabia Saudita</v>
      </c>
      <c r="AG64" s="323">
        <f t="shared" si="212"/>
        <v>1</v>
      </c>
      <c r="AH64" s="195">
        <v>65</v>
      </c>
      <c r="AI64" s="181" t="str">
        <f t="shared" si="216"/>
        <v>3H</v>
      </c>
      <c r="AJ64" s="42">
        <v>3</v>
      </c>
      <c r="AK64" s="602" t="e" cm="1" vm="30">
        <f t="array" aca="1" ref="AK64" ca="1">Ver_flag_visit</f>
        <v>#VALUE!</v>
      </c>
      <c r="AL64" s="37" t="str">
        <f ca="1">IFERROR(INDEX($BD$6:$BD$53,MATCH(AI64,$BN$6:$BN$53,0)),"")</f>
        <v>Cabo Verde</v>
      </c>
      <c r="AM64" s="38">
        <f t="shared" ca="1" si="215"/>
        <v>3</v>
      </c>
      <c r="AN64" s="39">
        <f t="shared" ca="1" si="215"/>
        <v>3</v>
      </c>
      <c r="AO64" s="39">
        <f t="shared" ca="1" si="215"/>
        <v>1</v>
      </c>
      <c r="AP64" s="39">
        <f t="shared" ca="1" si="215"/>
        <v>0</v>
      </c>
      <c r="AQ64" s="39">
        <f t="shared" ca="1" si="215"/>
        <v>2</v>
      </c>
      <c r="AR64" s="39">
        <f t="shared" ca="1" si="215"/>
        <v>4</v>
      </c>
      <c r="AS64" s="39">
        <f t="shared" ca="1" si="215"/>
        <v>9</v>
      </c>
      <c r="AT64" s="43">
        <f t="shared" ca="1" si="215"/>
        <v>-5</v>
      </c>
      <c r="AU64" s="330">
        <f ca="1">INDEX($DL$6:$DL$53,MATCH(AI64,$DP$6:$DP$53,0))</f>
        <v>1</v>
      </c>
      <c r="AV64" s="182" t="str">
        <f ca="1">INDEX($BD$6:$BD$53,MATCH(AI64,$BM$6:$BM$53,0))</f>
        <v>Cabo Verde</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4</v>
      </c>
      <c r="BK64" s="16">
        <f t="shared" ca="1" si="173"/>
        <v>5</v>
      </c>
      <c r="BL64" s="16">
        <f t="shared" ca="1" si="190"/>
        <v>-1</v>
      </c>
      <c r="BM64" s="16">
        <f t="shared" ca="1" si="191"/>
        <v>8</v>
      </c>
      <c r="BN64" s="16">
        <f t="shared" ca="1" si="192"/>
        <v>8</v>
      </c>
      <c r="BO64" s="16" t="str">
        <f t="shared" si="174"/>
        <v>4G</v>
      </c>
      <c r="BP64" s="16"/>
      <c r="BQ64" s="16"/>
      <c r="BR64" s="16">
        <f t="shared" ca="1" si="175"/>
        <v>3</v>
      </c>
      <c r="BS64" s="16">
        <f t="shared" ca="1" si="193"/>
        <v>4</v>
      </c>
      <c r="BT64" s="16" t="str">
        <f t="shared" ca="1" si="194"/>
        <v>Pos. 4 (9)</v>
      </c>
      <c r="BU64" s="16">
        <f t="shared" ca="1" si="176"/>
        <v>-1</v>
      </c>
      <c r="BV64" s="16">
        <f t="shared" ca="1" si="177"/>
        <v>7</v>
      </c>
      <c r="BW64" s="16" t="str">
        <f t="shared" ca="1" si="178"/>
        <v>Pos. 7 (3)</v>
      </c>
      <c r="BX64" s="16">
        <f t="shared" ca="1" si="179"/>
        <v>4</v>
      </c>
      <c r="BY64" s="16">
        <f t="shared" ca="1" si="180"/>
        <v>7</v>
      </c>
      <c r="BZ64" s="16" t="str">
        <f t="shared" ca="1" si="181"/>
        <v>Pos. 7 (3)</v>
      </c>
      <c r="CA64" s="16">
        <f t="shared" ca="1" si="182"/>
        <v>4</v>
      </c>
      <c r="CB64" s="16">
        <f t="shared" ca="1" si="195"/>
        <v>8</v>
      </c>
      <c r="CC64" s="16"/>
      <c r="CD64" s="16">
        <f t="shared" ca="1" si="183"/>
        <v>8</v>
      </c>
      <c r="CE64" s="16">
        <f t="shared" ca="1" si="196"/>
        <v>7</v>
      </c>
      <c r="CF64" s="16">
        <f t="shared" ca="1" si="197"/>
        <v>8</v>
      </c>
      <c r="DJ64" s="16">
        <f t="shared" ca="1" si="184"/>
        <v>7</v>
      </c>
      <c r="DK64" s="16"/>
      <c r="DL64" s="16">
        <f t="shared" ca="1" si="185"/>
        <v>3</v>
      </c>
      <c r="DM64" s="16" t="str">
        <f t="shared" ca="1" si="186"/>
        <v>7.3</v>
      </c>
      <c r="DN64" s="16" t="e" cm="1" vm="33">
        <f t="array" aca="1" ref="DN64" ca="1">OFFSET(Horarios!$P$3,DJ64-1,0,DL64,1)</f>
        <v>#VALUE!</v>
      </c>
      <c r="DO64" s="16"/>
      <c r="DP64" s="16">
        <v>7</v>
      </c>
      <c r="DQ64" s="16" t="str">
        <f t="shared" ca="1" si="198"/>
        <v>Ghana</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58"/>
      <c r="X65" s="28">
        <f ca="1">Horarios!C65</f>
        <v>46200.083333333336</v>
      </c>
      <c r="Y65" s="29">
        <f ca="1">Horarios!C65</f>
        <v>46200.083333333336</v>
      </c>
      <c r="Z65" s="30" t="str">
        <f>$Z$8</f>
        <v>J3</v>
      </c>
      <c r="AA65" s="31" t="str">
        <f ca="1">A64</f>
        <v>Uruguay</v>
      </c>
      <c r="AB65" s="52" t="e" cm="1" vm="32">
        <f t="array" aca="1" ref="AB65" ca="1">Ver_flag_local</f>
        <v>#VALUE!</v>
      </c>
      <c r="AC65" s="53">
        <v>1</v>
      </c>
      <c r="AD65" s="54">
        <v>3</v>
      </c>
      <c r="AE65" s="596" t="e" cm="1" vm="29">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Arabia Saudita</v>
      </c>
      <c r="AM65" s="46">
        <f t="shared" ca="1" si="215"/>
        <v>0</v>
      </c>
      <c r="AN65" s="47">
        <f t="shared" ca="1" si="215"/>
        <v>3</v>
      </c>
      <c r="AO65" s="47">
        <f t="shared" ca="1" si="215"/>
        <v>0</v>
      </c>
      <c r="AP65" s="47">
        <f t="shared" ca="1" si="215"/>
        <v>0</v>
      </c>
      <c r="AQ65" s="47">
        <f t="shared" ca="1" si="215"/>
        <v>3</v>
      </c>
      <c r="AR65" s="47">
        <f t="shared" ca="1" si="215"/>
        <v>2</v>
      </c>
      <c r="AS65" s="47">
        <f t="shared" ca="1" si="215"/>
        <v>8</v>
      </c>
      <c r="AT65" s="48">
        <f t="shared" ca="1" si="215"/>
        <v>-6</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Cabo Verde</v>
      </c>
      <c r="BE65" s="16">
        <f t="shared" ca="1" si="188"/>
        <v>3</v>
      </c>
      <c r="BF65" s="16">
        <f t="shared" ca="1" si="189"/>
        <v>3</v>
      </c>
      <c r="BG65" s="16">
        <f t="shared" ca="1" si="169"/>
        <v>1</v>
      </c>
      <c r="BH65" s="16">
        <f t="shared" ca="1" si="170"/>
        <v>0</v>
      </c>
      <c r="BI65" s="16">
        <f t="shared" ca="1" si="171"/>
        <v>2</v>
      </c>
      <c r="BJ65" s="16">
        <f t="shared" ca="1" si="172"/>
        <v>4</v>
      </c>
      <c r="BK65" s="16">
        <f t="shared" ca="1" si="173"/>
        <v>9</v>
      </c>
      <c r="BL65" s="16">
        <f t="shared" ca="1" si="190"/>
        <v>-5</v>
      </c>
      <c r="BM65" s="16">
        <f t="shared" ca="1" si="191"/>
        <v>12</v>
      </c>
      <c r="BN65" s="16">
        <f t="shared" ca="1" si="192"/>
        <v>12</v>
      </c>
      <c r="BO65" s="16" t="str">
        <f t="shared" si="174"/>
        <v>4H</v>
      </c>
      <c r="BP65" s="16"/>
      <c r="BQ65" s="16"/>
      <c r="BR65" s="16">
        <f t="shared" ca="1" si="175"/>
        <v>3</v>
      </c>
      <c r="BS65" s="16">
        <f t="shared" ca="1" si="193"/>
        <v>4</v>
      </c>
      <c r="BT65" s="16" t="str">
        <f t="shared" ca="1" si="194"/>
        <v>Pos. 4 (9)</v>
      </c>
      <c r="BU65" s="16">
        <f t="shared" ca="1" si="176"/>
        <v>-5</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7</v>
      </c>
      <c r="DK65" s="16"/>
      <c r="DL65" s="16">
        <f t="shared" ca="1" si="185"/>
        <v>3</v>
      </c>
      <c r="DM65" s="16" t="str">
        <f t="shared" ca="1" si="186"/>
        <v>7.3</v>
      </c>
      <c r="DN65" s="16" t="e" cm="1" vm="33">
        <f t="array" aca="1" ref="DN65" ca="1">OFFSET(Horarios!$P$3,DJ65-1,0,DL65,1)</f>
        <v>#VALUE!</v>
      </c>
      <c r="DO65" s="16"/>
      <c r="DP65" s="16">
        <v>8</v>
      </c>
      <c r="DQ65" s="16" t="str">
        <f t="shared" ca="1" si="198"/>
        <v>Irán</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6</v>
      </c>
      <c r="BK66" s="16">
        <f t="shared" ca="1" si="173"/>
        <v>5</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(3)</v>
      </c>
      <c r="BU66" s="16">
        <f t="shared" ca="1" si="176"/>
        <v>1</v>
      </c>
      <c r="BV66" s="16">
        <f t="shared" ca="1" si="177"/>
        <v>1</v>
      </c>
      <c r="BW66" s="16" t="str">
        <f t="shared" ca="1" si="178"/>
        <v>Pos. 1 (2)</v>
      </c>
      <c r="BX66" s="16">
        <f t="shared" ca="1" si="179"/>
        <v>6</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7</v>
      </c>
      <c r="DK66" s="16"/>
      <c r="DL66" s="16">
        <f t="shared" ca="1" si="185"/>
        <v>3</v>
      </c>
      <c r="DM66" s="16" t="str">
        <f t="shared" ca="1" si="186"/>
        <v>7.3</v>
      </c>
      <c r="DN66" s="16" t="e" cm="1" vm="33">
        <f t="array" aca="1" ref="DN66" ca="1">OFFSET(Horarios!$P$3,DJ66-1,0,DL66,1)</f>
        <v>#VALUE!</v>
      </c>
      <c r="DO66" s="16"/>
      <c r="DP66" s="16">
        <v>9</v>
      </c>
      <c r="DQ66" s="16" t="str">
        <f t="shared" ca="1" si="198"/>
        <v>RD Congo</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4</v>
      </c>
      <c r="BL67" s="16">
        <f t="shared" ca="1" si="190"/>
        <v>1</v>
      </c>
      <c r="BM67" s="16">
        <f t="shared" ca="1" si="191"/>
        <v>2</v>
      </c>
      <c r="BN67" s="16">
        <f t="shared" ca="1" si="192"/>
        <v>2</v>
      </c>
      <c r="BO67" s="16" t="str">
        <f t="shared" si="174"/>
        <v>4J</v>
      </c>
      <c r="BP67" s="16"/>
      <c r="BQ67" s="16"/>
      <c r="BR67" s="16">
        <f t="shared" ca="1" si="175"/>
        <v>4</v>
      </c>
      <c r="BS67" s="16">
        <f t="shared" ca="1" si="193"/>
        <v>1</v>
      </c>
      <c r="BT67" s="16" t="str">
        <f t="shared" ca="1" si="194"/>
        <v>Pos. 1 (3)</v>
      </c>
      <c r="BU67" s="16">
        <f t="shared" ca="1" si="176"/>
        <v>1</v>
      </c>
      <c r="BV67" s="16">
        <f t="shared" ca="1" si="177"/>
        <v>1</v>
      </c>
      <c r="BW67" s="16" t="str">
        <f t="shared" ca="1" si="178"/>
        <v>Pos. 1 (2)</v>
      </c>
      <c r="BX67" s="16">
        <f t="shared" ca="1" si="179"/>
        <v>5</v>
      </c>
      <c r="BY67" s="16">
        <f t="shared" ca="1" si="180"/>
        <v>2</v>
      </c>
      <c r="BZ67" s="16" t="str">
        <f t="shared" ca="1" si="181"/>
        <v>-</v>
      </c>
      <c r="CA67" s="16" t="str">
        <f t="shared" ca="1" si="182"/>
        <v>-</v>
      </c>
      <c r="CB67" s="16">
        <f t="shared" ca="1" si="195"/>
        <v>2</v>
      </c>
      <c r="CC67" s="16"/>
      <c r="CD67" s="16">
        <f t="shared" ca="1" si="183"/>
        <v>2</v>
      </c>
      <c r="CE67" s="16" t="str">
        <f t="shared" ca="1" si="196"/>
        <v>-</v>
      </c>
      <c r="CF67" s="16">
        <f t="shared" ca="1" si="197"/>
        <v>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Bosnia y Herzegovina</v>
      </c>
    </row>
    <row r="68" spans="1:121" ht="16"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46189.875</v>
      </c>
      <c r="Y68" s="25">
        <f ca="1">Horarios!C68</f>
        <v>46189.875</v>
      </c>
      <c r="Z68" s="26" t="str">
        <f>$Z$4</f>
        <v>J1</v>
      </c>
      <c r="AA68" s="27" t="str">
        <f ca="1">A69</f>
        <v>Francia</v>
      </c>
      <c r="AB68" s="49" t="e" cm="1" vm="34">
        <f t="array" aca="1" ref="AB68" ca="1">Ver_flag_local</f>
        <v>#VALUE!</v>
      </c>
      <c r="AC68" s="50">
        <v>2</v>
      </c>
      <c r="AD68" s="51">
        <v>2</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4</v>
      </c>
      <c r="BK68" s="16">
        <f t="shared" ca="1" si="173"/>
        <v>5</v>
      </c>
      <c r="BL68" s="16">
        <f t="shared" ca="1" si="190"/>
        <v>-1</v>
      </c>
      <c r="BM68" s="16">
        <f t="shared" ca="1" si="191"/>
        <v>9</v>
      </c>
      <c r="BN68" s="16">
        <f t="shared" ca="1" si="192"/>
        <v>9</v>
      </c>
      <c r="BO68" s="16" t="str">
        <f t="shared" si="174"/>
        <v>4K</v>
      </c>
      <c r="BP68" s="16"/>
      <c r="BQ68" s="16"/>
      <c r="BR68" s="16">
        <f t="shared" ca="1" si="175"/>
        <v>3</v>
      </c>
      <c r="BS68" s="16">
        <f t="shared" ca="1" si="193"/>
        <v>4</v>
      </c>
      <c r="BT68" s="16" t="str">
        <f t="shared" ca="1" si="194"/>
        <v>Pos. 4 (9)</v>
      </c>
      <c r="BU68" s="16">
        <f t="shared" ca="1" si="176"/>
        <v>-1</v>
      </c>
      <c r="BV68" s="16">
        <f t="shared" ca="1" si="177"/>
        <v>7</v>
      </c>
      <c r="BW68" s="16" t="str">
        <f t="shared" ca="1" si="178"/>
        <v>Pos. 7 (3)</v>
      </c>
      <c r="BX68" s="16">
        <f t="shared" ca="1" si="179"/>
        <v>4</v>
      </c>
      <c r="BY68" s="16">
        <f t="shared" ca="1" si="180"/>
        <v>7</v>
      </c>
      <c r="BZ68" s="16" t="str">
        <f t="shared" ca="1" si="181"/>
        <v>Pos. 7 (3)</v>
      </c>
      <c r="CA68" s="16">
        <f t="shared" ca="1" si="182"/>
        <v>0</v>
      </c>
      <c r="CB68" s="16">
        <f t="shared" ca="1" si="195"/>
        <v>9</v>
      </c>
      <c r="CC68" s="16"/>
      <c r="CD68" s="16">
        <f t="shared" ca="1" si="183"/>
        <v>9</v>
      </c>
      <c r="CE68" s="16">
        <f t="shared" ca="1" si="196"/>
        <v>8</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Australia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1</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7</v>
      </c>
      <c r="BN69" s="16">
        <f t="shared" ca="1" si="192"/>
        <v>7</v>
      </c>
      <c r="BO69" s="16" t="str">
        <f t="shared" si="174"/>
        <v>4L</v>
      </c>
      <c r="BP69" s="16"/>
      <c r="BQ69" s="16"/>
      <c r="BR69" s="16">
        <f t="shared" ca="1" si="175"/>
        <v>3</v>
      </c>
      <c r="BS69" s="16">
        <f t="shared" ca="1" si="193"/>
        <v>4</v>
      </c>
      <c r="BT69" s="16" t="str">
        <f t="shared" ca="1" si="194"/>
        <v>Pos. 4 (9)</v>
      </c>
      <c r="BU69" s="16">
        <f t="shared" ca="1" si="176"/>
        <v>-1</v>
      </c>
      <c r="BV69" s="16">
        <f t="shared" ca="1" si="177"/>
        <v>7</v>
      </c>
      <c r="BW69" s="16" t="str">
        <f t="shared" ca="1" si="178"/>
        <v>Pos. 7 (3)</v>
      </c>
      <c r="BX69" s="16">
        <f t="shared" ca="1" si="179"/>
        <v>4</v>
      </c>
      <c r="BY69" s="16">
        <f t="shared" ca="1" si="180"/>
        <v>7</v>
      </c>
      <c r="BZ69" s="16" t="str">
        <f t="shared" ca="1" si="181"/>
        <v>Pos. 7 (3)</v>
      </c>
      <c r="CA69" s="16">
        <f t="shared" ca="1" si="182"/>
        <v>5</v>
      </c>
      <c r="CB69" s="16">
        <f ca="1">BY69+COUNTIFS(BZ$58:BZ$69,BZ69,CA$58:CA$69,"&gt;"&amp;CA69)</f>
        <v>7</v>
      </c>
      <c r="CC69" s="16"/>
      <c r="CD69" s="16">
        <f t="shared" ca="1" si="183"/>
        <v>7</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Cabo Verde</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e" cm="1" vm="34">
        <f t="array" aca="1" ref="AB70" ca="1">Ver_flag_local</f>
        <v>#VALUE!</v>
      </c>
      <c r="AC70" s="50">
        <v>3</v>
      </c>
      <c r="AD70" s="51">
        <v>1</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7</v>
      </c>
      <c r="AS70" s="36">
        <f t="shared" ca="1" si="233"/>
        <v>4</v>
      </c>
      <c r="AT70" s="41">
        <f t="shared" ca="1" si="233"/>
        <v>3</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2</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5</v>
      </c>
      <c r="AN71" s="39">
        <f t="shared" ca="1" si="233"/>
        <v>3</v>
      </c>
      <c r="AO71" s="39">
        <f t="shared" ca="1" si="233"/>
        <v>1</v>
      </c>
      <c r="AP71" s="39">
        <f t="shared" ca="1" si="233"/>
        <v>2</v>
      </c>
      <c r="AQ71" s="39">
        <f t="shared" ca="1" si="233"/>
        <v>0</v>
      </c>
      <c r="AR71" s="39">
        <f t="shared" ca="1" si="233"/>
        <v>7</v>
      </c>
      <c r="AS71" s="39">
        <f t="shared" ca="1" si="233"/>
        <v>5</v>
      </c>
      <c r="AT71" s="43">
        <f t="shared" ca="1" si="233"/>
        <v>2</v>
      </c>
      <c r="AU71" s="330">
        <f ca="1">INDEX($DL$6:$DL$53,MATCH(AI71,$DP$6:$DP$53,0))</f>
        <v>1</v>
      </c>
      <c r="AV71" s="182" t="str">
        <f ca="1">INDEX($BD$6:$BD$53,MATCH(AI71,$BM$6:$BM$53,0))</f>
        <v>Senegal</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6</v>
      </c>
      <c r="AS72" s="39">
        <f t="shared" ca="1" si="233"/>
        <v>5</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5">
        <f t="array" aca="1" ref="AB73" ca="1">Ver_flag_local</f>
        <v>#VALUE!</v>
      </c>
      <c r="AC73" s="53">
        <v>3</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3</v>
      </c>
      <c r="AS73" s="47">
        <f t="shared" ca="1" si="233"/>
        <v>9</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5</v>
      </c>
      <c r="X76" s="24">
        <f ca="1">Horarios!C76</f>
        <v>46190.125</v>
      </c>
      <c r="Y76" s="25">
        <f ca="1">Horarios!C76</f>
        <v>46190.125</v>
      </c>
      <c r="Z76" s="26" t="str">
        <f>$Z$4</f>
        <v>J1</v>
      </c>
      <c r="AA76" s="27" t="str">
        <f ca="1">A77</f>
        <v>Argentina</v>
      </c>
      <c r="AB76" s="49" t="e" cm="1" vm="38">
        <f t="array" aca="1" ref="AB76" ca="1">Ver_flag_local</f>
        <v>#VALUE!</v>
      </c>
      <c r="AC76" s="50">
        <v>2</v>
      </c>
      <c r="AD76" s="51">
        <v>1</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46190.25</v>
      </c>
      <c r="Y77" s="25">
        <f ca="1">Horarios!C77</f>
        <v>46190.25</v>
      </c>
      <c r="Z77" s="26" t="str">
        <f>$Z$4</f>
        <v>J1</v>
      </c>
      <c r="AA77" s="27" t="str">
        <f ca="1">A79</f>
        <v>Austria</v>
      </c>
      <c r="AB77" s="49" t="e" cm="1" vm="40">
        <f t="array" aca="1" ref="AB77" ca="1">Ver_flag_local</f>
        <v>#VALUE!</v>
      </c>
      <c r="AC77" s="50">
        <v>3</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2</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0</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4</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2</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4</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8</v>
      </c>
      <c r="AT81" s="48">
        <f t="shared" ca="1" si="251"/>
        <v>-8</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2</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3</v>
      </c>
      <c r="AT87" s="43">
        <f t="shared" ca="1" si="269"/>
        <v>2</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4</v>
      </c>
      <c r="AS88" s="39">
        <f t="shared" ca="1" si="269"/>
        <v>5</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46201.0625</v>
      </c>
      <c r="Y89" s="29">
        <f ca="1">Horarios!C89</f>
        <v>46201.0625</v>
      </c>
      <c r="Z89" s="30" t="str">
        <f>$Z$8</f>
        <v>J3</v>
      </c>
      <c r="AA89" s="31" t="str">
        <f ca="1">A86</f>
        <v>RD Congo</v>
      </c>
      <c r="AB89" s="52" t="e" cm="1" vm="43">
        <f t="array" aca="1" ref="AB89" ca="1">Ver_flag_local</f>
        <v>#VALUE!</v>
      </c>
      <c r="AC89" s="53">
        <v>2</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46190.916666666664</v>
      </c>
      <c r="Y92" s="25">
        <f ca="1">Horarios!C92</f>
        <v>46190.916666666664</v>
      </c>
      <c r="Z92" s="26" t="str">
        <f>$Z$4</f>
        <v>J1</v>
      </c>
      <c r="AA92" s="27" t="str">
        <f ca="1">A93</f>
        <v>Inglaterra</v>
      </c>
      <c r="AB92" s="49" t="e" cm="1" vm="46">
        <f t="array" aca="1" ref="AB92" ca="1">Ver_flag_local</f>
        <v>#VALUE!</v>
      </c>
      <c r="AC92" s="50">
        <v>3</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3</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3</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9</v>
      </c>
      <c r="AS94" s="36">
        <f t="shared" ca="1" si="287"/>
        <v>2</v>
      </c>
      <c r="AT94" s="41">
        <f t="shared" ca="1" si="287"/>
        <v>7</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3</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2</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8</v>
      </c>
      <c r="AT97" s="48">
        <f t="shared" ca="1" si="287"/>
        <v>-8</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República Checa</v>
      </c>
      <c r="AB101" s="89"/>
      <c r="AC101" s="51">
        <v>1</v>
      </c>
      <c r="AD101" s="51">
        <v>2</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3</v>
      </c>
      <c r="AV101" s="188"/>
      <c r="AW101" s="214"/>
      <c r="AX101" s="214"/>
      <c r="AY101" s="335" t="str">
        <f ca="1">+IF(OR($H$113&gt;=48,$AJ$99=144),Idiomas!D68,"")</f>
        <v xml:space="preserve">Grupos mejores 3ºs: </v>
      </c>
      <c r="AZ101" s="336" t="str">
        <f ca="1">+IF(OR($H$113&gt;=48,$AJ$99=144),BI112,"")</f>
        <v>ACEFGIJL</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Suecia</v>
      </c>
      <c r="AG102" s="327">
        <f t="shared" ca="1" si="294"/>
        <v>1</v>
      </c>
      <c r="AH102" s="195">
        <v>76</v>
      </c>
      <c r="AI102" s="182">
        <v>1</v>
      </c>
      <c r="AJ102" s="80">
        <v>1</v>
      </c>
      <c r="AK102" s="605" t="e" cm="1" vm="37">
        <f t="array" aca="1" ref="AK102" ca="1">Ver_flag_visit</f>
        <v>#VALUE!</v>
      </c>
      <c r="AL102" s="81" t="str">
        <f t="shared" ref="AL102:AL113" ca="1" si="297">+IF($H$113&gt;=48,INDEX($BD$58:$BD$69,MATCH(AI102,$BN$58:$BN$69,0)),BB58)</f>
        <v>Noruega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6</v>
      </c>
      <c r="AS102" s="83">
        <f t="shared" ca="1" si="298"/>
        <v>5</v>
      </c>
      <c r="AT102" s="84">
        <f t="shared" ca="1" si="298"/>
        <v>1</v>
      </c>
      <c r="AU102" s="330">
        <f t="shared" ref="AU102:AU113" ca="1" si="299">IF($H$113=144,INDEX($DL$58:$DL$69,MATCH(AI102,$DP$58:$DP$69,0)),"")</f>
        <v>1</v>
      </c>
      <c r="AV102" s="182" t="str">
        <f t="shared" ref="AV102:AV113" ca="1" si="300">INDEX($BD$58:$BD$69,MATCH(AI102,$BM$58:$BM$69,0))</f>
        <v>Noruega</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Escocia</v>
      </c>
      <c r="AG103" s="327">
        <f t="shared" ca="1" si="294"/>
        <v>1</v>
      </c>
      <c r="AH103" s="195">
        <v>74</v>
      </c>
      <c r="AI103" s="182">
        <v>2</v>
      </c>
      <c r="AJ103" s="42">
        <v>2</v>
      </c>
      <c r="AK103" s="602" t="e" cm="1" vm="39">
        <f t="array" aca="1" ref="AK103" ca="1">Ver_flag_visit</f>
        <v>#VALUE!</v>
      </c>
      <c r="AL103" s="85" t="str">
        <f t="shared" ca="1" si="297"/>
        <v>Argelia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4</v>
      </c>
      <c r="AT103" s="87">
        <f t="shared" ca="1" si="302"/>
        <v>1</v>
      </c>
      <c r="AU103" s="330">
        <f t="shared" ca="1" si="299"/>
        <v>1</v>
      </c>
      <c r="AV103" s="182" t="str">
        <f t="shared" ca="1" si="300"/>
        <v>Argelia</v>
      </c>
      <c r="AW103" s="215"/>
      <c r="AX103" s="170"/>
      <c r="AY103" s="276"/>
      <c r="AZ103" s="279" t="str">
        <f t="shared" ref="AZ103:AZ110" ca="1" si="303">+IF(OR($H$113&gt;=48,$AJ$99=144),BF117&amp;" - "&amp;BG117,"")</f>
        <v>1A - 3E</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A</v>
      </c>
    </row>
    <row r="104" spans="1:62" ht="16"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1">
        <f t="array" aca="1" ref="AK104" ca="1">Ver_flag_visit</f>
        <v>#VALUE!</v>
      </c>
      <c r="AL104" s="85" t="str">
        <f t="shared" ca="1" si="297"/>
        <v>México</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5</v>
      </c>
      <c r="AS104" s="86">
        <f t="shared" ca="1" si="307"/>
        <v>5</v>
      </c>
      <c r="AT104" s="87">
        <f t="shared" ca="1" si="307"/>
        <v>0</v>
      </c>
      <c r="AU104" s="330">
        <f t="shared" ca="1" si="299"/>
        <v>1</v>
      </c>
      <c r="AV104" s="182" t="str">
        <f t="shared" ca="1" si="300"/>
        <v>México</v>
      </c>
      <c r="AW104" s="215">
        <v>4</v>
      </c>
      <c r="AX104" s="170"/>
      <c r="AY104" s="276"/>
      <c r="AZ104" s="279" t="str">
        <f t="shared" ca="1" si="303"/>
        <v>1B - 3G</v>
      </c>
      <c r="BA104" s="176"/>
      <c r="BF104" t="str">
        <f t="shared" ca="1" si="304"/>
        <v>J</v>
      </c>
      <c r="BG104">
        <f t="shared" ca="1" si="305"/>
        <v>7</v>
      </c>
      <c r="BI104">
        <v>2</v>
      </c>
      <c r="BJ104" t="str">
        <f t="shared" ca="1" si="306"/>
        <v>C</v>
      </c>
    </row>
    <row r="105" spans="1:62" ht="16" customHeight="1">
      <c r="A105" s="16" t="s">
        <v>684</v>
      </c>
      <c r="B105" s="16" t="s">
        <v>734</v>
      </c>
      <c r="C105" s="16"/>
      <c r="D105" s="16" t="str">
        <f t="shared" ca="1" si="289"/>
        <v>Senegal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Senegal</v>
      </c>
      <c r="AG105" s="327">
        <f t="shared" ca="1" si="294"/>
        <v>1</v>
      </c>
      <c r="AH105" s="195">
        <v>78</v>
      </c>
      <c r="AI105" s="182">
        <v>4</v>
      </c>
      <c r="AJ105" s="42">
        <v>4</v>
      </c>
      <c r="AK105" s="602" t="e" cm="1" vm="12">
        <f t="array" aca="1" ref="AK105" ca="1">Ver_flag_visit</f>
        <v>#VALUE!</v>
      </c>
      <c r="AL105" s="85" t="str">
        <f t="shared" ca="1" si="297"/>
        <v>Escocia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6</v>
      </c>
      <c r="AS105" s="86">
        <f t="shared" ca="1" si="308"/>
        <v>4</v>
      </c>
      <c r="AT105" s="87">
        <f t="shared" ca="1" si="308"/>
        <v>2</v>
      </c>
      <c r="AU105" s="330">
        <f t="shared" ca="1" si="299"/>
        <v>1</v>
      </c>
      <c r="AV105" s="182" t="str">
        <f t="shared" ca="1" si="300"/>
        <v>Escocia</v>
      </c>
      <c r="AW105" s="215">
        <v>3</v>
      </c>
      <c r="AX105" s="170"/>
      <c r="AY105" s="276"/>
      <c r="AZ105" s="279" t="str">
        <f t="shared" ca="1" si="303"/>
        <v>1D - 3J</v>
      </c>
      <c r="BA105" s="176"/>
      <c r="BF105" t="str">
        <f t="shared" ca="1" si="304"/>
        <v>A</v>
      </c>
      <c r="BG105">
        <f t="shared" ca="1" si="305"/>
        <v>1</v>
      </c>
      <c r="BI105">
        <v>3</v>
      </c>
      <c r="BJ105" t="str">
        <f t="shared" ca="1" si="306"/>
        <v>E</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Japón</v>
      </c>
      <c r="AG106" s="327">
        <f t="shared" ca="1" si="294"/>
        <v>1</v>
      </c>
      <c r="AH106" s="195">
        <v>77</v>
      </c>
      <c r="AI106" s="182">
        <v>5</v>
      </c>
      <c r="AJ106" s="42">
        <v>5</v>
      </c>
      <c r="AK106" s="602" t="e" cm="1" vm="20">
        <f t="array" aca="1" ref="AK106" ca="1">Ver_flag_visit</f>
        <v>#VALUE!</v>
      </c>
      <c r="AL106" s="85" t="str">
        <f t="shared" ca="1" si="297"/>
        <v>Ecuador</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6</v>
      </c>
      <c r="AS106" s="86">
        <f t="shared" ca="1" si="309"/>
        <v>5</v>
      </c>
      <c r="AT106" s="87">
        <f t="shared" ca="1" si="309"/>
        <v>1</v>
      </c>
      <c r="AU106" s="330">
        <f t="shared" ca="1" si="299"/>
        <v>1</v>
      </c>
      <c r="AV106" s="182" t="str">
        <f t="shared" ca="1" si="300"/>
        <v>Ecuador</v>
      </c>
      <c r="AW106" s="215"/>
      <c r="AX106" s="170"/>
      <c r="AY106" s="276"/>
      <c r="AZ106" s="279" t="str">
        <f t="shared" ca="1" si="303"/>
        <v>1E - 3C</v>
      </c>
      <c r="BA106" s="176"/>
      <c r="BF106" t="str">
        <f t="shared" ca="1" si="304"/>
        <v>C</v>
      </c>
      <c r="BG106">
        <f t="shared" ca="1" si="305"/>
        <v>2</v>
      </c>
      <c r="BI106">
        <v>4</v>
      </c>
      <c r="BJ106" t="str">
        <f t="shared" ca="1" si="306"/>
        <v>F</v>
      </c>
    </row>
    <row r="107" spans="1:62" ht="16" customHeight="1">
      <c r="A107" s="16" t="s">
        <v>656</v>
      </c>
      <c r="B107" s="16" t="s">
        <v>735</v>
      </c>
      <c r="C107" s="16"/>
      <c r="D107" s="16" t="str">
        <f t="shared" ca="1" si="289"/>
        <v>Corea del Sur</v>
      </c>
      <c r="E107" s="16" t="s">
        <v>0</v>
      </c>
      <c r="F107" s="16" t="s">
        <v>732</v>
      </c>
      <c r="G107" s="16" t="s">
        <v>6</v>
      </c>
      <c r="H107" s="16">
        <f t="shared" ca="1" si="290"/>
        <v>12</v>
      </c>
      <c r="I107" s="16"/>
      <c r="J107" s="16">
        <v>79</v>
      </c>
      <c r="K107" s="16">
        <v>46203.75</v>
      </c>
      <c r="L107" s="16" t="s">
        <v>702</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46204.125</v>
      </c>
      <c r="Y107" s="25">
        <f ca="1">Horarios!C107</f>
        <v>46204.125</v>
      </c>
      <c r="Z107" s="280">
        <f t="shared" si="296"/>
        <v>79</v>
      </c>
      <c r="AA107" s="88" t="str">
        <f t="shared" ca="1" si="292"/>
        <v>Corea del Sur</v>
      </c>
      <c r="AB107" s="89"/>
      <c r="AC107" s="92">
        <v>3</v>
      </c>
      <c r="AD107" s="92">
        <v>1</v>
      </c>
      <c r="AE107" s="89"/>
      <c r="AF107" s="91" t="str">
        <f t="shared" ca="1" si="293"/>
        <v>Ecuador</v>
      </c>
      <c r="AG107" s="327">
        <f t="shared" ca="1" si="294"/>
        <v>1</v>
      </c>
      <c r="AH107" s="195">
        <v>79</v>
      </c>
      <c r="AI107" s="182">
        <v>6</v>
      </c>
      <c r="AJ107" s="42">
        <v>6</v>
      </c>
      <c r="AK107" s="602" t="e" cm="1" vm="22">
        <f t="array" aca="1" ref="AK107" ca="1">Ver_flag_visit</f>
        <v>#VALUE!</v>
      </c>
      <c r="AL107" s="85" t="str">
        <f t="shared" ca="1" si="297"/>
        <v>Japón</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5</v>
      </c>
      <c r="AS107" s="86">
        <f t="shared" ca="1" si="310"/>
        <v>5</v>
      </c>
      <c r="AT107" s="87">
        <f t="shared" ca="1" si="310"/>
        <v>0</v>
      </c>
      <c r="AU107" s="330">
        <f t="shared" ca="1" si="299"/>
        <v>1</v>
      </c>
      <c r="AV107" s="182" t="str">
        <f ca="1">INDEX($BD$58:$BD$69,MATCH(AI107,$BM$58:$BM$69,0))</f>
        <v>Japón</v>
      </c>
      <c r="AW107" s="215"/>
      <c r="AX107" s="170"/>
      <c r="AY107" s="276"/>
      <c r="AZ107" s="279" t="str">
        <f t="shared" ca="1" si="303"/>
        <v>1G - 3A</v>
      </c>
      <c r="BA107" s="176"/>
      <c r="BF107" t="str">
        <f t="shared" ca="1" si="304"/>
        <v>E</v>
      </c>
      <c r="BG107">
        <f t="shared" ca="1" si="305"/>
        <v>3</v>
      </c>
      <c r="BI107">
        <v>5</v>
      </c>
      <c r="BJ107" t="str">
        <f t="shared" ca="1" si="306"/>
        <v>G</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2</v>
      </c>
      <c r="AD108" s="92">
        <v>1</v>
      </c>
      <c r="AE108" s="89"/>
      <c r="AF108" s="91" t="str">
        <f t="shared" ca="1" si="293"/>
        <v>Noruega</v>
      </c>
      <c r="AG108" s="327">
        <f t="shared" ca="1" si="294"/>
        <v>1</v>
      </c>
      <c r="AH108" s="195">
        <v>80</v>
      </c>
      <c r="AI108" s="182">
        <v>7</v>
      </c>
      <c r="AJ108" s="42">
        <v>7</v>
      </c>
      <c r="AK108" s="602" t="e" cm="1" vm="48">
        <f t="array" aca="1" ref="AK108" ca="1">Ver_flag_visit</f>
        <v>#VALUE!</v>
      </c>
      <c r="AL108" s="85" t="str">
        <f t="shared" ca="1" si="297"/>
        <v>Ghana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3</v>
      </c>
      <c r="AV108" s="182" t="str">
        <f t="shared" ca="1" si="300"/>
        <v>Ghana</v>
      </c>
      <c r="AW108" s="215"/>
      <c r="AX108" s="170"/>
      <c r="AY108" s="276"/>
      <c r="AZ108" s="279" t="str">
        <f t="shared" ca="1" si="303"/>
        <v>1I - 3F</v>
      </c>
      <c r="BA108" s="176"/>
      <c r="BF108" t="str">
        <f t="shared" ca="1" si="304"/>
        <v>F</v>
      </c>
      <c r="BG108">
        <f t="shared" ca="1" si="305"/>
        <v>4</v>
      </c>
      <c r="BI108">
        <v>6</v>
      </c>
      <c r="BJ108" t="str">
        <f t="shared" ca="1" si="306"/>
        <v>I</v>
      </c>
    </row>
    <row r="109" spans="1:62" ht="16"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México</v>
      </c>
      <c r="AG109" s="327">
        <f t="shared" ca="1" si="294"/>
        <v>1</v>
      </c>
      <c r="AH109" s="195">
        <v>82</v>
      </c>
      <c r="AI109" s="182">
        <v>8</v>
      </c>
      <c r="AJ109" s="42">
        <v>8</v>
      </c>
      <c r="AK109" s="602" t="e" cm="1" vm="27">
        <f t="array" aca="1" ref="AK109" ca="1">Ver_flag_visit</f>
        <v>#VALUE!</v>
      </c>
      <c r="AL109" s="85" t="str">
        <f t="shared" ca="1" si="297"/>
        <v>Irán</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5</v>
      </c>
      <c r="AT109" s="87">
        <f t="shared" ca="1" si="312"/>
        <v>-1</v>
      </c>
      <c r="AU109" s="330">
        <f t="shared" ca="1" si="299"/>
        <v>3</v>
      </c>
      <c r="AV109" s="182" t="str">
        <f t="shared" ca="1" si="300"/>
        <v>Irán</v>
      </c>
      <c r="AW109" s="215"/>
      <c r="AX109" s="170"/>
      <c r="AY109" s="276"/>
      <c r="AZ109" s="279" t="str">
        <f t="shared" ca="1" si="303"/>
        <v>1K - 3L</v>
      </c>
      <c r="BA109" s="176"/>
      <c r="BF109" t="str">
        <f t="shared" ca="1" si="304"/>
        <v>L</v>
      </c>
      <c r="BG109">
        <f t="shared" ca="1" si="305"/>
        <v>8</v>
      </c>
      <c r="BI109">
        <v>7</v>
      </c>
      <c r="BJ109" t="str">
        <f t="shared" ca="1" si="306"/>
        <v>J</v>
      </c>
    </row>
    <row r="110" spans="1:62" ht="16"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Turquía</v>
      </c>
      <c r="AB110" s="89"/>
      <c r="AC110" s="92">
        <v>2</v>
      </c>
      <c r="AD110" s="92">
        <v>1</v>
      </c>
      <c r="AE110" s="89"/>
      <c r="AF110" s="91" t="str">
        <f t="shared" ca="1" si="293"/>
        <v>Argelia</v>
      </c>
      <c r="AG110" s="327">
        <f t="shared" ca="1" si="294"/>
        <v>1</v>
      </c>
      <c r="AH110" s="195">
        <v>81</v>
      </c>
      <c r="AI110" s="182">
        <v>9</v>
      </c>
      <c r="AJ110" s="42">
        <v>9</v>
      </c>
      <c r="AK110" s="602" t="e" cm="1" vm="43">
        <f t="array" aca="1" ref="AK110" ca="1">Ver_flag_visit</f>
        <v>#VALUE!</v>
      </c>
      <c r="AL110" s="85" t="str">
        <f t="shared" ca="1" si="297"/>
        <v>RD Congo</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4</v>
      </c>
      <c r="AS110" s="86">
        <f t="shared" ca="1" si="313"/>
        <v>5</v>
      </c>
      <c r="AT110" s="87">
        <f t="shared" ca="1" si="313"/>
        <v>-1</v>
      </c>
      <c r="AU110" s="330">
        <f t="shared" ca="1" si="299"/>
        <v>3</v>
      </c>
      <c r="AV110" s="182" t="str">
        <f t="shared" ca="1" si="300"/>
        <v>RD Congo</v>
      </c>
      <c r="AW110" s="215"/>
      <c r="AX110" s="170"/>
      <c r="AY110" s="276"/>
      <c r="AZ110" s="279" t="str">
        <f t="shared" ca="1" si="303"/>
        <v>1L - 3I</v>
      </c>
      <c r="BA110" s="176"/>
      <c r="BF110" t="str">
        <f t="shared" ca="1" si="304"/>
        <v>G</v>
      </c>
      <c r="BG110">
        <f t="shared" ca="1" si="305"/>
        <v>5</v>
      </c>
      <c r="BI110">
        <v>8</v>
      </c>
      <c r="BJ110" t="str">
        <f t="shared" ca="1" si="306"/>
        <v>L</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6">
        <f t="array" aca="1" ref="AK111" ca="1">Ver_flag_visit</f>
        <v>#VALUE!</v>
      </c>
      <c r="AL111" s="85" t="str">
        <f t="shared" ca="1" si="297"/>
        <v>Bosnia y Herzegovina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4</v>
      </c>
      <c r="AS111" s="86">
        <f t="shared" ca="1" si="314"/>
        <v>6</v>
      </c>
      <c r="AT111" s="87">
        <f t="shared" ca="1" si="314"/>
        <v>-2</v>
      </c>
      <c r="AU111" s="330">
        <f t="shared" ca="1" si="299"/>
        <v>1</v>
      </c>
      <c r="AV111" s="182" t="str">
        <f t="shared" ca="1" si="300"/>
        <v>Bosnia y Herzegovina</v>
      </c>
      <c r="AW111" s="215"/>
      <c r="AX111" s="170"/>
      <c r="AY111" s="275"/>
      <c r="AZ111" s="275"/>
      <c r="BA111" s="176"/>
      <c r="BI111" t="s">
        <v>87</v>
      </c>
    </row>
    <row r="112" spans="1:62" ht="16"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c r="AC112" s="92">
        <v>2</v>
      </c>
      <c r="AD112" s="92">
        <v>0</v>
      </c>
      <c r="AE112" s="89"/>
      <c r="AF112" s="91" t="str">
        <f t="shared" ca="1" si="293"/>
        <v>Croacia</v>
      </c>
      <c r="AG112" s="327">
        <f t="shared" ca="1" si="294"/>
        <v>1</v>
      </c>
      <c r="AH112" s="195">
        <v>83</v>
      </c>
      <c r="AI112" s="182">
        <v>11</v>
      </c>
      <c r="AJ112" s="42">
        <v>11</v>
      </c>
      <c r="AK112" s="602" t="e" cm="1" vm="15">
        <f t="array" aca="1" ref="AK112" ca="1">Ver_flag_visit</f>
        <v>#VALUE!</v>
      </c>
      <c r="AL112" s="85" t="str">
        <f t="shared" ca="1" si="297"/>
        <v>Australia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3</v>
      </c>
      <c r="AS112" s="86">
        <f t="shared" ca="1" si="315"/>
        <v>6</v>
      </c>
      <c r="AT112" s="87">
        <f t="shared" ca="1" si="315"/>
        <v>-3</v>
      </c>
      <c r="AU112" s="330">
        <f t="shared" ca="1" si="299"/>
        <v>1</v>
      </c>
      <c r="AV112" s="182" t="str">
        <f t="shared" ca="1" si="300"/>
        <v>Australia</v>
      </c>
      <c r="AW112" s="215"/>
      <c r="AX112" s="170"/>
      <c r="AY112" s="275"/>
      <c r="AZ112" s="275"/>
      <c r="BA112" s="176"/>
      <c r="BI112" t="str">
        <f ca="1">IFERROR(CONCATENATE(BJ103,BJ104,BJ105,BJ106,BJ107,BJ108,BJ109,BJ110),"¿A/B/C/D/E/F/G/H/I/J/K/L?")</f>
        <v>ACEFGIJL</v>
      </c>
    </row>
    <row r="113" spans="1:59" ht="16" customHeight="1" thickBot="1">
      <c r="A113" s="16" t="s">
        <v>659</v>
      </c>
      <c r="B113" s="16" t="s">
        <v>739</v>
      </c>
      <c r="C113" s="16"/>
      <c r="D113" s="16" t="str">
        <f t="shared" ca="1" si="289"/>
        <v>Canadá</v>
      </c>
      <c r="E113" s="16" t="s">
        <v>1</v>
      </c>
      <c r="F113" s="16" t="s">
        <v>732</v>
      </c>
      <c r="G113" s="16" t="s">
        <v>732</v>
      </c>
      <c r="H113" s="16">
        <f ca="1">+IF($AJ$99&lt;&gt;144,SUM(H101:H112),$AJ$99)</f>
        <v>144</v>
      </c>
      <c r="I113" s="16"/>
      <c r="J113" s="16">
        <v>85</v>
      </c>
      <c r="K113" s="16">
        <v>46205.75</v>
      </c>
      <c r="L113" s="16" t="s">
        <v>708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Canadá</v>
      </c>
      <c r="AB113" s="89"/>
      <c r="AC113" s="92">
        <v>2</v>
      </c>
      <c r="AD113" s="92">
        <v>1</v>
      </c>
      <c r="AE113" s="90"/>
      <c r="AF113" s="91" t="str">
        <f t="shared" ca="1" si="293"/>
        <v>Irán</v>
      </c>
      <c r="AG113" s="327">
        <f t="shared" ca="1" si="294"/>
        <v>1</v>
      </c>
      <c r="AH113" s="195">
        <v>85</v>
      </c>
      <c r="AI113" s="182">
        <v>12</v>
      </c>
      <c r="AJ113" s="44">
        <v>12</v>
      </c>
      <c r="AK113" s="604" t="e" cm="1" vm="30">
        <f t="array" aca="1" ref="AK113" ca="1">Ver_flag_visit</f>
        <v>#VALUE!</v>
      </c>
      <c r="AL113" s="45" t="str">
        <f t="shared" ca="1" si="297"/>
        <v>Cabo Verde</v>
      </c>
      <c r="AM113" s="590">
        <f t="shared" ca="1" si="301"/>
        <v>3</v>
      </c>
      <c r="AN113" s="47">
        <f t="shared" ref="AN113:AT113" ca="1" si="316">+IF($H$113&gt;=48,INDEX($BE$58:$BN$69,MATCH($AL113,$BD$58:$BD$69,0),MATCH(AN$5,$BE$57:$BN$57,0)),$BB69)</f>
        <v>3</v>
      </c>
      <c r="AO113" s="47">
        <f t="shared" ca="1" si="316"/>
        <v>1</v>
      </c>
      <c r="AP113" s="47">
        <f t="shared" ca="1" si="316"/>
        <v>0</v>
      </c>
      <c r="AQ113" s="47">
        <f t="shared" ca="1" si="316"/>
        <v>2</v>
      </c>
      <c r="AR113" s="47">
        <f t="shared" ca="1" si="316"/>
        <v>4</v>
      </c>
      <c r="AS113" s="47">
        <f t="shared" ca="1" si="316"/>
        <v>9</v>
      </c>
      <c r="AT113" s="48">
        <f t="shared" ca="1" si="316"/>
        <v>-5</v>
      </c>
      <c r="AU113" s="330">
        <f t="shared" ca="1" si="299"/>
        <v>1</v>
      </c>
      <c r="AV113" s="182" t="str">
        <f t="shared" ca="1" si="300"/>
        <v>Cabo Verde</v>
      </c>
      <c r="AW113" s="215"/>
      <c r="AX113" s="170"/>
      <c r="AY113" s="154"/>
      <c r="AZ113" s="155"/>
      <c r="BA113" s="176"/>
    </row>
    <row r="114" spans="1:59" ht="16" customHeight="1">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Estados Unidos</v>
      </c>
      <c r="AB114" s="89"/>
      <c r="AC114" s="92">
        <v>3</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Suiza</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2</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Senegal</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Corea del Sur</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Corea del Sur</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Turquía</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2</v>
      </c>
      <c r="AD126" s="99">
        <v>0</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Canadá</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Canadá</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3</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4</v>
      </c>
      <c r="AD132" s="99">
        <v>2</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Brasil</v>
      </c>
      <c r="AB133" s="89"/>
      <c r="AC133" s="99">
        <v>2</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1</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ca="1" si="327">+INDEX($M$101:$M$147,MATCH(AH138,$J$101:$J$147,0))</f>
        <v>Francia</v>
      </c>
      <c r="AB138" s="89"/>
      <c r="AC138" s="101">
        <v>3</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726</v>
      </c>
      <c r="M143" s="16" t="str">
        <f ca="1">+INDEX($D$101:$D$147,MATCH(E143,$AH$101:$AH$147,0))</f>
        <v>Francia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v>3</v>
      </c>
      <c r="AC143" s="105">
        <v>2</v>
      </c>
      <c r="AD143" s="105">
        <v>2</v>
      </c>
      <c r="AE143" s="216">
        <v>4</v>
      </c>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Francia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Brasil</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1518</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1516</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4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247" zoomScaleNormal="100" workbookViewId="0">
      <selection activeCell="C5" sqref="C5:C258"/>
    </sheetView>
  </sheetViews>
  <sheetFormatPr defaultColWidth="0" defaultRowHeight="14.5"/>
  <cols>
    <col min="1" max="1" width="10.81640625" style="13" customWidth="1"/>
    <col min="2" max="2" width="29.453125" customWidth="1"/>
    <col min="3" max="3" width="35" customWidth="1"/>
    <col min="4" max="4" width="12.7265625" style="369" customWidth="1"/>
    <col min="5" max="8" width="10.81640625" style="369" customWidth="1"/>
    <col min="9" max="9" width="3.1796875" style="369" customWidth="1"/>
    <col min="10" max="12" width="10.81640625" style="369" customWidth="1"/>
    <col min="13" max="13" width="3.7265625" style="369" customWidth="1"/>
    <col min="14" max="14" width="4.7265625" style="369" customWidth="1"/>
    <col min="15" max="15" width="4" customWidth="1"/>
    <col min="16" max="16" width="4.81640625" customWidth="1"/>
    <col min="17" max="16384" width="10.81640625" style="1" hidden="1"/>
  </cols>
  <sheetData>
    <row r="1" spans="1:14" ht="20.149999999999999"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49999999999999" customHeight="1" thickBot="1">
      <c r="A2" s="290"/>
      <c r="B2" s="291"/>
      <c r="C2" s="291"/>
      <c r="D2" s="368"/>
      <c r="E2" s="698"/>
      <c r="F2" s="698"/>
      <c r="G2" s="698"/>
      <c r="H2" s="698"/>
      <c r="I2" s="698"/>
      <c r="J2" s="698"/>
      <c r="K2" s="698"/>
      <c r="L2" s="698"/>
      <c r="M2" s="698"/>
      <c r="N2" s="698"/>
    </row>
    <row r="3" spans="1:14" ht="35.15"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c r="A5" s="353"/>
      <c r="B5" s="354" t="str">
        <f>Idiomas!D125</f>
        <v>FASE DE GRUPOS</v>
      </c>
      <c r="C5" s="346" t="str">
        <f>Home!C10</f>
        <v>Jose</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1|3-1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2|0-4</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2|1-3</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1|6-0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1|2-1</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1|3-1</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1|3-1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1|6-0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X|2-2</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2|1-3</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1|3-1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1|3-0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1|3-0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2|1-2</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1|3-1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1|4-0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X|2-2</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2|0-3</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1|3-1</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1|2-1</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1|3-1</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1|3-1</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X|2-2</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2|0-3</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X|2-2</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2|1-2</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2|0-4</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2|1-2</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1|3-1</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1|3-1</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X|2-2</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1|2-0</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Corea del Sur</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República Checa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México</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Canadá</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Suiza</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Estados Unidos</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Australia</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Paraguay</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Suecia</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Japón</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Cabo Verde</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Senegal</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Noruega</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República Checa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Corea del Sur</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Canadá</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Estados Unidos</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Suiza</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Suecia</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Escocia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Senegal</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Japón</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Noruega</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México</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Argelia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Irán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49999999999999"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República Checa-Suiza</v>
      </c>
      <c r="C164" s="349" t="str">
        <f ca="1">CONCATENATE(WORLDCUP!AA101,"-",WORLDCUP!AF101,"·",IF(WORLDCUP!AC101&gt;WORLDCUP!AD101,1,IF(WORLDCUP!AC101&lt;WORLDCUP!AD101,2,IF(AND(WORLDCUP!AC101=WORLDCUP!AD101,WORLDCUP!AC101&lt;&gt;"",WORLDCUP!AD101&lt;&gt;""),"X",0))),"|",WORLDCUP!AC101,"-",WORLDCUP!AD101)</f>
        <v>República Checa-Suiza·2|1-2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Brasil-Suecia·1|3-1</v>
      </c>
      <c r="D165" s="706"/>
      <c r="E165" s="692"/>
      <c r="F165" s="692"/>
      <c r="G165" s="692"/>
      <c r="H165" s="692"/>
      <c r="I165" s="352"/>
      <c r="J165" s="370"/>
      <c r="K165" s="370"/>
      <c r="L165" s="370"/>
      <c r="M165" s="386"/>
      <c r="N165" s="377"/>
    </row>
    <row r="166" spans="1:14" ht="15" customHeight="1">
      <c r="A166" s="703"/>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Alemania-Escocia·1|2-0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706"/>
      <c r="E167" s="692"/>
      <c r="F167" s="692"/>
      <c r="G167" s="692"/>
      <c r="H167" s="692"/>
      <c r="I167" s="352"/>
      <c r="J167" s="370"/>
      <c r="K167" s="370"/>
      <c r="L167" s="370"/>
      <c r="M167" s="386"/>
      <c r="N167" s="377"/>
    </row>
    <row r="168" spans="1:14" ht="15" customHeight="1">
      <c r="A168" s="703"/>
      <c r="B168" s="360" t="str">
        <f ca="1">CONCATENATE(WORLDCUP!AA105,"-",WORLDCUP!AF105)</f>
        <v>Costa de Marfil-Senegal</v>
      </c>
      <c r="C168" s="349" t="str">
        <f ca="1">CONCATENATE(WORLDCUP!AA105,"-",WORLDCUP!AF105,"·",IF(WORLDCUP!AC105&gt;WORLDCUP!AD105,1,IF(WORLDCUP!AC105&lt;WORLDCUP!AD105,2,IF(AND(WORLDCUP!AC105=WORLDCUP!AD105,WORLDCUP!AC105&lt;&gt;"",WORLDCUP!AD105&lt;&gt;""),"X",0))),"|",WORLDCUP!AC105,"-",WORLDCUP!AD105)</f>
        <v>Costa de Marfil-Senegal·2|1-2</v>
      </c>
      <c r="D168" s="706"/>
      <c r="E168" s="370"/>
      <c r="F168" s="370"/>
      <c r="G168" s="370"/>
      <c r="H168" s="370"/>
      <c r="I168" s="352"/>
      <c r="J168" s="370"/>
      <c r="K168" s="370"/>
      <c r="L168" s="370"/>
      <c r="M168" s="386"/>
      <c r="N168" s="377"/>
    </row>
    <row r="169" spans="1:14" ht="15" customHeight="1">
      <c r="A169" s="703"/>
      <c r="B169" s="360" t="str">
        <f ca="1">CONCATENATE(WORLDCUP!AA106,"-",WORLDCUP!AF106)</f>
        <v>Francia-Japón</v>
      </c>
      <c r="C169" s="349" t="str">
        <f ca="1">CONCATENATE(WORLDCUP!AA106,"-",WORLDCUP!AF106,"·",IF(WORLDCUP!AC106&gt;WORLDCUP!AD106,1,IF(WORLDCUP!AC106&lt;WORLDCUP!AD106,2,IF(AND(WORLDCUP!AC106=WORLDCUP!AD106,WORLDCUP!AC106&lt;&gt;"",WORLDCUP!AD106&lt;&gt;""),"X",0))),"|",WORLDCUP!AC106,"-",WORLDCUP!AD106)</f>
        <v>Francia-Japón·1|2-0</v>
      </c>
      <c r="D169" s="706"/>
      <c r="E169" s="370"/>
      <c r="F169" s="370"/>
      <c r="G169" s="370"/>
      <c r="H169" s="370"/>
      <c r="I169" s="352"/>
      <c r="J169" s="370"/>
      <c r="K169" s="370"/>
      <c r="L169" s="370"/>
      <c r="M169" s="386"/>
      <c r="N169" s="377"/>
    </row>
    <row r="170" spans="1:14" ht="15" customHeight="1">
      <c r="A170" s="703"/>
      <c r="B170" s="360" t="str">
        <f ca="1">CONCATENATE(WORLDCUP!AA107,"-",WORLDCUP!AF107)</f>
        <v>Corea del Sur-Ecuador</v>
      </c>
      <c r="C170" s="349" t="str">
        <f ca="1">CONCATENATE(WORLDCUP!AA107,"-",WORLDCUP!AF107,"·",IF(WORLDCUP!AC107&gt;WORLDCUP!AD107,1,IF(WORLDCUP!AC107&lt;WORLDCUP!AD107,2,IF(AND(WORLDCUP!AC107=WORLDCUP!AD107,WORLDCUP!AC107&lt;&gt;"",WORLDCUP!AD107&lt;&gt;""),"X",0))),"|",WORLDCUP!AC107,"-",WORLDCUP!AD107)</f>
        <v>Corea del Sur-Ecuador·1|3-1</v>
      </c>
      <c r="D170" s="706"/>
      <c r="E170" s="370"/>
      <c r="F170" s="370"/>
      <c r="G170" s="370"/>
      <c r="H170" s="370"/>
      <c r="I170" s="352"/>
      <c r="J170" s="370"/>
      <c r="K170" s="370"/>
      <c r="L170" s="370"/>
      <c r="M170" s="386"/>
      <c r="N170" s="377"/>
    </row>
    <row r="171" spans="1:14" ht="15" customHeight="1">
      <c r="A171" s="703"/>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Inglaterra-Noruega·1|2-1</v>
      </c>
      <c r="D171" s="706"/>
      <c r="E171" s="370"/>
      <c r="F171" s="370"/>
      <c r="G171" s="370"/>
      <c r="H171" s="370"/>
      <c r="I171" s="352"/>
      <c r="J171" s="370"/>
      <c r="K171" s="370"/>
      <c r="L171" s="370"/>
      <c r="M171" s="386"/>
      <c r="N171" s="377"/>
    </row>
    <row r="172" spans="1:14" ht="15" customHeight="1">
      <c r="A172" s="703"/>
      <c r="B172" s="360" t="str">
        <f ca="1">CONCATENATE(WORLDCUP!AA109,"-",WORLDCUP!AF109)</f>
        <v>Bélgica-México</v>
      </c>
      <c r="C172" s="349" t="str">
        <f ca="1">CONCATENATE(WORLDCUP!AA109,"-",WORLDCUP!AF109,"·",IF(WORLDCUP!AC109&gt;WORLDCUP!AD109,1,IF(WORLDCUP!AC109&lt;WORLDCUP!AD109,2,IF(AND(WORLDCUP!AC109=WORLDCUP!AD109,WORLDCUP!AC109&lt;&gt;"",WORLDCUP!AD109&lt;&gt;""),"X",0))),"|",WORLDCUP!AC109,"-",WORLDCUP!AD109)</f>
        <v>Bélgica-México·1|2-1</v>
      </c>
      <c r="D172" s="706"/>
      <c r="E172" s="370"/>
      <c r="F172" s="370"/>
      <c r="G172" s="370"/>
      <c r="H172" s="370"/>
      <c r="I172" s="352"/>
      <c r="J172" s="370"/>
      <c r="K172" s="370"/>
      <c r="L172" s="370"/>
      <c r="M172" s="386"/>
      <c r="N172" s="377"/>
    </row>
    <row r="173" spans="1:14" ht="15" customHeight="1">
      <c r="A173" s="703"/>
      <c r="B173" s="360" t="str">
        <f ca="1">CONCATENATE(WORLDCUP!AA110,"-",WORLDCUP!AF110)</f>
        <v>Turquía-Argelia</v>
      </c>
      <c r="C173" s="349" t="str">
        <f ca="1">CONCATENATE(WORLDCUP!AA110,"-",WORLDCUP!AF110,"·",IF(WORLDCUP!AC110&gt;WORLDCUP!AD110,1,IF(WORLDCUP!AC110&lt;WORLDCUP!AD110,2,IF(AND(WORLDCUP!AC110=WORLDCUP!AD110,WORLDCUP!AC110&lt;&gt;"",WORLDCUP!AD110&lt;&gt;""),"X",0))),"|",WORLDCUP!AC110,"-",WORLDCUP!AD110)</f>
        <v>Turquía-Argelia·1|2-1</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Colombia-Croacia·1|2-0</v>
      </c>
      <c r="D175" s="706"/>
      <c r="E175" s="370"/>
      <c r="F175" s="370"/>
      <c r="G175" s="370"/>
      <c r="H175" s="370"/>
      <c r="I175" s="352"/>
      <c r="J175" s="370"/>
      <c r="K175" s="370"/>
      <c r="L175" s="370"/>
      <c r="M175" s="386"/>
      <c r="N175" s="377"/>
    </row>
    <row r="176" spans="1:14" ht="15" customHeight="1">
      <c r="A176" s="703"/>
      <c r="B176" s="360" t="str">
        <f ca="1">CONCATENATE(WORLDCUP!AA113,"-",WORLDCUP!AF113)</f>
        <v>Canadá-Irán</v>
      </c>
      <c r="C176" s="349" t="str">
        <f ca="1">CONCATENATE(WORLDCUP!AA113,"-",WORLDCUP!AF113,"·",IF(WORLDCUP!AC113&gt;WORLDCUP!AD113,1,IF(WORLDCUP!AC113&lt;WORLDCUP!AD113,2,IF(AND(WORLDCUP!AC113=WORLDCUP!AD113,WORLDCUP!AC113&lt;&gt;"",WORLDCUP!AD113&lt;&gt;""),"X",0))),"|",WORLDCUP!AC113,"-",WORLDCUP!AD113)</f>
        <v>Canadá-Irán·1|2-1</v>
      </c>
      <c r="D176" s="706"/>
      <c r="E176" s="370"/>
      <c r="F176" s="370"/>
      <c r="G176" s="370"/>
      <c r="H176" s="370"/>
      <c r="I176" s="352"/>
      <c r="J176" s="370"/>
      <c r="K176" s="370"/>
      <c r="L176" s="370"/>
      <c r="M176" s="386"/>
      <c r="N176" s="377"/>
    </row>
    <row r="177" spans="1:14" ht="15" customHeight="1">
      <c r="A177" s="703"/>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Unidos-Egipto·1|3-1</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Suiza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Corea del Sur</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Turquía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Canadá</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Senegal</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Estados Unidos</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Suiza-Países Bajos</v>
      </c>
      <c r="C200" s="351" t="str">
        <f ca="1">CONCATENATE(WORLDCUP!AA120,"-",WORLDCUP!AF120,"·",IF(WORLDCUP!AC120&gt;WORLDCUP!AD120,1,IF(WORLDCUP!AC120&lt;WORLDCUP!AD120,2,IF(AND(WORLDCUP!AC120=WORLDCUP!AD120,WORLDCUP!AC120&lt;&gt;"",WORLDCUP!AD120&lt;&gt;""),"X",0))),"|",WORLDCUP!AC120,"-",WORLDCUP!AD120)</f>
        <v>Suiza-Países Bajos·2|1-2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Alemania-Francia·2|2-3</v>
      </c>
      <c r="D201" s="686"/>
      <c r="E201" s="685"/>
      <c r="F201" s="685"/>
      <c r="G201" s="685"/>
      <c r="H201" s="685"/>
      <c r="I201" s="352"/>
      <c r="J201" s="370"/>
      <c r="K201" s="370"/>
      <c r="L201" s="370"/>
      <c r="M201" s="386"/>
      <c r="N201" s="377"/>
    </row>
    <row r="202" spans="1:14" ht="15" customHeight="1">
      <c r="A202" s="703"/>
      <c r="B202" s="361" t="str">
        <f ca="1">CONCATENATE(WORLDCUP!AA122,"-",WORLDCUP!AF122)</f>
        <v>Brasil-Senegal</v>
      </c>
      <c r="C202" s="351" t="str">
        <f ca="1">CONCATENATE(WORLDCUP!AA122,"-",WORLDCUP!AF122,"·",IF(WORLDCUP!AC122&gt;WORLDCUP!AD122,1,IF(WORLDCUP!AC122&lt;WORLDCUP!AD122,2,IF(AND(WORLDCUP!AC122=WORLDCUP!AD122,WORLDCUP!AC122&lt;&gt;"",WORLDCUP!AD122&lt;&gt;""),"X",0))),"|",WORLDCUP!AC122,"-",WORLDCUP!AD122)</f>
        <v>Brasil-Senegal·1|2-1</v>
      </c>
      <c r="D202" s="686"/>
      <c r="E202" s="685"/>
      <c r="F202" s="685"/>
      <c r="G202" s="685"/>
      <c r="H202" s="685"/>
      <c r="I202" s="352"/>
      <c r="J202" s="370"/>
      <c r="K202" s="370"/>
      <c r="L202" s="370"/>
      <c r="M202" s="386"/>
      <c r="N202" s="377"/>
    </row>
    <row r="203" spans="1:14" ht="15" customHeight="1">
      <c r="A203" s="703"/>
      <c r="B203" s="361" t="str">
        <f ca="1">CONCATENATE(WORLDCUP!AA123,"-",WORLDCUP!AF123)</f>
        <v>Corea del Sur-Inglaterra</v>
      </c>
      <c r="C203" s="351" t="str">
        <f ca="1">CONCATENATE(WORLDCUP!AA123,"-",WORLDCUP!AF123,"·",IF(WORLDCUP!AC123&gt;WORLDCUP!AD123,1,IF(WORLDCUP!AC123&lt;WORLDCUP!AD123,2,IF(AND(WORLDCUP!AC123=WORLDCUP!AD123,WORLDCUP!AC123&lt;&gt;"",WORLDCUP!AD123&lt;&gt;""),"X",0))),"|",WORLDCUP!AC123,"-",WORLDCUP!AD123)</f>
        <v>Corea del Sur-Inglaterra·2|0-2</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86"/>
      <c r="E204" s="352"/>
      <c r="F204" s="352"/>
      <c r="G204" s="352"/>
      <c r="H204" s="352"/>
      <c r="I204" s="352"/>
      <c r="J204" s="370"/>
      <c r="K204" s="370"/>
      <c r="L204" s="370"/>
      <c r="M204" s="386"/>
      <c r="N204" s="377"/>
    </row>
    <row r="205" spans="1:14" ht="15" customHeight="1">
      <c r="A205" s="703"/>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Turquía-Bélgica·2|1-2</v>
      </c>
      <c r="D205" s="686"/>
      <c r="E205" s="352"/>
      <c r="F205" s="352"/>
      <c r="G205" s="352"/>
      <c r="H205" s="352"/>
      <c r="I205" s="352"/>
      <c r="J205" s="370"/>
      <c r="K205" s="370"/>
      <c r="L205" s="370"/>
      <c r="M205" s="386"/>
      <c r="N205" s="377"/>
    </row>
    <row r="206" spans="1:14" ht="15" customHeight="1">
      <c r="A206" s="703"/>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Unidos·1|2-0</v>
      </c>
      <c r="D206" s="686"/>
      <c r="E206" s="352"/>
      <c r="F206" s="352"/>
      <c r="G206" s="352"/>
      <c r="H206" s="352"/>
      <c r="I206" s="352"/>
      <c r="J206" s="370"/>
      <c r="K206" s="370"/>
      <c r="L206" s="370"/>
      <c r="M206" s="386"/>
      <c r="N206" s="377"/>
    </row>
    <row r="207" spans="1:14" ht="15" customHeight="1">
      <c r="A207" s="703"/>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Canadá-Portugal·2|0-2</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Bajos·1|3-1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España-Bélgica·1|4-2</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Brasil-Inglaterra·1|2-1</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Argentina-Portugal·2|1-3</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Francia-España·1|3-2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Brasil-Portugal·2|1-2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Francia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España-Brasil</v>
      </c>
      <c r="C244" s="349" t="str">
        <f ca="1">CONCATENATE(WORLDCUP!AA143,"-",WORLDCUP!AF143,"·",IF(WORLDCUP!AC143&gt;WORLDCUP!AD143,1,IF(WORLDCUP!AC143&lt;WORLDCUP!AD143,2,IF(AND(WORLDCUP!AC143=WORLDCUP!AD143,WORLDCUP!AC143&lt;&gt;"",WORLDCUP!AD143&lt;&gt;""),"X",0))),"|",WORLDCUP!AC143,"-",WORLDCUP!AD143)</f>
        <v>España-Brasil·X|2-2</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Francia-Portugal</v>
      </c>
      <c r="C247" s="351" t="str">
        <f ca="1">CONCATENATE(WORLDCUP!AA147,"-",WORLDCUP!AF147,"·",IF(WORLDCUP!AC147&gt;WORLDCUP!AD147,1,IF(WORLDCUP!AC147&lt;WORLDCUP!AD147,2,IF(AND(WORLDCUP!AC147=WORLDCUP!AD147,WORLDCUP!AC147&lt;&gt;"",WORLDCUP!AD147&lt;&gt;""),"X",0))),"|",WORLDCUP!AC147,"-",WORLDCUP!AD147)</f>
        <v>Francia-Portugal·1|2-1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Brasil</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Harry Kane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Mbappe</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Cristiano Ronaldo</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Vitinha</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Vinicius</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Dembelé</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abSelected="1"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5"/>
  <cols>
    <col min="1" max="1" width="3.26953125" style="186" customWidth="1"/>
    <col min="2" max="2" width="2.7265625" style="9" customWidth="1"/>
    <col min="3" max="3" width="5.7265625" style="3" bestFit="1" customWidth="1"/>
    <col min="4" max="5" width="3.26953125" style="3" customWidth="1"/>
    <col min="6" max="6" width="6.1796875" style="3" customWidth="1"/>
    <col min="7" max="7" width="2.453125" style="3" bestFit="1" customWidth="1"/>
    <col min="8" max="9" width="3.81640625" style="3" customWidth="1"/>
    <col min="10" max="10" width="4.453125" style="3" customWidth="1"/>
    <col min="11" max="11" width="5.26953125" style="3" customWidth="1"/>
    <col min="12" max="12" width="3.26953125" style="3" hidden="1" customWidth="1"/>
    <col min="13" max="13" width="1.7265625" style="186" customWidth="1"/>
    <col min="14" max="14" width="2.7265625" style="9" customWidth="1"/>
    <col min="15" max="15" width="4.26953125" style="3" bestFit="1" customWidth="1"/>
    <col min="16" max="17" width="3.26953125" style="3" customWidth="1"/>
    <col min="18" max="18" width="5.1796875" style="3" bestFit="1" customWidth="1"/>
    <col min="19" max="19" width="2.453125" style="3" bestFit="1" customWidth="1"/>
    <col min="20" max="20" width="4.26953125" style="3" bestFit="1" customWidth="1"/>
    <col min="21" max="22" width="3.7265625" style="3" customWidth="1"/>
    <col min="23" max="23" width="4.81640625" style="3" customWidth="1"/>
    <col min="24" max="24" width="4.26953125" style="186" hidden="1" customWidth="1"/>
    <col min="25" max="25" width="2.81640625" style="9" customWidth="1"/>
    <col min="26" max="26" width="7.453125" style="9" bestFit="1" customWidth="1"/>
    <col min="27" max="27" width="9.81640625" style="3" customWidth="1"/>
    <col min="28" max="29" width="4.26953125" style="3" customWidth="1"/>
    <col min="30" max="30" width="2.81640625" style="9" customWidth="1"/>
    <col min="31" max="31" width="9.81640625" style="3" customWidth="1"/>
    <col min="32" max="33" width="4.26953125" style="3" customWidth="1"/>
    <col min="34" max="34" width="2.81640625" style="9" customWidth="1"/>
    <col min="35" max="35" width="9.81640625" style="3" customWidth="1"/>
    <col min="36" max="37" width="4.26953125" style="3" customWidth="1"/>
    <col min="38" max="38" width="2.81640625" style="9" customWidth="1"/>
    <col min="39" max="39" width="9.81640625" style="3" customWidth="1"/>
    <col min="40" max="41" width="4.26953125" style="3" customWidth="1"/>
    <col min="42" max="42" width="2.81640625" style="9" customWidth="1"/>
    <col min="43" max="43" width="9.81640625" style="3" customWidth="1"/>
    <col min="44" max="45" width="4.26953125" style="3" customWidth="1"/>
    <col min="46" max="46" width="2.81640625" style="9" customWidth="1"/>
    <col min="47" max="47" width="9.81640625" style="3" customWidth="1"/>
    <col min="48" max="49" width="4.26953125" style="3" customWidth="1"/>
    <col min="50" max="50" width="4" style="3" bestFit="1" customWidth="1"/>
    <col min="51" max="51" width="3.26953125" style="3" customWidth="1"/>
    <col min="52" max="54" width="7.81640625" style="3" customWidth="1"/>
    <col min="55" max="55" width="3.26953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1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Cor</v>
      </c>
      <c r="I4" s="449">
        <f ca="1">+INDEX(WORLDCUP!$AM$6:$AM$97,MATCH(L4,WORLDCUP!$AI$6:$AI$97,0))</f>
        <v>9</v>
      </c>
      <c r="J4" s="450">
        <f ca="1">+INDEX(WORLDCUP!$AT$6:$AT$97,MATCH(L4,WORLDCUP!$AI$6:$AI$97,0))</f>
        <v>5</v>
      </c>
      <c r="K4" s="451" t="str">
        <f ca="1">+INDEX(WORLDCUP!$AR$6:$AR$97,MATCH(L4,WORLDCUP!$AI$6:$AI$97,0))&amp;"-"&amp;INDEX(WORLDCUP!$AS$6:$AS$97,MATCH(L4,WORLDCUP!$AI$6:$AI$97,0))</f>
        <v>7-2</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7</v>
      </c>
      <c r="W4" s="451" t="str">
        <f ca="1">+INDEX(WORLDCUP!$AR$6:$AR$97,MATCH(X4,WORLDCUP!$AI$6:$AI$97,0))&amp;"-"&amp;INDEX(WORLDCUP!$AS$6:$AS$97,MATCH(X4,WORLDCUP!$AI$6:$AI$97,0))</f>
        <v>9-2</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4</v>
      </c>
      <c r="J5" s="39">
        <f ca="1">+INDEX(WORLDCUP!$AT$6:$AT$97,MATCH(L5,WORLDCUP!$AI$6:$AI$97,0))</f>
        <v>2</v>
      </c>
      <c r="K5" s="43" t="str">
        <f ca="1">+INDEX(WORLDCUP!$AR$6:$AR$97,MATCH(L5,WORLDCUP!$AI$6:$AI$97,0))&amp;"-"&amp;INDEX(WORLDCUP!$AS$6:$AS$97,MATCH(L5,WORLDCUP!$AI$6:$AI$97,0))</f>
        <v>6-4</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5-4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Méx</v>
      </c>
      <c r="I6" s="38">
        <f ca="1">+INDEX(WORLDCUP!$AM$6:$AM$97,MATCH(L6,WORLDCUP!$AI$6:$AI$97,0))</f>
        <v>4</v>
      </c>
      <c r="J6" s="39">
        <f ca="1">+INDEX(WORLDCUP!$AT$6:$AT$97,MATCH(L6,WORLDCUP!$AI$6:$AI$97,0))</f>
        <v>0</v>
      </c>
      <c r="K6" s="43" t="str">
        <f ca="1">+INDEX(WORLDCUP!$AR$6:$AR$97,MATCH(L6,WORLDCUP!$AI$6:$AI$97,0))&amp;"-"&amp;INDEX(WORLDCUP!$AS$6:$AS$97,MATCH(L6,WORLDCUP!$AI$6:$AI$97,0))</f>
        <v>5-5</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-1</v>
      </c>
      <c r="W6" s="43" t="str">
        <f ca="1">+INDEX(WORLDCUP!$AR$6:$AR$97,MATCH(X6,WORLDCUP!$AI$6:$AI$97,0))&amp;"-"&amp;INDEX(WORLDCUP!$AS$6:$AS$97,MATCH(X6,WORLDCUP!$AI$6:$AI$97,0))</f>
        <v>4-5</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2</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-7</v>
      </c>
      <c r="K7" s="479" t="str">
        <f ca="1">+INDEX(WORLDCUP!$AR$6:$AR$97,MATCH(L7,WORLDCUP!$AI$6:$AI$97,0))&amp;"-"&amp;INDEX(WORLDCUP!$AS$6:$AS$97,MATCH(L7,WORLDCUP!$AI$6:$AI$97,0))</f>
        <v>1-8</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-7</v>
      </c>
      <c r="W7" s="479" t="str">
        <f ca="1">+INDEX(WORLDCUP!$AR$6:$AR$97,MATCH(X7,WORLDCUP!$AI$6:$AI$97,0))&amp;"-"&amp;INDEX(WORLDCUP!$AS$6:$AS$97,MATCH(X7,WORLDCUP!$AI$6:$AI$97,0))</f>
        <v>0-7</v>
      </c>
      <c r="X7" s="181" t="s">
        <v>680</v>
      </c>
      <c r="Y7" s="181">
        <v>77</v>
      </c>
      <c r="Z7" s="425" t="s">
        <v>734</v>
      </c>
      <c r="AA7" s="480" t="str">
        <f ca="1">+MID(INDEX(WORLDCUP!$AF$101:$AF$147,MATCH(Y7,WORLDCUP!$Z$101:$Z$147,0)),1,IF(WORLDCUP!$H$113&lt;144,6,3))</f>
        <v>Jap</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Sui</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3</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6</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5</v>
      </c>
      <c r="K12" s="451" t="str">
        <f ca="1">+INDEX(WORLDCUP!$AR$6:$AR$97,MATCH(L12,WORLDCUP!$AI$6:$AI$97,0))&amp;"-"&amp;INDEX(WORLDCUP!$AS$6:$AS$97,MATCH(L12,WORLDCUP!$AI$6:$AI$97,0))</f>
        <v>8-3</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10</v>
      </c>
      <c r="W12" s="451" t="str">
        <f ca="1">+INDEX(WORLDCUP!$AR$6:$AR$97,MATCH(X12,WORLDCUP!$AI$6:$AI$97,0))&amp;"-"&amp;INDEX(WORLDCUP!$AS$6:$AS$97,MATCH(X12,WORLDCUP!$AI$6:$AI$97,0))</f>
        <v>12-2</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1</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7</v>
      </c>
      <c r="J13" s="39">
        <f ca="1">+INDEX(WORLDCUP!$AT$6:$AT$97,MATCH(L13,WORLDCUP!$AI$6:$AI$97,0))</f>
        <v>3</v>
      </c>
      <c r="K13" s="43" t="str">
        <f ca="1">+INDEX(WORLDCUP!$AR$6:$AR$97,MATCH(L13,WORLDCUP!$AI$6:$AI$97,0))&amp;"-"&amp;INDEX(WORLDCUP!$AS$6:$AS$97,MATCH(L13,WORLDCUP!$AI$6:$AI$97,0))</f>
        <v>6-3</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5-4</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4-6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Cab</v>
      </c>
      <c r="U14" s="38">
        <f ca="1">+INDEX(WORLDCUP!$AM$6:$AM$97,MATCH(X14,WORLDCUP!$AI$6:$AI$97,0))</f>
        <v>3</v>
      </c>
      <c r="V14" s="39">
        <f ca="1">+INDEX(WORLDCUP!$AT$6:$AT$97,MATCH(X14,WORLDCUP!$AI$6:$AI$97,0))</f>
        <v>-5</v>
      </c>
      <c r="W14" s="43" t="str">
        <f ca="1">+INDEX(WORLDCUP!$AR$6:$AR$97,MATCH(X14,WORLDCUP!$AI$6:$AI$97,0))&amp;"-"&amp;INDEX(WORLDCUP!$AS$6:$AS$97,MATCH(X14,WORLDCUP!$AI$6:$AI$97,0))</f>
        <v>4-9</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2</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661</v>
      </c>
      <c r="M15" s="181">
        <v>65</v>
      </c>
      <c r="N15" s="505"/>
      <c r="O15" s="444" t="str">
        <f ca="1">+MID(INDEX(WORLDCUP!$AA$4:$AA$147,MATCH(M15,WORLDCUP!$AH$4:$AH$147,0)),1,3)</f>
        <v>Cab</v>
      </c>
      <c r="P15" s="445">
        <f>IF(ISBLANK(INDEX(WORLDCUP!$AC$4:$AC$147,MATCH(M15,WORLDCUP!$AH$4:$AH$147,0))),"",INDEX(WORLDCUP!$AC$4:$AC$147,MATCH(M15,WORLDCUP!$AH$4:$AH$147,0)))</f>
        <v>3</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Ara</v>
      </c>
      <c r="U15" s="477">
        <f ca="1">+INDEX(WORLDCUP!$AM$6:$AM$97,MATCH(X15,WORLDCUP!$AI$6:$AI$97,0))</f>
        <v>0</v>
      </c>
      <c r="V15" s="478">
        <f ca="1">+INDEX(WORLDCUP!$AT$6:$AT$97,MATCH(X15,WORLDCUP!$AI$6:$AI$97,0))</f>
        <v>-6</v>
      </c>
      <c r="W15" s="479" t="str">
        <f ca="1">+INDEX(WORLDCUP!$AR$6:$AR$97,MATCH(X15,WORLDCUP!$AI$6:$AI$97,0))&amp;"-"&amp;INDEX(WORLDCUP!$AS$6:$AS$97,MATCH(X15,WORLDCUP!$AI$6:$AI$97,0))</f>
        <v>2-8</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2</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4</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4</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7</v>
      </c>
      <c r="K20" s="451" t="str">
        <f ca="1">+INDEX(WORLDCUP!$AR$6:$AR$97,MATCH(L20,WORLDCUP!$AI$6:$AI$97,0))&amp;"-"&amp;INDEX(WORLDCUP!$AS$6:$AS$97,MATCH(L20,WORLDCUP!$AI$6:$AI$97,0))</f>
        <v>9-2</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3</v>
      </c>
      <c r="W20" s="451" t="str">
        <f ca="1">+INDEX(WORLDCUP!$AR$6:$AR$97,MATCH(X20,WORLDCUP!$AI$6:$AI$97,0))&amp;"-"&amp;INDEX(WORLDCUP!$AS$6:$AS$97,MATCH(X20,WORLDCUP!$AI$6:$AI$97,0))</f>
        <v>7-4</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2</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6-4</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Sen</v>
      </c>
      <c r="U21" s="38">
        <f ca="1">+INDEX(WORLDCUP!$AM$6:$AM$97,MATCH(X21,WORLDCUP!$AI$6:$AI$97,0))</f>
        <v>5</v>
      </c>
      <c r="V21" s="39">
        <f ca="1">+INDEX(WORLDCUP!$AT$6:$AT$97,MATCH(X21,WORLDCUP!$AI$6:$AI$97,0))</f>
        <v>2</v>
      </c>
      <c r="W21" s="43" t="str">
        <f ca="1">+INDEX(WORLDCUP!$AR$6:$AR$97,MATCH(X21,WORLDCUP!$AI$6:$AI$97,0))&amp;"-"&amp;INDEX(WORLDCUP!$AS$6:$AS$97,MATCH(X21,WORLDCUP!$AI$6:$AI$97,0))</f>
        <v>7-5</v>
      </c>
      <c r="X21" s="181" t="s">
        <v>685</v>
      </c>
      <c r="Y21" s="181">
        <v>81</v>
      </c>
      <c r="Z21" s="425" t="s">
        <v>669</v>
      </c>
      <c r="AA21" s="426" t="str">
        <f ca="1">+MID(INDEX(WORLDCUP!$AA$101:$AA$147,MATCH(Y21,WORLDCUP!$Z$101:$Z$147,0)),1,3)</f>
        <v>Tur</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6-4</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4</v>
      </c>
      <c r="V22" s="39">
        <f ca="1">+INDEX(WORLDCUP!$AT$6:$AT$97,MATCH(X22,WORLDCUP!$AI$6:$AI$97,0))</f>
        <v>1</v>
      </c>
      <c r="W22" s="43" t="str">
        <f ca="1">+INDEX(WORLDCUP!$AR$6:$AR$97,MATCH(X22,WORLDCUP!$AI$6:$AI$97,0))&amp;"-"&amp;INDEX(WORLDCUP!$AS$6:$AS$97,MATCH(X22,WORLDCUP!$AI$6:$AI$97,0))</f>
        <v>6-5</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-11</v>
      </c>
      <c r="K23" s="479" t="str">
        <f ca="1">+INDEX(WORLDCUP!$AR$6:$AR$97,MATCH(L23,WORLDCUP!$AI$6:$AI$97,0))&amp;"-"&amp;INDEX(WORLDCUP!$AS$6:$AS$97,MATCH(L23,WORLDCUP!$AI$6:$AI$97,0))</f>
        <v>0-11</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3-9</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Méx</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Brasil</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5</v>
      </c>
      <c r="K28" s="451" t="str">
        <f ca="1">+INDEX(WORLDCUP!$AR$6:$AR$97,MATCH(L28,WORLDCUP!$AI$6:$AI$97,0))&amp;"-"&amp;INDEX(WORLDCUP!$AS$6:$AS$97,MATCH(L28,WORLDCUP!$AI$6:$AI$97,0))</f>
        <v>9-4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7-2</v>
      </c>
      <c r="X28" s="181" t="s">
        <v>687</v>
      </c>
      <c r="Y28" s="181">
        <v>76</v>
      </c>
      <c r="Z28" s="425" t="s">
        <v>676</v>
      </c>
      <c r="AA28" s="426" t="str">
        <f ca="1">+MID(INDEX(WORLDCUP!$AF$101:$AF$147,MATCH(Y28,WORLDCUP!$Z$101:$Z$147,0)),1,3)</f>
        <v>Sue</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6-4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2</v>
      </c>
      <c r="W29" s="43" t="str">
        <f ca="1">+INDEX(WORLDCUP!$AR$6:$AR$97,MATCH(X29,WORLDCUP!$AI$6:$AI$97,0))&amp;"-"&amp;INDEX(WORLDCUP!$AS$6:$AS$97,MATCH(X29,WORLDCUP!$AI$6:$AI$97,0))</f>
        <v>6-4</v>
      </c>
      <c r="X29" s="181" t="s">
        <v>688</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3</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-3</v>
      </c>
      <c r="K30" s="43" t="str">
        <f ca="1">+INDEX(WORLDCUP!$AR$6:$AR$97,MATCH(L30,WORLDCUP!$AI$6:$AI$97,0))&amp;"-"&amp;INDEX(WORLDCUP!$AS$6:$AS$97,MATCH(L30,WORLDCUP!$AI$6:$AI$97,0))</f>
        <v>3-6</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5-4</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-4</v>
      </c>
      <c r="K31" s="479" t="str">
        <f ca="1">+INDEX(WORLDCUP!$AR$6:$AR$97,MATCH(L31,WORLDCUP!$AI$6:$AI$97,0))&amp;"-"&amp;INDEX(WORLDCUP!$AS$6:$AS$97,MATCH(L31,WORLDCUP!$AI$6:$AI$97,0))</f>
        <v>3-7</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-8</v>
      </c>
      <c r="W31" s="479" t="str">
        <f ca="1">+INDEX(WORLDCUP!$AR$6:$AR$97,MATCH(X31,WORLDCUP!$AI$6:$AI$97,0))&amp;"-"&amp;INDEX(WORLDCUP!$AS$6:$AS$97,MATCH(X31,WORLDCUP!$AI$6:$AI$97,0))</f>
        <v>0-8</v>
      </c>
      <c r="X31" s="181" t="s">
        <v>689</v>
      </c>
      <c r="Y31" s="181">
        <v>78</v>
      </c>
      <c r="Z31" s="425" t="s">
        <v>685</v>
      </c>
      <c r="AA31" s="480" t="str">
        <f ca="1">+MID(INDEX(WORLDCUP!$AF$101:$AF$147,MATCH(Y31,WORLDCUP!$Z$101:$Z$147,0)),1,3)</f>
        <v>Sen</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( 3 )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2</v>
      </c>
      <c r="AS32" s="460" t="str">
        <f>+IF(ISBLANK(INDEX(WORLDCUP!$AE$101:$AE$147,MATCH(AP32,WORLDCUP!$Z$101:$Z$147,0))),"","( "&amp;INDEX(WORLDCUP!$AE$101:$AE$147,MATCH(AP32,WORLDCUP!$Z$101:$Z$147,0))&amp;" )")</f>
        <v>( 4 )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Cor</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Cor</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6</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10</v>
      </c>
      <c r="K36" s="451" t="str">
        <f ca="1">+INDEX(WORLDCUP!$AR$6:$AR$97,MATCH(L36,WORLDCUP!$AI$6:$AI$97,0))&amp;"-"&amp;INDEX(WORLDCUP!$AS$6:$AS$97,MATCH(L36,WORLDCUP!$AI$6:$AI$97,0))</f>
        <v>12-2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8-2</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3</v>
      </c>
      <c r="K37" s="43" t="str">
        <f ca="1">+INDEX(WORLDCUP!$AR$6:$AR$97,MATCH(L37,WORLDCUP!$AI$6:$AI$97,0))&amp;"-"&amp;INDEX(WORLDCUP!$AS$6:$AS$97,MATCH(L37,WORLDCUP!$AI$6:$AI$97,0))</f>
        <v>7-4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5-3</v>
      </c>
      <c r="X37" s="181" t="s">
        <v>691</v>
      </c>
      <c r="Y37" s="181">
        <v>80</v>
      </c>
      <c r="Z37" s="425" t="s">
        <v>736</v>
      </c>
      <c r="AA37" s="480" t="str">
        <f ca="1">+MID(INDEX(WORLDCUP!$AF$101:$AF$147,MATCH(Y37,WORLDCUP!$Z$101:$Z$147,0)),1,IF(WORLDCUP!$H$113&lt;144,6,3))</f>
        <v>Nor</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4</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1</v>
      </c>
      <c r="K38" s="43" t="str">
        <f ca="1">+INDEX(WORLDCUP!$AR$6:$AR$97,MATCH(L38,WORLDCUP!$AI$6:$AI$97,0))&amp;"-"&amp;INDEX(WORLDCUP!$AS$6:$AS$97,MATCH(L38,WORLDCUP!$AI$6:$AI$97,0))</f>
        <v>6-5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-1</v>
      </c>
      <c r="W38" s="43" t="str">
        <f ca="1">+INDEX(WORLDCUP!$AR$6:$AR$97,MATCH(X38,WORLDCUP!$AI$6:$AI$97,0))&amp;"-"&amp;INDEX(WORLDCUP!$AS$6:$AS$97,MATCH(X38,WORLDCUP!$AI$6:$AI$97,0))</f>
        <v>4-5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4</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-14</v>
      </c>
      <c r="K39" s="479" t="str">
        <f ca="1">+INDEX(WORLDCUP!$AR$6:$AR$97,MATCH(L39,WORLDCUP!$AI$6:$AI$97,0))&amp;"-"&amp;INDEX(WORLDCUP!$AS$6:$AS$97,MATCH(L39,WORLDCUP!$AI$6:$AI$97,0))</f>
        <v>0-14</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3</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3</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5</v>
      </c>
      <c r="K44" s="451" t="str">
        <f ca="1">+INDEX(WORLDCUP!$AR$6:$AR$97,MATCH(L44,WORLDCUP!$AI$6:$AI$97,0))&amp;"-"&amp;INDEX(WORLDCUP!$AS$6:$AS$97,MATCH(L44,WORLDCUP!$AI$6:$AI$97,0))</f>
        <v>8-3</v>
      </c>
      <c r="L44" s="181" t="s">
        <v>675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7</v>
      </c>
      <c r="W44" s="451" t="str">
        <f ca="1">+INDEX(WORLDCUP!$AR$6:$AR$97,MATCH(X44,WORLDCUP!$AI$6:$AI$97,0))&amp;"-"&amp;INDEX(WORLDCUP!$AS$6:$AS$97,MATCH(X44,WORLDCUP!$AI$6:$AI$97,0))</f>
        <v>9-2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Sue</v>
      </c>
      <c r="I45" s="38">
        <f ca="1">+INDEX(WORLDCUP!$AM$6:$AM$97,MATCH(L45,WORLDCUP!$AI$6:$AI$97,0))</f>
        <v>7</v>
      </c>
      <c r="J45" s="39">
        <f ca="1">+INDEX(WORLDCUP!$AT$6:$AT$97,MATCH(L45,WORLDCUP!$AI$6:$AI$97,0))</f>
        <v>3</v>
      </c>
      <c r="K45" s="43" t="str">
        <f ca="1">+INDEX(WORLDCUP!$AR$6:$AR$97,MATCH(L45,WORLDCUP!$AI$6:$AI$97,0))&amp;"-"&amp;INDEX(WORLDCUP!$AS$6:$AS$97,MATCH(L45,WORLDCUP!$AI$6:$AI$97,0))</f>
        <v>6-3</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5-3</v>
      </c>
      <c r="X45" s="181" t="s">
        <v>694</v>
      </c>
      <c r="Y45" s="181">
        <v>85</v>
      </c>
      <c r="Z45" s="425" t="s">
        <v>659</v>
      </c>
      <c r="AA45" s="426" t="str">
        <f ca="1">+MID(INDEX(WORLDCUP!$AA$101:$AA$147,MATCH(Y45,WORLDCUP!$Z$101:$Z$147,0)),1,3)</f>
        <v>Can</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Jap</v>
      </c>
      <c r="I46" s="38">
        <f ca="1">+INDEX(WORLDCUP!$AM$6:$AM$97,MATCH(L46,WORLDCUP!$AI$6:$AI$97,0))</f>
        <v>3</v>
      </c>
      <c r="J46" s="39">
        <f ca="1">+INDEX(WORLDCUP!$AT$6:$AT$97,MATCH(L46,WORLDCUP!$AI$6:$AI$97,0))</f>
        <v>0</v>
      </c>
      <c r="K46" s="43" t="str">
        <f ca="1">+INDEX(WORLDCUP!$AR$6:$AR$97,MATCH(L46,WORLDCUP!$AI$6:$AI$97,0))&amp;"-"&amp;INDEX(WORLDCUP!$AS$6:$AS$97,MATCH(L46,WORLDCUP!$AI$6:$AI$97,0))</f>
        <v>5-5</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4-5</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-8</v>
      </c>
      <c r="K47" s="479" t="str">
        <f ca="1">+INDEX(WORLDCUP!$AR$6:$AR$97,MATCH(L47,WORLDCUP!$AI$6:$AI$97,0))&amp;"-"&amp;INDEX(WORLDCUP!$AS$6:$AS$97,MATCH(L47,WORLDCUP!$AI$6:$AI$97,0))</f>
        <v>0-8</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-8</v>
      </c>
      <c r="W47" s="479" t="str">
        <f ca="1">+INDEX(WORLDCUP!$AR$6:$AR$97,MATCH(X47,WORLDCUP!$AI$6:$AI$97,0))&amp;"-"&amp;INDEX(WORLDCUP!$AS$6:$AS$97,MATCH(X47,WORLDCUP!$AI$6:$AI$97,0))</f>
        <v>0-8</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1640625" defaultRowHeight="14.5"/>
  <cols>
    <col min="1" max="3" width="10.81640625" style="16"/>
    <col min="4" max="4" width="17.26953125" style="16" bestFit="1" customWidth="1"/>
    <col min="5" max="6" width="10.81640625" style="16"/>
    <col min="7" max="7" width="17.26953125" style="16" bestFit="1" customWidth="1"/>
    <col min="8" max="8" width="13" style="16" customWidth="1"/>
    <col min="9" max="9" width="10.81640625" style="16"/>
    <col min="10" max="10" width="13" style="16" bestFit="1" customWidth="1"/>
    <col min="11" max="12" width="12.26953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Noruega</v>
      </c>
      <c r="F2" s="9" t="str">
        <f ca="1">+WORLDCUP!BD63</f>
        <v>Japón</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Cabo Verde</v>
      </c>
      <c r="D3" s="9" t="str">
        <f ca="1">+WORLDCUP!BD64</f>
        <v>Irán</v>
      </c>
      <c r="E3" s="9" t="str">
        <f ca="1">+WORLDCUP!BD66</f>
        <v>Noruega</v>
      </c>
      <c r="F3" s="9" t="str">
        <f ca="1">+WORLDCUP!BD61</f>
        <v>Australia</v>
      </c>
      <c r="G3" s="9" t="str">
        <f ca="1">+WORLDCUP!BD67</f>
        <v>Argelia</v>
      </c>
      <c r="H3" s="9" t="str">
        <f ca="1">+WORLDCUP!BD63</f>
        <v>Japón</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Noruega</v>
      </c>
      <c r="F4" s="9" t="str">
        <f ca="1">+WORLDCUP!BD61</f>
        <v>Australia</v>
      </c>
      <c r="G4" s="9" t="str">
        <f ca="1">+WORLDCUP!BD65</f>
        <v>Cabo Verde</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Noruega</v>
      </c>
      <c r="F5" s="9" t="str">
        <f ca="1">+WORLDCUP!BD61</f>
        <v>Australia</v>
      </c>
      <c r="G5" s="9" t="str">
        <f ca="1">+WORLDCUP!BD65</f>
        <v>Cabo Verde</v>
      </c>
      <c r="H5" s="9" t="str">
        <f ca="1">+WORLDCUP!BD63</f>
        <v>Japón</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Noruega</v>
      </c>
      <c r="F6" s="9" t="str">
        <f ca="1">+WORLDCUP!BD61</f>
        <v>Australia</v>
      </c>
      <c r="G6" s="9" t="str">
        <f ca="1">+WORLDCUP!BD67</f>
        <v>Argelia</v>
      </c>
      <c r="H6" s="9" t="str">
        <f ca="1">+WORLDCUP!BD63</f>
        <v>Japón</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Australia</v>
      </c>
      <c r="G7" s="9" t="str">
        <f ca="1">+WORLDCUP!BD65</f>
        <v>Cabo Verde</v>
      </c>
      <c r="H7" s="9" t="str">
        <f ca="1">+WORLDCUP!BD63</f>
        <v>Japón</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Noruega</v>
      </c>
      <c r="F8" s="9" t="str">
        <f ca="1">+WORLDCUP!BD61</f>
        <v>Australia</v>
      </c>
      <c r="G8" s="9" t="str">
        <f ca="1">+WORLDCUP!BD65</f>
        <v>Cabo Verde</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Australia</v>
      </c>
      <c r="G9" s="9" t="str">
        <f ca="1">+WORLDCUP!BD65</f>
        <v>Cabo Verde</v>
      </c>
      <c r="H9" s="9" t="str">
        <f ca="1">+WORLDCUP!BD63</f>
        <v>Japón</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Australia</v>
      </c>
      <c r="G10" s="9" t="str">
        <f ca="1">+WORLDCUP!BD65</f>
        <v>Cabo Verde</v>
      </c>
      <c r="H10" s="9" t="str">
        <f ca="1">+WORLDCUP!BD63</f>
        <v>Japón</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Japón</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Noruega</v>
      </c>
      <c r="F13" s="9" t="str">
        <f ca="1">+WORLDCUP!BD60</f>
        <v>Escocia</v>
      </c>
      <c r="G13" s="9" t="str">
        <f ca="1">+WORLDCUP!BD65</f>
        <v>Cabo Verde</v>
      </c>
      <c r="H13" s="9" t="str">
        <f ca="1">+WORLDCUP!BD63</f>
        <v>Japón</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Noruega</v>
      </c>
      <c r="F14" s="9" t="str">
        <f ca="1">+WORLDCUP!BD60</f>
        <v>Escocia</v>
      </c>
      <c r="G14" s="9" t="str">
        <f ca="1">+WORLDCUP!BD67</f>
        <v>Argelia</v>
      </c>
      <c r="H14" s="9" t="str">
        <f ca="1">+WORLDCUP!BD63</f>
        <v>Japón</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Cabo Verde</v>
      </c>
      <c r="H15" s="9" t="str">
        <f ca="1">+WORLDCUP!BD63</f>
        <v>Japón</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Noruega</v>
      </c>
      <c r="F16" s="9" t="str">
        <f ca="1">+WORLDCUP!BD60</f>
        <v>Escocia</v>
      </c>
      <c r="G16" s="9" t="str">
        <f ca="1">+WORLDCUP!BD65</f>
        <v>Cabo Verde</v>
      </c>
      <c r="H16" s="9" t="str">
        <f ca="1">+WORLDCUP!BD63</f>
        <v>Japón</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Cabo Verde</v>
      </c>
      <c r="H17" s="9" t="str">
        <f ca="1">+WORLDCUP!BD63</f>
        <v>Japón</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Cabo Verde</v>
      </c>
      <c r="H18" s="9" t="str">
        <f ca="1">+WORLDCUP!BD63</f>
        <v>Japón</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Australia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Noruega</v>
      </c>
      <c r="F20" s="9" t="str">
        <f ca="1">+WORLDCUP!BD61</f>
        <v>Australia</v>
      </c>
      <c r="G20" s="9" t="str">
        <f ca="1">+WORLDCUP!BD65</f>
        <v>Cabo Verde</v>
      </c>
      <c r="H20" s="9" t="str">
        <f ca="1">+WORLDCUP!BD63</f>
        <v>Japón</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Australia</v>
      </c>
      <c r="G21" s="9" t="str">
        <f ca="1">+WORLDCUP!BD67</f>
        <v>Argelia</v>
      </c>
      <c r="H21" s="9" t="str">
        <f ca="1">+WORLDCUP!BD63</f>
        <v>Japón</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Australia</v>
      </c>
      <c r="G22" s="9" t="str">
        <f ca="1">+WORLDCUP!BD65</f>
        <v>Cabo Verde</v>
      </c>
      <c r="H22" s="9" t="str">
        <f ca="1">+WORLDCUP!BD63</f>
        <v>Japón</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Australia</v>
      </c>
      <c r="G23" s="9" t="str">
        <f ca="1">+WORLDCUP!BD65</f>
        <v>Cabo Verde</v>
      </c>
      <c r="H23" s="9" t="str">
        <f ca="1">+WORLDCUP!BD63</f>
        <v>Japón</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Australia</v>
      </c>
      <c r="G24" s="9" t="str">
        <f ca="1">+WORLDCUP!BD65</f>
        <v>Cabo Verde</v>
      </c>
      <c r="H24" s="9" t="str">
        <f ca="1">+WORLDCUP!BD63</f>
        <v>Japón</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Australia</v>
      </c>
      <c r="G25" s="9" t="str">
        <f ca="1">+WORLDCUP!BD65</f>
        <v>Cabo Verde</v>
      </c>
      <c r="H25" s="9" t="str">
        <f ca="1">+WORLDCUP!BD63</f>
        <v>Japón</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Noruega</v>
      </c>
      <c r="F26" s="9" t="str">
        <f ca="1">+WORLDCUP!BD60</f>
        <v>Escocia</v>
      </c>
      <c r="G26" s="9" t="str">
        <f ca="1">+WORLDCUP!BD65</f>
        <v>Cabo Verde</v>
      </c>
      <c r="H26" s="9" t="str">
        <f ca="1">+WORLDCUP!BD61</f>
        <v>Australia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Noruega</v>
      </c>
      <c r="F27" s="9" t="str">
        <f ca="1">+WORLDCUP!BD60</f>
        <v>Escocia</v>
      </c>
      <c r="G27" s="9" t="str">
        <f ca="1">+WORLDCUP!BD67</f>
        <v>Argelia</v>
      </c>
      <c r="H27" s="9" t="str">
        <f ca="1">+WORLDCUP!BD61</f>
        <v>Australia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Cabo Verde</v>
      </c>
      <c r="H28" s="9" t="str">
        <f ca="1">+WORLDCUP!BD61</f>
        <v>Australia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Noruega</v>
      </c>
      <c r="F29" s="9" t="str">
        <f ca="1">+WORLDCUP!BD60</f>
        <v>Escocia</v>
      </c>
      <c r="G29" s="9" t="str">
        <f ca="1">+WORLDCUP!BD65</f>
        <v>Cabo Verde</v>
      </c>
      <c r="H29" s="9" t="str">
        <f ca="1">+WORLDCUP!BD61</f>
        <v>Australia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Cabo Verde</v>
      </c>
      <c r="H30" s="9" t="str">
        <f ca="1">+WORLDCUP!BD61</f>
        <v>Australia</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Cabo Verde</v>
      </c>
      <c r="H31" s="9" t="str">
        <f ca="1">+WORLDCUP!BD61</f>
        <v>Australia</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Australia</v>
      </c>
      <c r="G32" s="9" t="str">
        <f ca="1">+WORLDCUP!BD66</f>
        <v>Noruega</v>
      </c>
      <c r="H32" s="9" t="str">
        <f ca="1">+WORLDCUP!BD63</f>
        <v>Japón</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Australia</v>
      </c>
      <c r="G33" s="9" t="str">
        <f ca="1">+WORLDCUP!BD65</f>
        <v>Cabo Verde</v>
      </c>
      <c r="H33" s="9" t="str">
        <f ca="1">+WORLDCUP!BD63</f>
        <v>Japón</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Noruega</v>
      </c>
      <c r="F34" s="9" t="str">
        <f ca="1">+WORLDCUP!BD61</f>
        <v>Australia</v>
      </c>
      <c r="G34" s="9" t="str">
        <f ca="1">+WORLDCUP!BD65</f>
        <v>Cabo Verde</v>
      </c>
      <c r="H34" s="9" t="str">
        <f ca="1">+WORLDCUP!BD63</f>
        <v>Japón</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Australia</v>
      </c>
      <c r="G35" s="9" t="str">
        <f ca="1">+WORLDCUP!BD65</f>
        <v>Cabo Verde</v>
      </c>
      <c r="H35" s="9" t="str">
        <f ca="1">+WORLDCUP!BD63</f>
        <v>Japón</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Australia</v>
      </c>
      <c r="G36" s="9" t="str">
        <f ca="1">+WORLDCUP!BD65</f>
        <v>Cabo Verde</v>
      </c>
      <c r="H36" s="9" t="str">
        <f ca="1">+WORLDCUP!BD63</f>
        <v>Japón</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Australia</v>
      </c>
      <c r="G37" s="9" t="str">
        <f ca="1">+WORLDCUP!BD67</f>
        <v>Argelia</v>
      </c>
      <c r="H37" s="9" t="str">
        <f ca="1">+WORLDCUP!BD63</f>
        <v>Japón</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Australia</v>
      </c>
      <c r="G38" s="9" t="str">
        <f ca="1">+WORLDCUP!BD66</f>
        <v>Noruega</v>
      </c>
      <c r="H38" s="9" t="str">
        <f ca="1">+WORLDCUP!BD63</f>
        <v>Japón</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Australia</v>
      </c>
      <c r="G39" s="9" t="str">
        <f ca="1">+WORLDCUP!BD67</f>
        <v>Argelia</v>
      </c>
      <c r="H39" s="9" t="str">
        <f ca="1">+WORLDCUP!BD63</f>
        <v>Japón</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Australia</v>
      </c>
      <c r="G40" s="9" t="str">
        <f ca="1">+WORLDCUP!BD67</f>
        <v>Argelia</v>
      </c>
      <c r="H40" s="9" t="str">
        <f ca="1">+WORLDCUP!BD63</f>
        <v>Japón</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Australia</v>
      </c>
      <c r="G41" s="9" t="str">
        <f ca="1">+WORLDCUP!BD65</f>
        <v>Cabo Verde</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Australia</v>
      </c>
      <c r="G42" s="9" t="str">
        <f ca="1">+WORLDCUP!BD65</f>
        <v>Cabo Verde</v>
      </c>
      <c r="H42" s="9" t="str">
        <f ca="1">+WORLDCUP!BD63</f>
        <v>Japón</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Australia</v>
      </c>
      <c r="G43" s="9" t="str">
        <f ca="1">+WORLDCUP!BD65</f>
        <v>Cabo Verde</v>
      </c>
      <c r="H43" s="9" t="str">
        <f ca="1">+WORLDCUP!BD63</f>
        <v>Japón</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Australia</v>
      </c>
      <c r="G44" s="9" t="str">
        <f ca="1">+WORLDCUP!BD65</f>
        <v>Cabo Verde</v>
      </c>
      <c r="H44" s="9" t="str">
        <f ca="1">+WORLDCUP!BD63</f>
        <v>Japón</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Australia</v>
      </c>
      <c r="G45" s="9" t="str">
        <f ca="1">+WORLDCUP!BD65</f>
        <v>Cabo Verde</v>
      </c>
      <c r="H45" s="9" t="str">
        <f ca="1">+WORLDCUP!BD63</f>
        <v>Japón</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Australia</v>
      </c>
      <c r="G46" s="9" t="str">
        <f ca="1">+WORLDCUP!BD65</f>
        <v>Cabo Verde</v>
      </c>
      <c r="H46" s="9" t="str">
        <f ca="1">+WORLDCUP!BD63</f>
        <v>Japón</v>
      </c>
      <c r="I46" s="9" t="str">
        <f ca="1">+WORLDCUP!BD62</f>
        <v>Ecuador</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Cabo Verde</v>
      </c>
      <c r="D47" s="9" t="str">
        <f ca="1">+WORLDCUP!BD67</f>
        <v>Argelia</v>
      </c>
      <c r="E47" s="9" t="str">
        <f ca="1">+WORLDCUP!BD59</f>
        <v>Bosnia y Herzegovina</v>
      </c>
      <c r="F47" s="9" t="str">
        <f ca="1">+WORLDCUP!BD63</f>
        <v>Japón</v>
      </c>
      <c r="G47" s="9" t="str">
        <f ca="1">+WORLDCUP!BD66</f>
        <v>Noruega</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Japón</v>
      </c>
      <c r="G49" s="9" t="str">
        <f ca="1">+WORLDCUP!BD66</f>
        <v>Noruega</v>
      </c>
      <c r="H49" s="9" t="str">
        <f ca="1">+WORLDCUP!BD65</f>
        <v>Cabo Verde</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Japón</v>
      </c>
      <c r="G50" s="9" t="str">
        <f ca="1">+WORLDCUP!BD66</f>
        <v>Noruega</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Japón</v>
      </c>
      <c r="G51" s="9" t="str">
        <f ca="1">+WORLDCUP!BD65</f>
        <v>Cabo Verde</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Japón</v>
      </c>
      <c r="G52" s="9" t="str">
        <f ca="1">+WORLDCUP!BD66</f>
        <v>Noruega</v>
      </c>
      <c r="H52" s="9" t="str">
        <f ca="1">+WORLDCUP!BD65</f>
        <v>Cabo Verde</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Japón</v>
      </c>
      <c r="G53" s="9" t="str">
        <f ca="1">+WORLDCUP!BD65</f>
        <v>Cabo Verde</v>
      </c>
      <c r="H53" s="9" t="str">
        <f ca="1">+WORLDCUP!BD64</f>
        <v>Irán</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Japón</v>
      </c>
      <c r="G54" s="9" t="str">
        <f ca="1">+WORLDCUP!BD65</f>
        <v>Cabo Verde</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Cabo Verde</v>
      </c>
      <c r="D55" s="9" t="str">
        <f ca="1">+WORLDCUP!BD67</f>
        <v>Argelia</v>
      </c>
      <c r="E55" s="9" t="str">
        <f ca="1">+WORLDCUP!BD59</f>
        <v>Bosnia y Herzegovina</v>
      </c>
      <c r="F55" s="9" t="str">
        <f ca="1">+WORLDCUP!BD61</f>
        <v>Australia</v>
      </c>
      <c r="G55" s="9" t="str">
        <f ca="1">+WORLDCUP!BD66</f>
        <v>Noruega</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Cabo Verde</v>
      </c>
      <c r="D56" s="9" t="str">
        <f ca="1">+WORLDCUP!BD67</f>
        <v>Argelia</v>
      </c>
      <c r="E56" s="9" t="str">
        <f ca="1">+WORLDCUP!BD59</f>
        <v>Bosnia y Herzegovina</v>
      </c>
      <c r="F56" s="9" t="str">
        <f ca="1">+WORLDCUP!BD61</f>
        <v>Australia</v>
      </c>
      <c r="G56" s="9" t="str">
        <f ca="1">+WORLDCUP!BD66</f>
        <v>Noruega</v>
      </c>
      <c r="H56" s="9" t="str">
        <f ca="1">+WORLDCUP!BD63</f>
        <v>Japón</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Australia</v>
      </c>
      <c r="G57" s="9" t="str">
        <f ca="1">+WORLDCUP!BD67</f>
        <v>Argelia</v>
      </c>
      <c r="H57" s="9" t="str">
        <f ca="1">+WORLDCUP!BD63</f>
        <v>Japón</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Cabo Verde</v>
      </c>
      <c r="D58" s="9" t="str">
        <f ca="1">+WORLDCUP!BD64</f>
        <v>Irán</v>
      </c>
      <c r="E58" s="9" t="str">
        <f ca="1">+WORLDCUP!BD59</f>
        <v>Bosnia y Herzegovina</v>
      </c>
      <c r="F58" s="9" t="str">
        <f ca="1">+WORLDCUP!BD61</f>
        <v>Australia</v>
      </c>
      <c r="G58" s="9" t="str">
        <f ca="1">+WORLDCUP!BD67</f>
        <v>Argelia</v>
      </c>
      <c r="H58" s="9" t="str">
        <f ca="1">+WORLDCUP!BD63</f>
        <v>Japón</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Cabo Verde</v>
      </c>
      <c r="D59" s="9" t="str">
        <f ca="1">+WORLDCUP!BD64</f>
        <v>Irán</v>
      </c>
      <c r="E59" s="9" t="str">
        <f ca="1">+WORLDCUP!BD59</f>
        <v>Bosnia y Herzegovina</v>
      </c>
      <c r="F59" s="9" t="str">
        <f ca="1">+WORLDCUP!BD61</f>
        <v>Australia</v>
      </c>
      <c r="G59" s="9" t="str">
        <f ca="1">+WORLDCUP!BD66</f>
        <v>Noruega</v>
      </c>
      <c r="H59" s="9" t="str">
        <f ca="1">+WORLDCUP!BD63</f>
        <v>Japón</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Cabo Verde</v>
      </c>
      <c r="D60" s="9" t="str">
        <f ca="1">+WORLDCUP!BD64</f>
        <v>Irán</v>
      </c>
      <c r="E60" s="9" t="str">
        <f ca="1">+WORLDCUP!BD59</f>
        <v>Bosnia y Herzegovina</v>
      </c>
      <c r="F60" s="9" t="str">
        <f ca="1">+WORLDCUP!BD61</f>
        <v>Australia</v>
      </c>
      <c r="G60" s="9" t="str">
        <f ca="1">+WORLDCUP!BD67</f>
        <v>Argelia</v>
      </c>
      <c r="H60" s="9" t="str">
        <f ca="1">+WORLDCUP!BD63</f>
        <v>Japón</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Cabo Verde</v>
      </c>
      <c r="D61" s="9" t="str">
        <f ca="1">+WORLDCUP!BD64</f>
        <v>Irán</v>
      </c>
      <c r="E61" s="9" t="str">
        <f ca="1">+WORLDCUP!BD59</f>
        <v>Bosnia y Herzegovina</v>
      </c>
      <c r="F61" s="9" t="str">
        <f ca="1">+WORLDCUP!BD61</f>
        <v>Australia</v>
      </c>
      <c r="G61" s="9" t="str">
        <f ca="1">+WORLDCUP!BD67</f>
        <v>Argelia</v>
      </c>
      <c r="H61" s="9" t="str">
        <f ca="1">+WORLDCUP!BD63</f>
        <v>Japón</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Australia</v>
      </c>
      <c r="G62" s="9" t="str">
        <f ca="1">+WORLDCUP!BD66</f>
        <v>Noruega</v>
      </c>
      <c r="H62" s="9" t="str">
        <f ca="1">+WORLDCUP!BD65</f>
        <v>Cabo Verde</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Australia</v>
      </c>
      <c r="G63" s="9" t="str">
        <f ca="1">+WORLDCUP!BD66</f>
        <v>Noruega</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Australia</v>
      </c>
      <c r="G64" s="9" t="str">
        <f ca="1">+WORLDCUP!BD65</f>
        <v>Cabo Verde</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Australia</v>
      </c>
      <c r="G65" s="9" t="str">
        <f ca="1">+WORLDCUP!BD66</f>
        <v>Noruega</v>
      </c>
      <c r="H65" s="9" t="str">
        <f ca="1">+WORLDCUP!BD65</f>
        <v>Cabo Verde</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Australia</v>
      </c>
      <c r="G66" s="9" t="str">
        <f ca="1">+WORLDCUP!BD65</f>
        <v>Cabo Verde</v>
      </c>
      <c r="H66" s="9" t="str">
        <f ca="1">+WORLDCUP!BD64</f>
        <v>Irán</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Australia</v>
      </c>
      <c r="G67" s="9" t="str">
        <f ca="1">+WORLDCUP!BD65</f>
        <v>Cabo Verde</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Australia</v>
      </c>
      <c r="G68" s="9" t="str">
        <f ca="1">+WORLDCUP!BD66</f>
        <v>Noruega</v>
      </c>
      <c r="H68" s="9" t="str">
        <f ca="1">+WORLDCUP!BD63</f>
        <v>Japón</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Australia</v>
      </c>
      <c r="G69" s="9" t="str">
        <f ca="1">+WORLDCUP!BD65</f>
        <v>Cabo Verde</v>
      </c>
      <c r="H69" s="9" t="str">
        <f ca="1">+WORLDCUP!BD63</f>
        <v>Japón</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Noruega</v>
      </c>
      <c r="E70" s="9" t="str">
        <f ca="1">+WORLDCUP!BD59</f>
        <v>Bosnia y Herzegovina</v>
      </c>
      <c r="F70" s="9" t="str">
        <f ca="1">+WORLDCUP!BD61</f>
        <v>Australia</v>
      </c>
      <c r="G70" s="9" t="str">
        <f ca="1">+WORLDCUP!BD65</f>
        <v>Cabo Verde</v>
      </c>
      <c r="H70" s="9" t="str">
        <f ca="1">+WORLDCUP!BD63</f>
        <v>Japón</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Australia</v>
      </c>
      <c r="G71" s="9" t="str">
        <f ca="1">+WORLDCUP!BD65</f>
        <v>Cabo Verde</v>
      </c>
      <c r="H71" s="9" t="str">
        <f ca="1">+WORLDCUP!BD63</f>
        <v>Japón</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Australia</v>
      </c>
      <c r="G72" s="9" t="str">
        <f ca="1">+WORLDCUP!BD65</f>
        <v>Cabo Verde</v>
      </c>
      <c r="H72" s="9" t="str">
        <f ca="1">+WORLDCUP!BD63</f>
        <v>Japón</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Australia</v>
      </c>
      <c r="G73" s="9" t="str">
        <f ca="1">+WORLDCUP!BD67</f>
        <v>Argelia</v>
      </c>
      <c r="H73" s="9" t="str">
        <f ca="1">+WORLDCUP!BD63</f>
        <v>Japón</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Australia</v>
      </c>
      <c r="G74" s="9" t="str">
        <f ca="1">+WORLDCUP!BD66</f>
        <v>Noruega</v>
      </c>
      <c r="H74" s="9" t="str">
        <f ca="1">+WORLDCUP!BD63</f>
        <v>Japón</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Australia</v>
      </c>
      <c r="G75" s="9" t="str">
        <f ca="1">+WORLDCUP!BD67</f>
        <v>Argelia</v>
      </c>
      <c r="H75" s="9" t="str">
        <f ca="1">+WORLDCUP!BD63</f>
        <v>Japón</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Australia</v>
      </c>
      <c r="G76" s="9" t="str">
        <f ca="1">+WORLDCUP!BD67</f>
        <v>Argelia</v>
      </c>
      <c r="H76" s="9" t="str">
        <f ca="1">+WORLDCUP!BD63</f>
        <v>Japón</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Australia</v>
      </c>
      <c r="G77" s="9" t="str">
        <f ca="1">+WORLDCUP!BD65</f>
        <v>Cabo Verde</v>
      </c>
      <c r="H77" s="9" t="str">
        <f ca="1">+WORLDCUP!BD63</f>
        <v>Japón</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Cabo Verde</v>
      </c>
      <c r="D78" s="9" t="str">
        <f ca="1">+WORLDCUP!BD64</f>
        <v>Irán</v>
      </c>
      <c r="E78" s="9" t="str">
        <f ca="1">+WORLDCUP!BD59</f>
        <v>Bosnia y Herzegovina</v>
      </c>
      <c r="F78" s="9" t="str">
        <f ca="1">+WORLDCUP!BD61</f>
        <v>Australia</v>
      </c>
      <c r="G78" s="9" t="str">
        <f ca="1">+WORLDCUP!BD67</f>
        <v>Argelia</v>
      </c>
      <c r="H78" s="9" t="str">
        <f ca="1">+WORLDCUP!BD63</f>
        <v>Japón</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Cabo Verde</v>
      </c>
      <c r="D79" s="9" t="str">
        <f ca="1">+WORLDCUP!BD64</f>
        <v>Irán</v>
      </c>
      <c r="E79" s="9" t="str">
        <f ca="1">+WORLDCUP!BD59</f>
        <v>Bosnia y Herzegovina</v>
      </c>
      <c r="F79" s="9" t="str">
        <f ca="1">+WORLDCUP!BD61</f>
        <v>Australia</v>
      </c>
      <c r="G79" s="9" t="str">
        <f ca="1">+WORLDCUP!BD67</f>
        <v>Argelia</v>
      </c>
      <c r="H79" s="9" t="str">
        <f ca="1">+WORLDCUP!BD63</f>
        <v>Japón</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Australia</v>
      </c>
      <c r="G80" s="9" t="str">
        <f ca="1">+WORLDCUP!BD65</f>
        <v>Cabo Verde</v>
      </c>
      <c r="H80" s="9" t="str">
        <f ca="1">+WORLDCUP!BD63</f>
        <v>Japón</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Australia</v>
      </c>
      <c r="G81" s="9" t="str">
        <f ca="1">+WORLDCUP!BD65</f>
        <v>Cabo Verde</v>
      </c>
      <c r="H81" s="9" t="str">
        <f ca="1">+WORLDCUP!BD63</f>
        <v>Japón</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Cabo Verde</v>
      </c>
      <c r="D82" s="9" t="str">
        <f ca="1">+WORLDCUP!BD64</f>
        <v>Irán</v>
      </c>
      <c r="E82" s="9" t="str">
        <f ca="1">+WORLDCUP!BD59</f>
        <v>Bosnia y Herzegovina</v>
      </c>
      <c r="F82" s="9" t="str">
        <f ca="1">+WORLDCUP!BD61</f>
        <v>Australia</v>
      </c>
      <c r="G82" s="9" t="str">
        <f ca="1">+WORLDCUP!BD67</f>
        <v>Argelia</v>
      </c>
      <c r="H82" s="9" t="str">
        <f ca="1">+WORLDCUP!BD63</f>
        <v>Japón</v>
      </c>
      <c r="I82" s="9" t="str">
        <f ca="1">+WORLDCUP!BD62</f>
        <v>Ecuador</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Japón</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Japón</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Japón</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Japón</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Japón</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Japón</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Noruega</v>
      </c>
      <c r="H96" s="9" t="str">
        <f ca="1">+WORLDCUP!BD63</f>
        <v>Japón</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Cabo Verde</v>
      </c>
      <c r="H97" s="9" t="str">
        <f ca="1">+WORLDCUP!BD63</f>
        <v>Japón</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Noruega</v>
      </c>
      <c r="E98" s="9" t="str">
        <f ca="1">+WORLDCUP!BD59</f>
        <v>Bosnia y Herzegovina</v>
      </c>
      <c r="F98" s="9" t="str">
        <f ca="1">+WORLDCUP!BD60</f>
        <v>Escocia</v>
      </c>
      <c r="G98" s="9" t="str">
        <f ca="1">+WORLDCUP!BD65</f>
        <v>Cabo Verde</v>
      </c>
      <c r="H98" s="9" t="str">
        <f ca="1">+WORLDCUP!BD63</f>
        <v>Japón</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Cabo Verde</v>
      </c>
      <c r="H99" s="9" t="str">
        <f ca="1">+WORLDCUP!BD63</f>
        <v>Japón</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Cabo Verde</v>
      </c>
      <c r="H100" s="9" t="str">
        <f ca="1">+WORLDCUP!BD63</f>
        <v>Japón</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Japón</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Cabo Verde</v>
      </c>
      <c r="H105" s="9" t="str">
        <f ca="1">+WORLDCUP!BD63</f>
        <v>Japón</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Cabo Verde</v>
      </c>
      <c r="H108" s="9" t="str">
        <f ca="1">+WORLDCUP!BD63</f>
        <v>Japón</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Cabo Verde</v>
      </c>
      <c r="H109" s="9" t="str">
        <f ca="1">+WORLDCUP!BD63</f>
        <v>Japón</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Ecuador</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Australia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Australia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Australia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Australia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Australia</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Australia</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Noruega</v>
      </c>
      <c r="H117" s="9" t="str">
        <f ca="1">+WORLDCUP!BD63</f>
        <v>Japón</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Cabo Verde</v>
      </c>
      <c r="H118" s="9" t="str">
        <f ca="1">+WORLDCUP!BD63</f>
        <v>Japón</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Australia</v>
      </c>
      <c r="G119" s="9" t="str">
        <f ca="1">+WORLDCUP!BD65</f>
        <v>Cabo Verde</v>
      </c>
      <c r="H119" s="9" t="str">
        <f ca="1">+WORLDCUP!BD63</f>
        <v>Japón</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Cabo Verde</v>
      </c>
      <c r="H120" s="9" t="str">
        <f ca="1">+WORLDCUP!BD63</f>
        <v>Japón</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Cabo Verde</v>
      </c>
      <c r="H121" s="9" t="str">
        <f ca="1">+WORLDCUP!BD63</f>
        <v>Japón</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Australia</v>
      </c>
      <c r="G122" s="9" t="str">
        <f ca="1">+WORLDCUP!BD67</f>
        <v>Argelia</v>
      </c>
      <c r="H122" s="9" t="str">
        <f ca="1">+WORLDCUP!BD63</f>
        <v>Japón</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Australia</v>
      </c>
      <c r="G123" s="9" t="str">
        <f ca="1">+WORLDCUP!BD66</f>
        <v>Noruega</v>
      </c>
      <c r="H123" s="9" t="str">
        <f ca="1">+WORLDCUP!BD63</f>
        <v>Japón</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Australia</v>
      </c>
      <c r="G124" s="9" t="str">
        <f ca="1">+WORLDCUP!BD67</f>
        <v>Argelia</v>
      </c>
      <c r="H124" s="9" t="str">
        <f ca="1">+WORLDCUP!BD63</f>
        <v>Japón</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Australia</v>
      </c>
      <c r="G125" s="9" t="str">
        <f ca="1">+WORLDCUP!BD67</f>
        <v>Argelia</v>
      </c>
      <c r="H125" s="9" t="str">
        <f ca="1">+WORLDCUP!BD63</f>
        <v>Japón</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Australia</v>
      </c>
      <c r="G126" s="9" t="str">
        <f ca="1">+WORLDCUP!BD65</f>
        <v>Cabo Verde</v>
      </c>
      <c r="H126" s="9" t="str">
        <f ca="1">+WORLDCUP!BD63</f>
        <v>Japón</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Australia</v>
      </c>
      <c r="G127" s="9" t="str">
        <f ca="1">+WORLDCUP!BD65</f>
        <v>Cabo Verde</v>
      </c>
      <c r="H127" s="9" t="str">
        <f ca="1">+WORLDCUP!BD63</f>
        <v>Japón</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Australia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Australia</v>
      </c>
      <c r="G129" s="9" t="str">
        <f ca="1">+WORLDCUP!BD65</f>
        <v>Cabo Verde</v>
      </c>
      <c r="H129" s="9" t="str">
        <f ca="1">+WORLDCUP!BD63</f>
        <v>Japón</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Australia</v>
      </c>
      <c r="G130" s="9" t="str">
        <f ca="1">+WORLDCUP!BD65</f>
        <v>Cabo Verde</v>
      </c>
      <c r="H130" s="9" t="str">
        <f ca="1">+WORLDCUP!BD63</f>
        <v>Japón</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Australia</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Noruega</v>
      </c>
      <c r="H132" s="9" t="str">
        <f ca="1">+WORLDCUP!BD61</f>
        <v>Australia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Cabo Verde</v>
      </c>
      <c r="H133" s="9" t="str">
        <f ca="1">+WORLDCUP!BD61</f>
        <v>Australia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Cabo Verde</v>
      </c>
      <c r="H134" s="9" t="str">
        <f ca="1">+WORLDCUP!BD61</f>
        <v>Australia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Cabo Verde</v>
      </c>
      <c r="H135" s="9" t="str">
        <f ca="1">+WORLDCUP!BD61</f>
        <v>Australia</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Cabo Verde</v>
      </c>
      <c r="H136" s="9" t="str">
        <f ca="1">+WORLDCUP!BD61</f>
        <v>Australia</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Australia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Australia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Australia</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Australia</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Cabo Verde</v>
      </c>
      <c r="H141" s="9" t="str">
        <f ca="1">+WORLDCUP!BD61</f>
        <v>Australia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Australia</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Australia</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Cabo Verde</v>
      </c>
      <c r="H144" s="9" t="str">
        <f ca="1">+WORLDCUP!BD61</f>
        <v>Australia</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Cabo Verde</v>
      </c>
      <c r="H145" s="9" t="str">
        <f ca="1">+WORLDCUP!BD61</f>
        <v>Australia</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Australia</v>
      </c>
      <c r="I146" s="9" t="str">
        <f ca="1">+WORLDCUP!BD62</f>
        <v>Ecuador</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Ecuador</v>
      </c>
      <c r="H147" s="9" t="str">
        <f ca="1">+WORLDCUP!BD63</f>
        <v>Japón</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Australia</v>
      </c>
      <c r="G148" s="9" t="str">
        <f ca="1">+WORLDCUP!BD66</f>
        <v>Noruega</v>
      </c>
      <c r="H148" s="9" t="str">
        <f ca="1">+WORLDCUP!BD63</f>
        <v>Japón</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Ecuador</v>
      </c>
      <c r="H149" s="9" t="str">
        <f ca="1">+WORLDCUP!BD63</f>
        <v>Japón</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Ecuador</v>
      </c>
      <c r="H150" s="9" t="str">
        <f ca="1">+WORLDCUP!BD63</f>
        <v>Japón</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Australia</v>
      </c>
      <c r="G151" s="9" t="str">
        <f ca="1">+WORLDCUP!BD65</f>
        <v>Cabo Verde</v>
      </c>
      <c r="H151" s="9" t="str">
        <f ca="1">+WORLDCUP!BD63</f>
        <v>Japón</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Cabo Verde</v>
      </c>
      <c r="H152" s="9" t="str">
        <f ca="1">+WORLDCUP!BD63</f>
        <v>Japón</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Cabo Verde</v>
      </c>
      <c r="H153" s="9" t="str">
        <f ca="1">+WORLDCUP!BD63</f>
        <v>Japón</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Australia</v>
      </c>
      <c r="G154" s="9" t="str">
        <f ca="1">+WORLDCUP!BD65</f>
        <v>Cabo Verde</v>
      </c>
      <c r="H154" s="9" t="str">
        <f ca="1">+WORLDCUP!BD63</f>
        <v>Japón</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Australia</v>
      </c>
      <c r="G155" s="9" t="str">
        <f ca="1">+WORLDCUP!BD65</f>
        <v>Cabo Verde</v>
      </c>
      <c r="H155" s="9" t="str">
        <f ca="1">+WORLDCUP!BD63</f>
        <v>Japón</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Cabo Verde</v>
      </c>
      <c r="H156" s="9" t="str">
        <f ca="1">+WORLDCUP!BD63</f>
        <v>Japón</v>
      </c>
      <c r="I156" s="9" t="str">
        <f ca="1">+WORLDCUP!BD62</f>
        <v>Ecuador</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Australia</v>
      </c>
      <c r="G157" s="9" t="str">
        <f ca="1">+WORLDCUP!BD62</f>
        <v>Ecuador</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Australia</v>
      </c>
      <c r="G158" s="9" t="str">
        <f ca="1">+WORLDCUP!BD67</f>
        <v>Argelia</v>
      </c>
      <c r="H158" s="9" t="str">
        <f ca="1">+WORLDCUP!BD63</f>
        <v>Japón</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Australia</v>
      </c>
      <c r="G159" s="9" t="str">
        <f ca="1">+WORLDCUP!BD67</f>
        <v>Argelia</v>
      </c>
      <c r="H159" s="9" t="str">
        <f ca="1">+WORLDCUP!BD63</f>
        <v>Japón</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Australia</v>
      </c>
      <c r="G160" s="9" t="str">
        <f ca="1">+WORLDCUP!BD62</f>
        <v>Ecuador</v>
      </c>
      <c r="H160" s="9" t="str">
        <f ca="1">+WORLDCUP!BD63</f>
        <v>Japón</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Australia</v>
      </c>
      <c r="G161" s="9" t="str">
        <f ca="1">+WORLDCUP!BD62</f>
        <v>Ecuador</v>
      </c>
      <c r="H161" s="9" t="str">
        <f ca="1">+WORLDCUP!BD63</f>
        <v>Japón</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Australia</v>
      </c>
      <c r="G162" s="9" t="str">
        <f ca="1">+WORLDCUP!BD67</f>
        <v>Argelia</v>
      </c>
      <c r="H162" s="9" t="str">
        <f ca="1">+WORLDCUP!BD63</f>
        <v>Japón</v>
      </c>
      <c r="I162" s="9" t="str">
        <f ca="1">+WORLDCUP!BD62</f>
        <v>Ecuador</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Australia</v>
      </c>
      <c r="G163" s="9" t="str">
        <f ca="1">+WORLDCUP!BD65</f>
        <v>Cabo Verde</v>
      </c>
      <c r="H163" s="9" t="str">
        <f ca="1">+WORLDCUP!BD63</f>
        <v>Japón</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Australia</v>
      </c>
      <c r="G164" s="9" t="str">
        <f ca="1">+WORLDCUP!BD65</f>
        <v>Cabo Verde</v>
      </c>
      <c r="H164" s="9" t="str">
        <f ca="1">+WORLDCUP!BD63</f>
        <v>Japón</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Australia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Australia</v>
      </c>
      <c r="G166" s="9" t="str">
        <f ca="1">+WORLDCUP!BD65</f>
        <v>Cabo Verde</v>
      </c>
      <c r="H166" s="9" t="str">
        <f ca="1">+WORLDCUP!BD63</f>
        <v>Japón</v>
      </c>
      <c r="I166" s="9" t="str">
        <f ca="1">+WORLDCUP!BD62</f>
        <v>Ecuador</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Cabo Verde</v>
      </c>
      <c r="D167" s="9" t="str">
        <f ca="1">+WORLDCUP!BD67</f>
        <v>Argelia</v>
      </c>
      <c r="E167" s="9" t="str">
        <f ca="1">+WORLDCUP!BD66</f>
        <v>Noruega</v>
      </c>
      <c r="F167" s="9" t="str">
        <f ca="1">+WORLDCUP!BD63</f>
        <v>Japón</v>
      </c>
      <c r="G167" s="9" t="str">
        <f ca="1">+WORLDCUP!BD58</f>
        <v>México</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Noruega</v>
      </c>
      <c r="F168" s="9" t="str">
        <f ca="1">+WORLDCUP!BD58</f>
        <v>México</v>
      </c>
      <c r="G168" s="9" t="str">
        <f ca="1">+WORLDCUP!BD65</f>
        <v>Cabo Verde</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Noruega</v>
      </c>
      <c r="F169" s="9" t="str">
        <f ca="1">+WORLDCUP!BD63</f>
        <v>Japón</v>
      </c>
      <c r="G169" s="9" t="str">
        <f ca="1">+WORLDCUP!BD58</f>
        <v>México</v>
      </c>
      <c r="H169" s="9" t="str">
        <f ca="1">+WORLDCUP!BD65</f>
        <v>Cabo Verde</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Noruega</v>
      </c>
      <c r="F170" s="9" t="str">
        <f ca="1">+WORLDCUP!BD63</f>
        <v>Japón</v>
      </c>
      <c r="G170" s="9" t="str">
        <f ca="1">+WORLDCUP!BD58</f>
        <v>México</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Japón</v>
      </c>
      <c r="G171" s="9" t="str">
        <f ca="1">+WORLDCUP!BD58</f>
        <v>México</v>
      </c>
      <c r="H171" s="9" t="str">
        <f ca="1">+WORLDCUP!BD65</f>
        <v>Cabo Verde</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Noruega</v>
      </c>
      <c r="F172" s="9" t="str">
        <f ca="1">+WORLDCUP!BD63</f>
        <v>Japón</v>
      </c>
      <c r="G172" s="9" t="str">
        <f ca="1">+WORLDCUP!BD58</f>
        <v>México</v>
      </c>
      <c r="H172" s="9" t="str">
        <f ca="1">+WORLDCUP!BD65</f>
        <v>Cabo Verde</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Japón</v>
      </c>
      <c r="G173" s="9" t="str">
        <f ca="1">+WORLDCUP!BD58</f>
        <v>México</v>
      </c>
      <c r="H173" s="9" t="str">
        <f ca="1">+WORLDCUP!BD65</f>
        <v>Cabo Verde</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Japón</v>
      </c>
      <c r="G174" s="9" t="str">
        <f ca="1">+WORLDCUP!BD58</f>
        <v>México</v>
      </c>
      <c r="H174" s="9" t="str">
        <f ca="1">+WORLDCUP!BD65</f>
        <v>Cabo Verde</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Cabo Verde</v>
      </c>
      <c r="D175" s="9" t="str">
        <f ca="1">+WORLDCUP!BD67</f>
        <v>Argelia</v>
      </c>
      <c r="E175" s="9" t="str">
        <f ca="1">+WORLDCUP!BD66</f>
        <v>Noruega</v>
      </c>
      <c r="F175" s="9" t="str">
        <f ca="1">+WORLDCUP!BD61</f>
        <v>Australia</v>
      </c>
      <c r="G175" s="9" t="str">
        <f ca="1">+WORLDCUP!BD58</f>
        <v>México</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Cabo Verde</v>
      </c>
      <c r="D176" s="9" t="str">
        <f ca="1">+WORLDCUP!BD67</f>
        <v>Argelia</v>
      </c>
      <c r="E176" s="9" t="str">
        <f ca="1">+WORLDCUP!BD66</f>
        <v>Noruega</v>
      </c>
      <c r="F176" s="9" t="str">
        <f ca="1">+WORLDCUP!BD61</f>
        <v>Australia</v>
      </c>
      <c r="G176" s="9" t="str">
        <f ca="1">+WORLDCUP!BD58</f>
        <v>México</v>
      </c>
      <c r="H176" s="9" t="str">
        <f ca="1">+WORLDCUP!BD63</f>
        <v>Japón</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Argelia</v>
      </c>
      <c r="F177" s="9" t="str">
        <f ca="1">+WORLDCUP!BD61</f>
        <v>Australia</v>
      </c>
      <c r="G177" s="9" t="str">
        <f ca="1">+WORLDCUP!BD58</f>
        <v>México</v>
      </c>
      <c r="H177" s="9" t="str">
        <f ca="1">+WORLDCUP!BD63</f>
        <v>Japón</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Cabo Verde</v>
      </c>
      <c r="D178" s="9" t="str">
        <f ca="1">+WORLDCUP!BD64</f>
        <v>Irán</v>
      </c>
      <c r="E178" s="9" t="str">
        <f ca="1">+WORLDCUP!BD67</f>
        <v>Argelia</v>
      </c>
      <c r="F178" s="9" t="str">
        <f ca="1">+WORLDCUP!BD61</f>
        <v>Australia</v>
      </c>
      <c r="G178" s="9" t="str">
        <f ca="1">+WORLDCUP!BD58</f>
        <v>México</v>
      </c>
      <c r="H178" s="9" t="str">
        <f ca="1">+WORLDCUP!BD63</f>
        <v>Japón</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Cabo Verde</v>
      </c>
      <c r="D179" s="9" t="str">
        <f ca="1">+WORLDCUP!BD64</f>
        <v>Irán</v>
      </c>
      <c r="E179" s="9" t="str">
        <f ca="1">+WORLDCUP!BD66</f>
        <v>Noruega</v>
      </c>
      <c r="F179" s="9" t="str">
        <f ca="1">+WORLDCUP!BD61</f>
        <v>Australia</v>
      </c>
      <c r="G179" s="9" t="str">
        <f ca="1">+WORLDCUP!BD58</f>
        <v>México</v>
      </c>
      <c r="H179" s="9" t="str">
        <f ca="1">+WORLDCUP!BD63</f>
        <v>Japón</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Cabo Verde</v>
      </c>
      <c r="D180" s="9" t="str">
        <f ca="1">+WORLDCUP!BD64</f>
        <v>Irán</v>
      </c>
      <c r="E180" s="9" t="str">
        <f ca="1">+WORLDCUP!BD67</f>
        <v>Argelia</v>
      </c>
      <c r="F180" s="9" t="str">
        <f ca="1">+WORLDCUP!BD61</f>
        <v>Australia</v>
      </c>
      <c r="G180" s="9" t="str">
        <f ca="1">+WORLDCUP!BD58</f>
        <v>México</v>
      </c>
      <c r="H180" s="9" t="str">
        <f ca="1">+WORLDCUP!BD63</f>
        <v>Japón</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Cabo Verde</v>
      </c>
      <c r="D181" s="9" t="str">
        <f ca="1">+WORLDCUP!BD64</f>
        <v>Irán</v>
      </c>
      <c r="E181" s="9" t="str">
        <f ca="1">+WORLDCUP!BD67</f>
        <v>Argelia</v>
      </c>
      <c r="F181" s="9" t="str">
        <f ca="1">+WORLDCUP!BD61</f>
        <v>Australia</v>
      </c>
      <c r="G181" s="9" t="str">
        <f ca="1">+WORLDCUP!BD58</f>
        <v>México</v>
      </c>
      <c r="H181" s="9" t="str">
        <f ca="1">+WORLDCUP!BD63</f>
        <v>Japón</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Noruega</v>
      </c>
      <c r="F182" s="9" t="str">
        <f ca="1">+WORLDCUP!BD61</f>
        <v>Australia</v>
      </c>
      <c r="G182" s="9" t="str">
        <f ca="1">+WORLDCUP!BD58</f>
        <v>México</v>
      </c>
      <c r="H182" s="9" t="str">
        <f ca="1">+WORLDCUP!BD65</f>
        <v>Cabo Verde</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Noruega</v>
      </c>
      <c r="F183" s="9" t="str">
        <f ca="1">+WORLDCUP!BD61</f>
        <v>Australia</v>
      </c>
      <c r="G183" s="9" t="str">
        <f ca="1">+WORLDCUP!BD58</f>
        <v>México</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Australia</v>
      </c>
      <c r="G184" s="9" t="str">
        <f ca="1">+WORLDCUP!BD58</f>
        <v>México</v>
      </c>
      <c r="H184" s="9" t="str">
        <f ca="1">+WORLDCUP!BD65</f>
        <v>Cabo Verde</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Noruega</v>
      </c>
      <c r="F185" s="9" t="str">
        <f ca="1">+WORLDCUP!BD61</f>
        <v>Australia</v>
      </c>
      <c r="G185" s="9" t="str">
        <f ca="1">+WORLDCUP!BD58</f>
        <v>México</v>
      </c>
      <c r="H185" s="9" t="str">
        <f ca="1">+WORLDCUP!BD65</f>
        <v>Cabo Verde</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Australia</v>
      </c>
      <c r="G186" s="9" t="str">
        <f ca="1">+WORLDCUP!BD58</f>
        <v>México</v>
      </c>
      <c r="H186" s="9" t="str">
        <f ca="1">+WORLDCUP!BD65</f>
        <v>Cabo Verde</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Australia</v>
      </c>
      <c r="G187" s="9" t="str">
        <f ca="1">+WORLDCUP!BD58</f>
        <v>México</v>
      </c>
      <c r="H187" s="9" t="str">
        <f ca="1">+WORLDCUP!BD65</f>
        <v>Cabo Verde</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Noruega</v>
      </c>
      <c r="F188" s="9" t="str">
        <f ca="1">+WORLDCUP!BD61</f>
        <v>Australia</v>
      </c>
      <c r="G188" s="9" t="str">
        <f ca="1">+WORLDCUP!BD58</f>
        <v>México</v>
      </c>
      <c r="H188" s="9" t="str">
        <f ca="1">+WORLDCUP!BD63</f>
        <v>Japón</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Cabo Verde</v>
      </c>
      <c r="D189" s="9" t="str">
        <f ca="1">+WORLDCUP!BD67</f>
        <v>Argelia</v>
      </c>
      <c r="E189" s="9" t="str">
        <f ca="1">+WORLDCUP!BD62</f>
        <v>Ecuador</v>
      </c>
      <c r="F189" s="9" t="str">
        <f ca="1">+WORLDCUP!BD61</f>
        <v>Australia</v>
      </c>
      <c r="G189" s="9" t="str">
        <f ca="1">+WORLDCUP!BD58</f>
        <v>México</v>
      </c>
      <c r="H189" s="9" t="str">
        <f ca="1">+WORLDCUP!BD63</f>
        <v>Japón</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Cabo Verde</v>
      </c>
      <c r="D190" s="9" t="str">
        <f ca="1">+WORLDCUP!BD62</f>
        <v>Ecuador</v>
      </c>
      <c r="E190" s="9" t="str">
        <f ca="1">+WORLDCUP!BD66</f>
        <v>Noruega</v>
      </c>
      <c r="F190" s="9" t="str">
        <f ca="1">+WORLDCUP!BD61</f>
        <v>Australia</v>
      </c>
      <c r="G190" s="9" t="str">
        <f ca="1">+WORLDCUP!BD58</f>
        <v>México</v>
      </c>
      <c r="H190" s="9" t="str">
        <f ca="1">+WORLDCUP!BD63</f>
        <v>Japón</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Cabo Verde</v>
      </c>
      <c r="D191" s="9" t="str">
        <f ca="1">+WORLDCUP!BD67</f>
        <v>Argelia</v>
      </c>
      <c r="E191" s="9" t="str">
        <f ca="1">+WORLDCUP!BD62</f>
        <v>Ecuador</v>
      </c>
      <c r="F191" s="9" t="str">
        <f ca="1">+WORLDCUP!BD61</f>
        <v>Australia</v>
      </c>
      <c r="G191" s="9" t="str">
        <f ca="1">+WORLDCUP!BD58</f>
        <v>México</v>
      </c>
      <c r="H191" s="9" t="str">
        <f ca="1">+WORLDCUP!BD63</f>
        <v>Japón</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Cabo Verde</v>
      </c>
      <c r="D192" s="9" t="str">
        <f ca="1">+WORLDCUP!BD67</f>
        <v>Argelia</v>
      </c>
      <c r="E192" s="9" t="str">
        <f ca="1">+WORLDCUP!BD62</f>
        <v>Ecuador</v>
      </c>
      <c r="F192" s="9" t="str">
        <f ca="1">+WORLDCUP!BD61</f>
        <v>Australia</v>
      </c>
      <c r="G192" s="9" t="str">
        <f ca="1">+WORLDCUP!BD58</f>
        <v>México</v>
      </c>
      <c r="H192" s="9" t="str">
        <f ca="1">+WORLDCUP!BD63</f>
        <v>Japón</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Australia</v>
      </c>
      <c r="G193" s="9" t="str">
        <f ca="1">+WORLDCUP!BD58</f>
        <v>México</v>
      </c>
      <c r="H193" s="9" t="str">
        <f ca="1">+WORLDCUP!BD63</f>
        <v>Japón</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Noruega</v>
      </c>
      <c r="F194" s="9" t="str">
        <f ca="1">+WORLDCUP!BD61</f>
        <v>Australia</v>
      </c>
      <c r="G194" s="9" t="str">
        <f ca="1">+WORLDCUP!BD58</f>
        <v>México</v>
      </c>
      <c r="H194" s="9" t="str">
        <f ca="1">+WORLDCUP!BD63</f>
        <v>Japón</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Australia</v>
      </c>
      <c r="G195" s="9" t="str">
        <f ca="1">+WORLDCUP!BD58</f>
        <v>México</v>
      </c>
      <c r="H195" s="9" t="str">
        <f ca="1">+WORLDCUP!BD63</f>
        <v>Japón</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Australia</v>
      </c>
      <c r="G196" s="9" t="str">
        <f ca="1">+WORLDCUP!BD58</f>
        <v>México</v>
      </c>
      <c r="H196" s="9" t="str">
        <f ca="1">+WORLDCUP!BD63</f>
        <v>Japón</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Cabo Verde</v>
      </c>
      <c r="D197" s="9" t="str">
        <f ca="1">+WORLDCUP!BD64</f>
        <v>Irán</v>
      </c>
      <c r="E197" s="9" t="str">
        <f ca="1">+WORLDCUP!BD62</f>
        <v>Ecuador</v>
      </c>
      <c r="F197" s="9" t="str">
        <f ca="1">+WORLDCUP!BD61</f>
        <v>Australia</v>
      </c>
      <c r="G197" s="9" t="str">
        <f ca="1">+WORLDCUP!BD58</f>
        <v>México</v>
      </c>
      <c r="H197" s="9" t="str">
        <f ca="1">+WORLDCUP!BD63</f>
        <v>Japón</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Cabo Verde</v>
      </c>
      <c r="D198" s="9" t="str">
        <f ca="1">+WORLDCUP!BD64</f>
        <v>Irán</v>
      </c>
      <c r="E198" s="9" t="str">
        <f ca="1">+WORLDCUP!BD67</f>
        <v>Argelia</v>
      </c>
      <c r="F198" s="9" t="str">
        <f ca="1">+WORLDCUP!BD61</f>
        <v>Australia</v>
      </c>
      <c r="G198" s="9" t="str">
        <f ca="1">+WORLDCUP!BD58</f>
        <v>México</v>
      </c>
      <c r="H198" s="9" t="str">
        <f ca="1">+WORLDCUP!BD63</f>
        <v>Japón</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Cabo Verde</v>
      </c>
      <c r="D199" s="9" t="str">
        <f ca="1">+WORLDCUP!BD64</f>
        <v>Irán</v>
      </c>
      <c r="E199" s="9" t="str">
        <f ca="1">+WORLDCUP!BD67</f>
        <v>Argelia</v>
      </c>
      <c r="F199" s="9" t="str">
        <f ca="1">+WORLDCUP!BD61</f>
        <v>Australia</v>
      </c>
      <c r="G199" s="9" t="str">
        <f ca="1">+WORLDCUP!BD58</f>
        <v>México</v>
      </c>
      <c r="H199" s="9" t="str">
        <f ca="1">+WORLDCUP!BD63</f>
        <v>Japón</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Cabo Verde</v>
      </c>
      <c r="D200" s="9" t="str">
        <f ca="1">+WORLDCUP!BD64</f>
        <v>Irán</v>
      </c>
      <c r="E200" s="9" t="str">
        <f ca="1">+WORLDCUP!BD62</f>
        <v>Ecuador</v>
      </c>
      <c r="F200" s="9" t="str">
        <f ca="1">+WORLDCUP!BD61</f>
        <v>Australia</v>
      </c>
      <c r="G200" s="9" t="str">
        <f ca="1">+WORLDCUP!BD58</f>
        <v>México</v>
      </c>
      <c r="H200" s="9" t="str">
        <f ca="1">+WORLDCUP!BD63</f>
        <v>Japón</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Cabo Verde</v>
      </c>
      <c r="D201" s="9" t="str">
        <f ca="1">+WORLDCUP!BD64</f>
        <v>Irán</v>
      </c>
      <c r="E201" s="9" t="str">
        <f ca="1">+WORLDCUP!BD62</f>
        <v>Ecuador</v>
      </c>
      <c r="F201" s="9" t="str">
        <f ca="1">+WORLDCUP!BD61</f>
        <v>Australia</v>
      </c>
      <c r="G201" s="9" t="str">
        <f ca="1">+WORLDCUP!BD58</f>
        <v>México</v>
      </c>
      <c r="H201" s="9" t="str">
        <f ca="1">+WORLDCUP!BD63</f>
        <v>Japón</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Cabo Verde</v>
      </c>
      <c r="D202" s="9" t="str">
        <f ca="1">+WORLDCUP!BD64</f>
        <v>Irán</v>
      </c>
      <c r="E202" s="9" t="str">
        <f ca="1">+WORLDCUP!BD67</f>
        <v>Argelia</v>
      </c>
      <c r="F202" s="9" t="str">
        <f ca="1">+WORLDCUP!BD61</f>
        <v>Australia</v>
      </c>
      <c r="G202" s="9" t="str">
        <f ca="1">+WORLDCUP!BD58</f>
        <v>México</v>
      </c>
      <c r="H202" s="9" t="str">
        <f ca="1">+WORLDCUP!BD63</f>
        <v>Japón</v>
      </c>
      <c r="I202" s="9" t="str">
        <f ca="1">+WORLDCUP!BD62</f>
        <v>Ecuador</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Cabo Verde</v>
      </c>
      <c r="D203" s="9" t="str">
        <f ca="1">+WORLDCUP!BD67</f>
        <v>Argelia</v>
      </c>
      <c r="E203" s="9" t="str">
        <f ca="1">+WORLDCUP!BD66</f>
        <v>Noruega</v>
      </c>
      <c r="F203" s="9" t="str">
        <f ca="1">+WORLDCUP!BD60</f>
        <v>Escocia</v>
      </c>
      <c r="G203" s="9" t="str">
        <f ca="1">+WORLDCUP!BD58</f>
        <v>México</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Cabo Verde</v>
      </c>
      <c r="D204" s="9" t="str">
        <f ca="1">+WORLDCUP!BD67</f>
        <v>Argelia</v>
      </c>
      <c r="E204" s="9" t="str">
        <f ca="1">+WORLDCUP!BD66</f>
        <v>Noruega</v>
      </c>
      <c r="F204" s="9" t="str">
        <f ca="1">+WORLDCUP!BD60</f>
        <v>Escocia</v>
      </c>
      <c r="G204" s="9" t="str">
        <f ca="1">+WORLDCUP!BD58</f>
        <v>México</v>
      </c>
      <c r="H204" s="9" t="str">
        <f ca="1">+WORLDCUP!BD63</f>
        <v>Japón</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Argelia</v>
      </c>
      <c r="F205" s="9" t="str">
        <f ca="1">+WORLDCUP!BD60</f>
        <v>Escocia</v>
      </c>
      <c r="G205" s="9" t="str">
        <f ca="1">+WORLDCUP!BD58</f>
        <v>México</v>
      </c>
      <c r="H205" s="9" t="str">
        <f ca="1">+WORLDCUP!BD63</f>
        <v>Japón</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Cabo Verde</v>
      </c>
      <c r="D206" s="9" t="str">
        <f ca="1">+WORLDCUP!BD64</f>
        <v>Irán</v>
      </c>
      <c r="E206" s="9" t="str">
        <f ca="1">+WORLDCUP!BD67</f>
        <v>Argelia</v>
      </c>
      <c r="F206" s="9" t="str">
        <f ca="1">+WORLDCUP!BD60</f>
        <v>Escocia</v>
      </c>
      <c r="G206" s="9" t="str">
        <f ca="1">+WORLDCUP!BD58</f>
        <v>México</v>
      </c>
      <c r="H206" s="9" t="str">
        <f ca="1">+WORLDCUP!BD63</f>
        <v>Japón</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Cabo Verde</v>
      </c>
      <c r="D207" s="9" t="str">
        <f ca="1">+WORLDCUP!BD64</f>
        <v>Irán</v>
      </c>
      <c r="E207" s="9" t="str">
        <f ca="1">+WORLDCUP!BD66</f>
        <v>Noruega</v>
      </c>
      <c r="F207" s="9" t="str">
        <f ca="1">+WORLDCUP!BD60</f>
        <v>Escocia</v>
      </c>
      <c r="G207" s="9" t="str">
        <f ca="1">+WORLDCUP!BD58</f>
        <v>México</v>
      </c>
      <c r="H207" s="9" t="str">
        <f ca="1">+WORLDCUP!BD63</f>
        <v>Japón</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Cabo Verde</v>
      </c>
      <c r="D208" s="9" t="str">
        <f ca="1">+WORLDCUP!BD64</f>
        <v>Irán</v>
      </c>
      <c r="E208" s="9" t="str">
        <f ca="1">+WORLDCUP!BD67</f>
        <v>Argelia</v>
      </c>
      <c r="F208" s="9" t="str">
        <f ca="1">+WORLDCUP!BD60</f>
        <v>Escocia</v>
      </c>
      <c r="G208" s="9" t="str">
        <f ca="1">+WORLDCUP!BD58</f>
        <v>México</v>
      </c>
      <c r="H208" s="9" t="str">
        <f ca="1">+WORLDCUP!BD63</f>
        <v>Japón</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Cabo Verde</v>
      </c>
      <c r="D209" s="9" t="str">
        <f ca="1">+WORLDCUP!BD64</f>
        <v>Irán</v>
      </c>
      <c r="E209" s="9" t="str">
        <f ca="1">+WORLDCUP!BD67</f>
        <v>Argelia</v>
      </c>
      <c r="F209" s="9" t="str">
        <f ca="1">+WORLDCUP!BD60</f>
        <v>Escocia</v>
      </c>
      <c r="G209" s="9" t="str">
        <f ca="1">+WORLDCUP!BD58</f>
        <v>México</v>
      </c>
      <c r="H209" s="9" t="str">
        <f ca="1">+WORLDCUP!BD63</f>
        <v>Japón</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Noruega</v>
      </c>
      <c r="F210" s="9" t="str">
        <f ca="1">+WORLDCUP!BD60</f>
        <v>Escocia</v>
      </c>
      <c r="G210" s="9" t="str">
        <f ca="1">+WORLDCUP!BD58</f>
        <v>México</v>
      </c>
      <c r="H210" s="9" t="str">
        <f ca="1">+WORLDCUP!BD65</f>
        <v>Cabo Verde</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Noruega</v>
      </c>
      <c r="F211" s="9" t="str">
        <f ca="1">+WORLDCUP!BD60</f>
        <v>Escocia</v>
      </c>
      <c r="G211" s="9" t="str">
        <f ca="1">+WORLDCUP!BD58</f>
        <v>México</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México</v>
      </c>
      <c r="H212" s="9" t="str">
        <f ca="1">+WORLDCUP!BD65</f>
        <v>Cabo Verde</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Noruega</v>
      </c>
      <c r="F213" s="9" t="str">
        <f ca="1">+WORLDCUP!BD60</f>
        <v>Escocia</v>
      </c>
      <c r="G213" s="9" t="str">
        <f ca="1">+WORLDCUP!BD58</f>
        <v>México</v>
      </c>
      <c r="H213" s="9" t="str">
        <f ca="1">+WORLDCUP!BD65</f>
        <v>Cabo Verde</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México</v>
      </c>
      <c r="H214" s="9" t="str">
        <f ca="1">+WORLDCUP!BD65</f>
        <v>Cabo Verde</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México</v>
      </c>
      <c r="H215" s="9" t="str">
        <f ca="1">+WORLDCUP!BD65</f>
        <v>Cabo Verde</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Noruega</v>
      </c>
      <c r="F216" s="9" t="str">
        <f ca="1">+WORLDCUP!BD60</f>
        <v>Escocia</v>
      </c>
      <c r="G216" s="9" t="str">
        <f ca="1">+WORLDCUP!BD58</f>
        <v>México</v>
      </c>
      <c r="H216" s="9" t="str">
        <f ca="1">+WORLDCUP!BD63</f>
        <v>Japón</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Cabo Verde</v>
      </c>
      <c r="D217" s="9" t="str">
        <f ca="1">+WORLDCUP!BD67</f>
        <v>Argelia</v>
      </c>
      <c r="E217" s="9" t="str">
        <f ca="1">+WORLDCUP!BD62</f>
        <v>Ecuador</v>
      </c>
      <c r="F217" s="9" t="str">
        <f ca="1">+WORLDCUP!BD60</f>
        <v>Escocia</v>
      </c>
      <c r="G217" s="9" t="str">
        <f ca="1">+WORLDCUP!BD58</f>
        <v>México</v>
      </c>
      <c r="H217" s="9" t="str">
        <f ca="1">+WORLDCUP!BD63</f>
        <v>Japón</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Cabo Verde</v>
      </c>
      <c r="D218" s="9" t="str">
        <f ca="1">+WORLDCUP!BD62</f>
        <v>Ecuador</v>
      </c>
      <c r="E218" s="9" t="str">
        <f ca="1">+WORLDCUP!BD66</f>
        <v>Noruega</v>
      </c>
      <c r="F218" s="9" t="str">
        <f ca="1">+WORLDCUP!BD60</f>
        <v>Escocia</v>
      </c>
      <c r="G218" s="9" t="str">
        <f ca="1">+WORLDCUP!BD58</f>
        <v>México</v>
      </c>
      <c r="H218" s="9" t="str">
        <f ca="1">+WORLDCUP!BD63</f>
        <v>Japón</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Cabo Verde</v>
      </c>
      <c r="D219" s="9" t="str">
        <f ca="1">+WORLDCUP!BD67</f>
        <v>Argelia</v>
      </c>
      <c r="E219" s="9" t="str">
        <f ca="1">+WORLDCUP!BD62</f>
        <v>Ecuador</v>
      </c>
      <c r="F219" s="9" t="str">
        <f ca="1">+WORLDCUP!BD60</f>
        <v>Escocia</v>
      </c>
      <c r="G219" s="9" t="str">
        <f ca="1">+WORLDCUP!BD58</f>
        <v>México</v>
      </c>
      <c r="H219" s="9" t="str">
        <f ca="1">+WORLDCUP!BD63</f>
        <v>Japón</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Cabo Verde</v>
      </c>
      <c r="D220" s="9" t="str">
        <f ca="1">+WORLDCUP!BD67</f>
        <v>Argelia</v>
      </c>
      <c r="E220" s="9" t="str">
        <f ca="1">+WORLDCUP!BD62</f>
        <v>Ecuador</v>
      </c>
      <c r="F220" s="9" t="str">
        <f ca="1">+WORLDCUP!BD60</f>
        <v>Escocia</v>
      </c>
      <c r="G220" s="9" t="str">
        <f ca="1">+WORLDCUP!BD58</f>
        <v>México</v>
      </c>
      <c r="H220" s="9" t="str">
        <f ca="1">+WORLDCUP!BD63</f>
        <v>Japón</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México</v>
      </c>
      <c r="H221" s="9" t="str">
        <f ca="1">+WORLDCUP!BD63</f>
        <v>Japón</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Noruega</v>
      </c>
      <c r="F222" s="9" t="str">
        <f ca="1">+WORLDCUP!BD60</f>
        <v>Escocia</v>
      </c>
      <c r="G222" s="9" t="str">
        <f ca="1">+WORLDCUP!BD58</f>
        <v>México</v>
      </c>
      <c r="H222" s="9" t="str">
        <f ca="1">+WORLDCUP!BD63</f>
        <v>Japón</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1</v>
      </c>
      <c r="C223" s="9" t="str">
        <f ca="1">+WORLDCUP!BD62</f>
        <v>Ecuador</v>
      </c>
      <c r="D223" s="9" t="str">
        <f ca="1">+WORLDCUP!BD64</f>
        <v>Irán</v>
      </c>
      <c r="E223" s="9" t="str">
        <f ca="1">+WORLDCUP!BD67</f>
        <v>Argelia</v>
      </c>
      <c r="F223" s="9" t="str">
        <f ca="1">+WORLDCUP!BD60</f>
        <v>Escocia</v>
      </c>
      <c r="G223" s="9" t="str">
        <f ca="1">+WORLDCUP!BD58</f>
        <v>México</v>
      </c>
      <c r="H223" s="9" t="str">
        <f ca="1">+WORLDCUP!BD63</f>
        <v>Japón</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México</v>
      </c>
      <c r="H224" s="9" t="str">
        <f ca="1">+WORLDCUP!BD63</f>
        <v>Japón</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Cabo Verde</v>
      </c>
      <c r="D225" s="9" t="str">
        <f ca="1">+WORLDCUP!BD64</f>
        <v>Irán</v>
      </c>
      <c r="E225" s="9" t="str">
        <f ca="1">+WORLDCUP!BD62</f>
        <v>Ecuador</v>
      </c>
      <c r="F225" s="9" t="str">
        <f ca="1">+WORLDCUP!BD60</f>
        <v>Escocia</v>
      </c>
      <c r="G225" s="9" t="str">
        <f ca="1">+WORLDCUP!BD58</f>
        <v>México</v>
      </c>
      <c r="H225" s="9" t="str">
        <f ca="1">+WORLDCUP!BD63</f>
        <v>Japón</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Cabo Verde</v>
      </c>
      <c r="D226" s="9" t="str">
        <f ca="1">+WORLDCUP!BD64</f>
        <v>Irán</v>
      </c>
      <c r="E226" s="9" t="str">
        <f ca="1">+WORLDCUP!BD67</f>
        <v>Argelia</v>
      </c>
      <c r="F226" s="9" t="str">
        <f ca="1">+WORLDCUP!BD60</f>
        <v>Escocia</v>
      </c>
      <c r="G226" s="9" t="str">
        <f ca="1">+WORLDCUP!BD58</f>
        <v>México</v>
      </c>
      <c r="H226" s="9" t="str">
        <f ca="1">+WORLDCUP!BD63</f>
        <v>Japón</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Cabo Verde</v>
      </c>
      <c r="D227" s="9" t="str">
        <f ca="1">+WORLDCUP!BD64</f>
        <v>Irán</v>
      </c>
      <c r="E227" s="9" t="str">
        <f ca="1">+WORLDCUP!BD67</f>
        <v>Argelia</v>
      </c>
      <c r="F227" s="9" t="str">
        <f ca="1">+WORLDCUP!BD60</f>
        <v>Escocia</v>
      </c>
      <c r="G227" s="9" t="str">
        <f ca="1">+WORLDCUP!BD58</f>
        <v>México</v>
      </c>
      <c r="H227" s="9" t="str">
        <f ca="1">+WORLDCUP!BD63</f>
        <v>Japón</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Cabo Verde</v>
      </c>
      <c r="D228" s="9" t="str">
        <f ca="1">+WORLDCUP!BD64</f>
        <v>Irán</v>
      </c>
      <c r="E228" s="9" t="str">
        <f ca="1">+WORLDCUP!BD62</f>
        <v>Ecuador</v>
      </c>
      <c r="F228" s="9" t="str">
        <f ca="1">+WORLDCUP!BD60</f>
        <v>Escocia</v>
      </c>
      <c r="G228" s="9" t="str">
        <f ca="1">+WORLDCUP!BD58</f>
        <v>México</v>
      </c>
      <c r="H228" s="9" t="str">
        <f ca="1">+WORLDCUP!BD63</f>
        <v>Japón</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Cabo Verde</v>
      </c>
      <c r="D229" s="9" t="str">
        <f ca="1">+WORLDCUP!BD64</f>
        <v>Irán</v>
      </c>
      <c r="E229" s="9" t="str">
        <f ca="1">+WORLDCUP!BD62</f>
        <v>Ecuador</v>
      </c>
      <c r="F229" s="9" t="str">
        <f ca="1">+WORLDCUP!BD60</f>
        <v>Escocia</v>
      </c>
      <c r="G229" s="9" t="str">
        <f ca="1">+WORLDCUP!BD58</f>
        <v>México</v>
      </c>
      <c r="H229" s="9" t="str">
        <f ca="1">+WORLDCUP!BD63</f>
        <v>Japón</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Cabo Verde</v>
      </c>
      <c r="D230" s="9" t="str">
        <f ca="1">+WORLDCUP!BD64</f>
        <v>Irán</v>
      </c>
      <c r="E230" s="9" t="str">
        <f ca="1">+WORLDCUP!BD67</f>
        <v>Argelia</v>
      </c>
      <c r="F230" s="9" t="str">
        <f ca="1">+WORLDCUP!BD60</f>
        <v>Escocia</v>
      </c>
      <c r="G230" s="9" t="str">
        <f ca="1">+WORLDCUP!BD58</f>
        <v>México</v>
      </c>
      <c r="H230" s="9" t="str">
        <f ca="1">+WORLDCUP!BD63</f>
        <v>Japón</v>
      </c>
      <c r="I230" s="9" t="str">
        <f ca="1">+WORLDCUP!BD62</f>
        <v>Ecuador</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Cabo Verde</v>
      </c>
      <c r="D231" s="9" t="str">
        <f ca="1">+WORLDCUP!BD67</f>
        <v>Argelia</v>
      </c>
      <c r="E231" s="9" t="str">
        <f ca="1">+WORLDCUP!BD66</f>
        <v>Noruega</v>
      </c>
      <c r="F231" s="9" t="str">
        <f ca="1">+WORLDCUP!BD60</f>
        <v>Escocia</v>
      </c>
      <c r="G231" s="9" t="str">
        <f ca="1">+WORLDCUP!BD58</f>
        <v>México</v>
      </c>
      <c r="H231" s="9" t="str">
        <f ca="1">+WORLDCUP!BD61</f>
        <v>Australia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Argelia</v>
      </c>
      <c r="F232" s="9" t="str">
        <f ca="1">+WORLDCUP!BD60</f>
        <v>Escocia</v>
      </c>
      <c r="G232" s="9" t="str">
        <f ca="1">+WORLDCUP!BD58</f>
        <v>México</v>
      </c>
      <c r="H232" s="9" t="str">
        <f ca="1">+WORLDCUP!BD61</f>
        <v>Australia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Cabo Verde</v>
      </c>
      <c r="D233" s="9" t="str">
        <f ca="1">+WORLDCUP!BD64</f>
        <v>Irán</v>
      </c>
      <c r="E233" s="9" t="str">
        <f ca="1">+WORLDCUP!BD67</f>
        <v>Argelia</v>
      </c>
      <c r="F233" s="9" t="str">
        <f ca="1">+WORLDCUP!BD60</f>
        <v>Escocia</v>
      </c>
      <c r="G233" s="9" t="str">
        <f ca="1">+WORLDCUP!BD58</f>
        <v>México</v>
      </c>
      <c r="H233" s="9" t="str">
        <f ca="1">+WORLDCUP!BD61</f>
        <v>Australia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Cabo Verde</v>
      </c>
      <c r="D234" s="9" t="str">
        <f ca="1">+WORLDCUP!BD64</f>
        <v>Irán</v>
      </c>
      <c r="E234" s="9" t="str">
        <f ca="1">+WORLDCUP!BD66</f>
        <v>Noruega</v>
      </c>
      <c r="F234" s="9" t="str">
        <f ca="1">+WORLDCUP!BD60</f>
        <v>Escocia</v>
      </c>
      <c r="G234" s="9" t="str">
        <f ca="1">+WORLDCUP!BD58</f>
        <v>México</v>
      </c>
      <c r="H234" s="9" t="str">
        <f ca="1">+WORLDCUP!BD61</f>
        <v>Australia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Cabo Verde</v>
      </c>
      <c r="D235" s="9" t="str">
        <f ca="1">+WORLDCUP!BD64</f>
        <v>Irán</v>
      </c>
      <c r="E235" s="9" t="str">
        <f ca="1">+WORLDCUP!BD67</f>
        <v>Argelia</v>
      </c>
      <c r="F235" s="9" t="str">
        <f ca="1">+WORLDCUP!BD60</f>
        <v>Escocia</v>
      </c>
      <c r="G235" s="9" t="str">
        <f ca="1">+WORLDCUP!BD58</f>
        <v>México</v>
      </c>
      <c r="H235" s="9" t="str">
        <f ca="1">+WORLDCUP!BD61</f>
        <v>Australia</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Cabo Verde</v>
      </c>
      <c r="D236" s="9" t="str">
        <f ca="1">+WORLDCUP!BD64</f>
        <v>Irán</v>
      </c>
      <c r="E236" s="9" t="str">
        <f ca="1">+WORLDCUP!BD67</f>
        <v>Argelia</v>
      </c>
      <c r="F236" s="9" t="str">
        <f ca="1">+WORLDCUP!BD60</f>
        <v>Escocia</v>
      </c>
      <c r="G236" s="9" t="str">
        <f ca="1">+WORLDCUP!BD58</f>
        <v>México</v>
      </c>
      <c r="H236" s="9" t="str">
        <f ca="1">+WORLDCUP!BD61</f>
        <v>Australia</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Noruega</v>
      </c>
      <c r="F237" s="9" t="str">
        <f ca="1">+WORLDCUP!BD61</f>
        <v>Australia</v>
      </c>
      <c r="G237" s="9" t="str">
        <f ca="1">+WORLDCUP!BD58</f>
        <v>México</v>
      </c>
      <c r="H237" s="9" t="str">
        <f ca="1">+WORLDCUP!BD63</f>
        <v>Japón</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Cabo Verde</v>
      </c>
      <c r="D238" s="9" t="str">
        <f ca="1">+WORLDCUP!BD67</f>
        <v>Argelia</v>
      </c>
      <c r="E238" s="9" t="str">
        <f ca="1">+WORLDCUP!BD63</f>
        <v>Japón</v>
      </c>
      <c r="F238" s="9" t="str">
        <f ca="1">+WORLDCUP!BD60</f>
        <v>Escocia</v>
      </c>
      <c r="G238" s="9" t="str">
        <f ca="1">+WORLDCUP!BD58</f>
        <v>México</v>
      </c>
      <c r="H238" s="9" t="str">
        <f ca="1">+WORLDCUP!BD61</f>
        <v>Australia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Cabo Verde</v>
      </c>
      <c r="D239" s="9" t="str">
        <f ca="1">+WORLDCUP!BD63</f>
        <v>Japón</v>
      </c>
      <c r="E239" s="9" t="str">
        <f ca="1">+WORLDCUP!BD66</f>
        <v>Noruega</v>
      </c>
      <c r="F239" s="9" t="str">
        <f ca="1">+WORLDCUP!BD60</f>
        <v>Escocia</v>
      </c>
      <c r="G239" s="9" t="str">
        <f ca="1">+WORLDCUP!BD58</f>
        <v>México</v>
      </c>
      <c r="H239" s="9" t="str">
        <f ca="1">+WORLDCUP!BD61</f>
        <v>Australia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Cabo Verde</v>
      </c>
      <c r="D240" s="9" t="str">
        <f ca="1">+WORLDCUP!BD67</f>
        <v>Argelia</v>
      </c>
      <c r="E240" s="9" t="str">
        <f ca="1">+WORLDCUP!BD63</f>
        <v>Japón</v>
      </c>
      <c r="F240" s="9" t="str">
        <f ca="1">+WORLDCUP!BD60</f>
        <v>Escocia</v>
      </c>
      <c r="G240" s="9" t="str">
        <f ca="1">+WORLDCUP!BD58</f>
        <v>México</v>
      </c>
      <c r="H240" s="9" t="str">
        <f ca="1">+WORLDCUP!BD61</f>
        <v>Australia</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Cabo Verde</v>
      </c>
      <c r="D241" s="9" t="str">
        <f ca="1">+WORLDCUP!BD67</f>
        <v>Argelia</v>
      </c>
      <c r="E241" s="9" t="str">
        <f ca="1">+WORLDCUP!BD63</f>
        <v>Japón</v>
      </c>
      <c r="F241" s="9" t="str">
        <f ca="1">+WORLDCUP!BD60</f>
        <v>Escocia</v>
      </c>
      <c r="G241" s="9" t="str">
        <f ca="1">+WORLDCUP!BD58</f>
        <v>México</v>
      </c>
      <c r="H241" s="9" t="str">
        <f ca="1">+WORLDCUP!BD61</f>
        <v>Australia</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Australia</v>
      </c>
      <c r="G242" s="9" t="str">
        <f ca="1">+WORLDCUP!BD58</f>
        <v>México</v>
      </c>
      <c r="H242" s="9" t="str">
        <f ca="1">+WORLDCUP!BD63</f>
        <v>Japón</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Australia</v>
      </c>
      <c r="G243" s="9" t="str">
        <f ca="1">+WORLDCUP!BD58</f>
        <v>México</v>
      </c>
      <c r="H243" s="9" t="str">
        <f ca="1">+WORLDCUP!BD63</f>
        <v>Japón</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Australia</v>
      </c>
      <c r="G244" s="9" t="str">
        <f ca="1">+WORLDCUP!BD58</f>
        <v>México</v>
      </c>
      <c r="H244" s="9" t="str">
        <f ca="1">+WORLDCUP!BD63</f>
        <v>Japón</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Australia</v>
      </c>
      <c r="G245" s="9" t="str">
        <f ca="1">+WORLDCUP!BD58</f>
        <v>México</v>
      </c>
      <c r="H245" s="9" t="str">
        <f ca="1">+WORLDCUP!BD63</f>
        <v>Japón</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Cabo Verde</v>
      </c>
      <c r="D246" s="9" t="str">
        <f ca="1">+WORLDCUP!BD64</f>
        <v>Irán</v>
      </c>
      <c r="E246" s="9" t="str">
        <f ca="1">+WORLDCUP!BD63</f>
        <v>Japón</v>
      </c>
      <c r="F246" s="9" t="str">
        <f ca="1">+WORLDCUP!BD60</f>
        <v>Escocia</v>
      </c>
      <c r="G246" s="9" t="str">
        <f ca="1">+WORLDCUP!BD58</f>
        <v>México</v>
      </c>
      <c r="H246" s="9" t="str">
        <f ca="1">+WORLDCUP!BD61</f>
        <v>Australia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Australia</v>
      </c>
      <c r="G247" s="9" t="str">
        <f ca="1">+WORLDCUP!BD58</f>
        <v>México</v>
      </c>
      <c r="H247" s="9" t="str">
        <f ca="1">+WORLDCUP!BD63</f>
        <v>Japón</v>
      </c>
      <c r="I247" s="9" t="str">
        <f ca="1">+WORLDCUP!BD69</f>
        <v>Ghana</v>
      </c>
      <c r="J247" s="9" t="str">
        <f ca="1">+WORLDCUP!BD65</f>
        <v>Cabo Verde</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Cabo Verde</v>
      </c>
      <c r="D248" s="9" t="str">
        <f ca="1">+WORLDCUP!BD64</f>
        <v>Irán</v>
      </c>
      <c r="E248" s="9" t="str">
        <f ca="1">+WORLDCUP!BD67</f>
        <v>Argelia</v>
      </c>
      <c r="F248" s="9" t="str">
        <f ca="1">+WORLDCUP!BD60</f>
        <v>Escocia</v>
      </c>
      <c r="G248" s="9" t="str">
        <f ca="1">+WORLDCUP!BD58</f>
        <v>México</v>
      </c>
      <c r="H248" s="9" t="str">
        <f ca="1">+WORLDCUP!BD63</f>
        <v>Japón</v>
      </c>
      <c r="I248" s="9" t="str">
        <f ca="1">+WORLDCUP!BD61</f>
        <v>Australia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Cabo Verde</v>
      </c>
      <c r="D249" s="9" t="str">
        <f ca="1">+WORLDCUP!BD64</f>
        <v>Irán</v>
      </c>
      <c r="E249" s="9" t="str">
        <f ca="1">+WORLDCUP!BD63</f>
        <v>Japón</v>
      </c>
      <c r="F249" s="9" t="str">
        <f ca="1">+WORLDCUP!BD60</f>
        <v>Escocia</v>
      </c>
      <c r="G249" s="9" t="str">
        <f ca="1">+WORLDCUP!BD58</f>
        <v>México</v>
      </c>
      <c r="H249" s="9" t="str">
        <f ca="1">+WORLDCUP!BD61</f>
        <v>Australia</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Cabo Verde</v>
      </c>
      <c r="D250" s="9" t="str">
        <f ca="1">+WORLDCUP!BD64</f>
        <v>Irán</v>
      </c>
      <c r="E250" s="9" t="str">
        <f ca="1">+WORLDCUP!BD63</f>
        <v>Japón</v>
      </c>
      <c r="F250" s="9" t="str">
        <f ca="1">+WORLDCUP!BD60</f>
        <v>Escocia</v>
      </c>
      <c r="G250" s="9" t="str">
        <f ca="1">+WORLDCUP!BD58</f>
        <v>México</v>
      </c>
      <c r="H250" s="9" t="str">
        <f ca="1">+WORLDCUP!BD61</f>
        <v>Australia</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Cabo Verde</v>
      </c>
      <c r="D251" s="9" t="str">
        <f ca="1">+WORLDCUP!BD64</f>
        <v>Irán</v>
      </c>
      <c r="E251" s="9" t="str">
        <f ca="1">+WORLDCUP!BD67</f>
        <v>Argelia</v>
      </c>
      <c r="F251" s="9" t="str">
        <f ca="1">+WORLDCUP!BD60</f>
        <v>Escocia</v>
      </c>
      <c r="G251" s="9" t="str">
        <f ca="1">+WORLDCUP!BD58</f>
        <v>México</v>
      </c>
      <c r="H251" s="9" t="str">
        <f ca="1">+WORLDCUP!BD63</f>
        <v>Japón</v>
      </c>
      <c r="I251" s="9" t="str">
        <f ca="1">+WORLDCUP!BD61</f>
        <v>Australia</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Noruega</v>
      </c>
      <c r="F252" s="9" t="str">
        <f ca="1">+WORLDCUP!BD60</f>
        <v>Escocia</v>
      </c>
      <c r="G252" s="9" t="str">
        <f ca="1">+WORLDCUP!BD58</f>
        <v>México</v>
      </c>
      <c r="H252" s="9" t="str">
        <f ca="1">+WORLDCUP!BD61</f>
        <v>Australia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Cabo Verde</v>
      </c>
      <c r="D253" s="9" t="str">
        <f ca="1">+WORLDCUP!BD67</f>
        <v>Argelia</v>
      </c>
      <c r="E253" s="9" t="str">
        <f ca="1">+WORLDCUP!BD62</f>
        <v>Ecuador</v>
      </c>
      <c r="F253" s="9" t="str">
        <f ca="1">+WORLDCUP!BD60</f>
        <v>Escocia</v>
      </c>
      <c r="G253" s="9" t="str">
        <f ca="1">+WORLDCUP!BD58</f>
        <v>México</v>
      </c>
      <c r="H253" s="9" t="str">
        <f ca="1">+WORLDCUP!BD61</f>
        <v>Australia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Cabo Verde</v>
      </c>
      <c r="D254" s="9" t="str">
        <f ca="1">+WORLDCUP!BD62</f>
        <v>Ecuador</v>
      </c>
      <c r="E254" s="9" t="str">
        <f ca="1">+WORLDCUP!BD66</f>
        <v>Noruega</v>
      </c>
      <c r="F254" s="9" t="str">
        <f ca="1">+WORLDCUP!BD60</f>
        <v>Escocia</v>
      </c>
      <c r="G254" s="9" t="str">
        <f ca="1">+WORLDCUP!BD58</f>
        <v>México</v>
      </c>
      <c r="H254" s="9" t="str">
        <f ca="1">+WORLDCUP!BD61</f>
        <v>Australia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Cabo Verde</v>
      </c>
      <c r="D255" s="9" t="str">
        <f ca="1">+WORLDCUP!BD67</f>
        <v>Argelia</v>
      </c>
      <c r="E255" s="9" t="str">
        <f ca="1">+WORLDCUP!BD62</f>
        <v>Ecuador</v>
      </c>
      <c r="F255" s="9" t="str">
        <f ca="1">+WORLDCUP!BD60</f>
        <v>Escocia</v>
      </c>
      <c r="G255" s="9" t="str">
        <f ca="1">+WORLDCUP!BD58</f>
        <v>México</v>
      </c>
      <c r="H255" s="9" t="str">
        <f ca="1">+WORLDCUP!BD61</f>
        <v>Australia</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Cabo Verde</v>
      </c>
      <c r="D256" s="9" t="str">
        <f ca="1">+WORLDCUP!BD67</f>
        <v>Argelia</v>
      </c>
      <c r="E256" s="9" t="str">
        <f ca="1">+WORLDCUP!BD62</f>
        <v>Ecuador</v>
      </c>
      <c r="F256" s="9" t="str">
        <f ca="1">+WORLDCUP!BD60</f>
        <v>Escocia</v>
      </c>
      <c r="G256" s="9" t="str">
        <f ca="1">+WORLDCUP!BD58</f>
        <v>México</v>
      </c>
      <c r="H256" s="9" t="str">
        <f ca="1">+WORLDCUP!BD61</f>
        <v>Australia</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México</v>
      </c>
      <c r="H257" s="9" t="str">
        <f ca="1">+WORLDCUP!BD61</f>
        <v>Australia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Noruega</v>
      </c>
      <c r="F258" s="9" t="str">
        <f ca="1">+WORLDCUP!BD60</f>
        <v>Escocia</v>
      </c>
      <c r="G258" s="9" t="str">
        <f ca="1">+WORLDCUP!BD58</f>
        <v>México</v>
      </c>
      <c r="H258" s="9" t="str">
        <f ca="1">+WORLDCUP!BD61</f>
        <v>Australia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México</v>
      </c>
      <c r="H259" s="9" t="str">
        <f ca="1">+WORLDCUP!BD61</f>
        <v>Australia</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México</v>
      </c>
      <c r="H260" s="9" t="str">
        <f ca="1">+WORLDCUP!BD61</f>
        <v>Australia</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Cabo Verde</v>
      </c>
      <c r="D261" s="9" t="str">
        <f ca="1">+WORLDCUP!BD64</f>
        <v>Irán</v>
      </c>
      <c r="E261" s="9" t="str">
        <f ca="1">+WORLDCUP!BD62</f>
        <v>Ecuador</v>
      </c>
      <c r="F261" s="9" t="str">
        <f ca="1">+WORLDCUP!BD60</f>
        <v>Escocia</v>
      </c>
      <c r="G261" s="9" t="str">
        <f ca="1">+WORLDCUP!BD58</f>
        <v>México</v>
      </c>
      <c r="H261" s="9" t="str">
        <f ca="1">+WORLDCUP!BD61</f>
        <v>Australia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Cabo Verde</v>
      </c>
      <c r="D262" s="9" t="str">
        <f ca="1">+WORLDCUP!BD64</f>
        <v>Irán</v>
      </c>
      <c r="E262" s="9" t="str">
        <f ca="1">+WORLDCUP!BD67</f>
        <v>Argelia</v>
      </c>
      <c r="F262" s="9" t="str">
        <f ca="1">+WORLDCUP!BD60</f>
        <v>Escocia</v>
      </c>
      <c r="G262" s="9" t="str">
        <f ca="1">+WORLDCUP!BD58</f>
        <v>México</v>
      </c>
      <c r="H262" s="9" t="str">
        <f ca="1">+WORLDCUP!BD61</f>
        <v>Australia</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Cabo Verde</v>
      </c>
      <c r="D263" s="9" t="str">
        <f ca="1">+WORLDCUP!BD64</f>
        <v>Irán</v>
      </c>
      <c r="E263" s="9" t="str">
        <f ca="1">+WORLDCUP!BD67</f>
        <v>Argelia</v>
      </c>
      <c r="F263" s="9" t="str">
        <f ca="1">+WORLDCUP!BD60</f>
        <v>Escocia</v>
      </c>
      <c r="G263" s="9" t="str">
        <f ca="1">+WORLDCUP!BD58</f>
        <v>México</v>
      </c>
      <c r="H263" s="9" t="str">
        <f ca="1">+WORLDCUP!BD61</f>
        <v>Australia</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Cabo Verde</v>
      </c>
      <c r="D264" s="9" t="str">
        <f ca="1">+WORLDCUP!BD64</f>
        <v>Irán</v>
      </c>
      <c r="E264" s="9" t="str">
        <f ca="1">+WORLDCUP!BD62</f>
        <v>Ecuador</v>
      </c>
      <c r="F264" s="9" t="str">
        <f ca="1">+WORLDCUP!BD60</f>
        <v>Escocia</v>
      </c>
      <c r="G264" s="9" t="str">
        <f ca="1">+WORLDCUP!BD58</f>
        <v>México</v>
      </c>
      <c r="H264" s="9" t="str">
        <f ca="1">+WORLDCUP!BD61</f>
        <v>Australia</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Cabo Verde</v>
      </c>
      <c r="D265" s="9" t="str">
        <f ca="1">+WORLDCUP!BD64</f>
        <v>Irán</v>
      </c>
      <c r="E265" s="9" t="str">
        <f ca="1">+WORLDCUP!BD62</f>
        <v>Ecuador</v>
      </c>
      <c r="F265" s="9" t="str">
        <f ca="1">+WORLDCUP!BD60</f>
        <v>Escocia</v>
      </c>
      <c r="G265" s="9" t="str">
        <f ca="1">+WORLDCUP!BD58</f>
        <v>México</v>
      </c>
      <c r="H265" s="9" t="str">
        <f ca="1">+WORLDCUP!BD61</f>
        <v>Australia</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Cabo Verde</v>
      </c>
      <c r="D266" s="9" t="str">
        <f ca="1">+WORLDCUP!BD64</f>
        <v>Irán</v>
      </c>
      <c r="E266" s="9" t="str">
        <f ca="1">+WORLDCUP!BD67</f>
        <v>Argelia</v>
      </c>
      <c r="F266" s="9" t="str">
        <f ca="1">+WORLDCUP!BD60</f>
        <v>Escocia</v>
      </c>
      <c r="G266" s="9" t="str">
        <f ca="1">+WORLDCUP!BD58</f>
        <v>México</v>
      </c>
      <c r="H266" s="9" t="str">
        <f ca="1">+WORLDCUP!BD61</f>
        <v>Australia</v>
      </c>
      <c r="I266" s="9" t="str">
        <f ca="1">+WORLDCUP!BD62</f>
        <v>Ecuador</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Australia</v>
      </c>
      <c r="G267" s="9" t="str">
        <f ca="1">+WORLDCUP!BD58</f>
        <v>México</v>
      </c>
      <c r="H267" s="9" t="str">
        <f ca="1">+WORLDCUP!BD63</f>
        <v>Japón</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Noruega</v>
      </c>
      <c r="F268" s="9" t="str">
        <f ca="1">+WORLDCUP!BD61</f>
        <v>Australia</v>
      </c>
      <c r="G268" s="9" t="str">
        <f ca="1">+WORLDCUP!BD58</f>
        <v>México</v>
      </c>
      <c r="H268" s="9" t="str">
        <f ca="1">+WORLDCUP!BD63</f>
        <v>Japón</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Australia</v>
      </c>
      <c r="G269" s="9" t="str">
        <f ca="1">+WORLDCUP!BD58</f>
        <v>México</v>
      </c>
      <c r="H269" s="9" t="str">
        <f ca="1">+WORLDCUP!BD63</f>
        <v>Japón</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Australia</v>
      </c>
      <c r="G270" s="9" t="str">
        <f ca="1">+WORLDCUP!BD58</f>
        <v>México</v>
      </c>
      <c r="H270" s="9" t="str">
        <f ca="1">+WORLDCUP!BD63</f>
        <v>Japón</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Cabo Verde</v>
      </c>
      <c r="D271" s="9" t="str">
        <f ca="1">+WORLDCUP!BD62</f>
        <v>Ecuador</v>
      </c>
      <c r="E271" s="9" t="str">
        <f ca="1">+WORLDCUP!BD63</f>
        <v>Japón</v>
      </c>
      <c r="F271" s="9" t="str">
        <f ca="1">+WORLDCUP!BD60</f>
        <v>Escocia</v>
      </c>
      <c r="G271" s="9" t="str">
        <f ca="1">+WORLDCUP!BD58</f>
        <v>México</v>
      </c>
      <c r="H271" s="9" t="str">
        <f ca="1">+WORLDCUP!BD61</f>
        <v>Australia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Cabo Verde</v>
      </c>
      <c r="D272" s="9" t="str">
        <f ca="1">+WORLDCUP!BD67</f>
        <v>Argelia</v>
      </c>
      <c r="E272" s="9" t="str">
        <f ca="1">+WORLDCUP!BD63</f>
        <v>Japón</v>
      </c>
      <c r="F272" s="9" t="str">
        <f ca="1">+WORLDCUP!BD60</f>
        <v>Escocia</v>
      </c>
      <c r="G272" s="9" t="str">
        <f ca="1">+WORLDCUP!BD58</f>
        <v>México</v>
      </c>
      <c r="H272" s="9" t="str">
        <f ca="1">+WORLDCUP!BD61</f>
        <v>Australia</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Cabo Verde</v>
      </c>
      <c r="D273" s="9" t="str">
        <f ca="1">+WORLDCUP!BD67</f>
        <v>Argelia</v>
      </c>
      <c r="E273" s="9" t="str">
        <f ca="1">+WORLDCUP!BD62</f>
        <v>Ecuador</v>
      </c>
      <c r="F273" s="9" t="str">
        <f ca="1">+WORLDCUP!BD60</f>
        <v>Escocia</v>
      </c>
      <c r="G273" s="9" t="str">
        <f ca="1">+WORLDCUP!BD58</f>
        <v>México</v>
      </c>
      <c r="H273" s="9" t="str">
        <f ca="1">+WORLDCUP!BD63</f>
        <v>Japón</v>
      </c>
      <c r="I273" s="9" t="str">
        <f ca="1">+WORLDCUP!BD61</f>
        <v>Australia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Cabo Verde</v>
      </c>
      <c r="D274" s="9" t="str">
        <f ca="1">+WORLDCUP!BD62</f>
        <v>Ecuador</v>
      </c>
      <c r="E274" s="9" t="str">
        <f ca="1">+WORLDCUP!BD63</f>
        <v>Japón</v>
      </c>
      <c r="F274" s="9" t="str">
        <f ca="1">+WORLDCUP!BD60</f>
        <v>Escocia</v>
      </c>
      <c r="G274" s="9" t="str">
        <f ca="1">+WORLDCUP!BD58</f>
        <v>México</v>
      </c>
      <c r="H274" s="9" t="str">
        <f ca="1">+WORLDCUP!BD61</f>
        <v>Australia</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Cabo Verde</v>
      </c>
      <c r="D275" s="9" t="str">
        <f ca="1">+WORLDCUP!BD62</f>
        <v>Ecuador</v>
      </c>
      <c r="E275" s="9" t="str">
        <f ca="1">+WORLDCUP!BD63</f>
        <v>Japón</v>
      </c>
      <c r="F275" s="9" t="str">
        <f ca="1">+WORLDCUP!BD60</f>
        <v>Escocia</v>
      </c>
      <c r="G275" s="9" t="str">
        <f ca="1">+WORLDCUP!BD58</f>
        <v>México</v>
      </c>
      <c r="H275" s="9" t="str">
        <f ca="1">+WORLDCUP!BD61</f>
        <v>Australia</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Cabo Verde</v>
      </c>
      <c r="D276" s="9" t="str">
        <f ca="1">+WORLDCUP!BD67</f>
        <v>Argelia</v>
      </c>
      <c r="E276" s="9" t="str">
        <f ca="1">+WORLDCUP!BD62</f>
        <v>Ecuador</v>
      </c>
      <c r="F276" s="9" t="str">
        <f ca="1">+WORLDCUP!BD60</f>
        <v>Escocia</v>
      </c>
      <c r="G276" s="9" t="str">
        <f ca="1">+WORLDCUP!BD58</f>
        <v>México</v>
      </c>
      <c r="H276" s="9" t="str">
        <f ca="1">+WORLDCUP!BD63</f>
        <v>Japón</v>
      </c>
      <c r="I276" s="9" t="str">
        <f ca="1">+WORLDCUP!BD61</f>
        <v>Australia</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Australia</v>
      </c>
      <c r="G277" s="9" t="str">
        <f ca="1">+WORLDCUP!BD58</f>
        <v>México</v>
      </c>
      <c r="H277" s="9" t="str">
        <f ca="1">+WORLDCUP!BD63</f>
        <v>Japón</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Australia</v>
      </c>
      <c r="G278" s="9" t="str">
        <f ca="1">+WORLDCUP!BD58</f>
        <v>México</v>
      </c>
      <c r="H278" s="9" t="str">
        <f ca="1">+WORLDCUP!BD63</f>
        <v>Japón</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Australia</v>
      </c>
      <c r="G279" s="9" t="str">
        <f ca="1">+WORLDCUP!BD58</f>
        <v>México</v>
      </c>
      <c r="H279" s="9" t="str">
        <f ca="1">+WORLDCUP!BD63</f>
        <v>Japón</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Australia</v>
      </c>
      <c r="G280" s="9" t="str">
        <f ca="1">+WORLDCUP!BD58</f>
        <v>México</v>
      </c>
      <c r="H280" s="9" t="str">
        <f ca="1">+WORLDCUP!BD63</f>
        <v>Japón</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Australia</v>
      </c>
      <c r="G281" s="9" t="str">
        <f ca="1">+WORLDCUP!BD58</f>
        <v>México</v>
      </c>
      <c r="H281" s="9" t="str">
        <f ca="1">+WORLDCUP!BD63</f>
        <v>Japón</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Australia</v>
      </c>
      <c r="G282" s="9" t="str">
        <f ca="1">+WORLDCUP!BD58</f>
        <v>México</v>
      </c>
      <c r="H282" s="9" t="str">
        <f ca="1">+WORLDCUP!BD63</f>
        <v>Japón</v>
      </c>
      <c r="I282" s="9" t="str">
        <f ca="1">+WORLDCUP!BD62</f>
        <v>Ecuador</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Cabo Verde</v>
      </c>
      <c r="D283" s="9" t="str">
        <f ca="1">+WORLDCUP!BD64</f>
        <v>Irán</v>
      </c>
      <c r="E283" s="9" t="str">
        <f ca="1">+WORLDCUP!BD63</f>
        <v>Japón</v>
      </c>
      <c r="F283" s="9" t="str">
        <f ca="1">+WORLDCUP!BD60</f>
        <v>Escocia</v>
      </c>
      <c r="G283" s="9" t="str">
        <f ca="1">+WORLDCUP!BD58</f>
        <v>México</v>
      </c>
      <c r="H283" s="9" t="str">
        <f ca="1">+WORLDCUP!BD61</f>
        <v>Australia</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Cabo Verde</v>
      </c>
      <c r="D284" s="9" t="str">
        <f ca="1">+WORLDCUP!BD64</f>
        <v>Irán</v>
      </c>
      <c r="E284" s="9" t="str">
        <f ca="1">+WORLDCUP!BD62</f>
        <v>Ecuador</v>
      </c>
      <c r="F284" s="9" t="str">
        <f ca="1">+WORLDCUP!BD60</f>
        <v>Escocia</v>
      </c>
      <c r="G284" s="9" t="str">
        <f ca="1">+WORLDCUP!BD58</f>
        <v>México</v>
      </c>
      <c r="H284" s="9" t="str">
        <f ca="1">+WORLDCUP!BD63</f>
        <v>Japón</v>
      </c>
      <c r="I284" s="9" t="str">
        <f ca="1">+WORLDCUP!BD61</f>
        <v>Australia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Cabo Verde</v>
      </c>
      <c r="D285" s="9" t="str">
        <f ca="1">+WORLDCUP!BD64</f>
        <v>Irán</v>
      </c>
      <c r="E285" s="9" t="str">
        <f ca="1">+WORLDCUP!BD67</f>
        <v>Argelia</v>
      </c>
      <c r="F285" s="9" t="str">
        <f ca="1">+WORLDCUP!BD60</f>
        <v>Escocia</v>
      </c>
      <c r="G285" s="9" t="str">
        <f ca="1">+WORLDCUP!BD58</f>
        <v>México</v>
      </c>
      <c r="H285" s="9" t="str">
        <f ca="1">+WORLDCUP!BD63</f>
        <v>Japón</v>
      </c>
      <c r="I285" s="9" t="str">
        <f ca="1">+WORLDCUP!BD61</f>
        <v>Australia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Cabo Verde</v>
      </c>
      <c r="D286" s="9" t="str">
        <f ca="1">+WORLDCUP!BD64</f>
        <v>Irán</v>
      </c>
      <c r="E286" s="9" t="str">
        <f ca="1">+WORLDCUP!BD62</f>
        <v>Ecuador</v>
      </c>
      <c r="F286" s="9" t="str">
        <f ca="1">+WORLDCUP!BD60</f>
        <v>Escocia</v>
      </c>
      <c r="G286" s="9" t="str">
        <f ca="1">+WORLDCUP!BD58</f>
        <v>México</v>
      </c>
      <c r="H286" s="9" t="str">
        <f ca="1">+WORLDCUP!BD63</f>
        <v>Japón</v>
      </c>
      <c r="I286" s="9" t="str">
        <f ca="1">+WORLDCUP!BD61</f>
        <v>Australia</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Cabo Verde</v>
      </c>
      <c r="D287" s="9" t="str">
        <f ca="1">+WORLDCUP!BD67</f>
        <v>Argelia</v>
      </c>
      <c r="E287" s="9" t="str">
        <f ca="1">+WORLDCUP!BD59</f>
        <v>Bosnia y Herzegovina</v>
      </c>
      <c r="F287" s="9" t="str">
        <f ca="1">+WORLDCUP!BD58</f>
        <v>México</v>
      </c>
      <c r="G287" s="9" t="str">
        <f ca="1">+WORLDCUP!BD66</f>
        <v>Noruega</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Cabo Verde</v>
      </c>
      <c r="D288" s="9" t="str">
        <f ca="1">+WORLDCUP!BD67</f>
        <v>Argelia</v>
      </c>
      <c r="E288" s="9" t="str">
        <f ca="1">+WORLDCUP!BD59</f>
        <v>Bosnia y Herzegovina</v>
      </c>
      <c r="F288" s="9" t="str">
        <f ca="1">+WORLDCUP!BD58</f>
        <v>México</v>
      </c>
      <c r="G288" s="9" t="str">
        <f ca="1">+WORLDCUP!BD66</f>
        <v>Noruega</v>
      </c>
      <c r="H288" s="9" t="str">
        <f ca="1">+WORLDCUP!BD63</f>
        <v>Japón</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Argelia</v>
      </c>
      <c r="E289" s="9" t="str">
        <f ca="1">+WORLDCUP!BD59</f>
        <v>Bosnia y Herzegovina</v>
      </c>
      <c r="F289" s="9" t="str">
        <f ca="1">+WORLDCUP!BD63</f>
        <v>Japón</v>
      </c>
      <c r="G289" s="9" t="str">
        <f ca="1">+WORLDCUP!BD58</f>
        <v>México</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Cabo Verde</v>
      </c>
      <c r="D290" s="9" t="str">
        <f ca="1">+WORLDCUP!BD67</f>
        <v>Argelia</v>
      </c>
      <c r="E290" s="9" t="str">
        <f ca="1">+WORLDCUP!BD59</f>
        <v>Bosnia y Herzegovina</v>
      </c>
      <c r="F290" s="9" t="str">
        <f ca="1">+WORLDCUP!BD63</f>
        <v>Japón</v>
      </c>
      <c r="G290" s="9" t="str">
        <f ca="1">+WORLDCUP!BD58</f>
        <v>México</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Cabo Verde</v>
      </c>
      <c r="D291" s="9" t="str">
        <f ca="1">+WORLDCUP!BD64</f>
        <v>Irán</v>
      </c>
      <c r="E291" s="9" t="str">
        <f ca="1">+WORLDCUP!BD59</f>
        <v>Bosnia y Herzegovina</v>
      </c>
      <c r="F291" s="9" t="str">
        <f ca="1">+WORLDCUP!BD58</f>
        <v>México</v>
      </c>
      <c r="G291" s="9" t="str">
        <f ca="1">+WORLDCUP!BD66</f>
        <v>Noruega</v>
      </c>
      <c r="H291" s="9" t="str">
        <f ca="1">+WORLDCUP!BD63</f>
        <v>Japón</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Cabo Verde</v>
      </c>
      <c r="D292" s="9" t="str">
        <f ca="1">+WORLDCUP!BD67</f>
        <v>Argelia</v>
      </c>
      <c r="E292" s="9" t="str">
        <f ca="1">+WORLDCUP!BD59</f>
        <v>Bosnia y Herzegovina</v>
      </c>
      <c r="F292" s="9" t="str">
        <f ca="1">+WORLDCUP!BD63</f>
        <v>Japón</v>
      </c>
      <c r="G292" s="9" t="str">
        <f ca="1">+WORLDCUP!BD58</f>
        <v>México</v>
      </c>
      <c r="H292" s="9" t="str">
        <f ca="1">+WORLDCUP!BD64</f>
        <v>Irán</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Cabo Verde</v>
      </c>
      <c r="D293" s="9" t="str">
        <f ca="1">+WORLDCUP!BD67</f>
        <v>Argelia</v>
      </c>
      <c r="E293" s="9" t="str">
        <f ca="1">+WORLDCUP!BD59</f>
        <v>Bosnia y Herzegovina</v>
      </c>
      <c r="F293" s="9" t="str">
        <f ca="1">+WORLDCUP!BD63</f>
        <v>Japón</v>
      </c>
      <c r="G293" s="9" t="str">
        <f ca="1">+WORLDCUP!BD58</f>
        <v>México</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México</v>
      </c>
      <c r="G294" s="9" t="str">
        <f ca="1">+WORLDCUP!BD66</f>
        <v>Noruega</v>
      </c>
      <c r="H294" s="9" t="str">
        <f ca="1">+WORLDCUP!BD65</f>
        <v>Cabo Verde</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México</v>
      </c>
      <c r="G295" s="9" t="str">
        <f ca="1">+WORLDCUP!BD66</f>
        <v>Noruega</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México</v>
      </c>
      <c r="G296" s="9" t="str">
        <f ca="1">+WORLDCUP!BD65</f>
        <v>Cabo Verde</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México</v>
      </c>
      <c r="G297" s="9" t="str">
        <f ca="1">+WORLDCUP!BD66</f>
        <v>Noruega</v>
      </c>
      <c r="H297" s="9" t="str">
        <f ca="1">+WORLDCUP!BD65</f>
        <v>Cabo Verde</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México</v>
      </c>
      <c r="G298" s="9" t="str">
        <f ca="1">+WORLDCUP!BD65</f>
        <v>Cabo Verde</v>
      </c>
      <c r="H298" s="9" t="str">
        <f ca="1">+WORLDCUP!BD64</f>
        <v>Irán</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México</v>
      </c>
      <c r="G299" s="9" t="str">
        <f ca="1">+WORLDCUP!BD65</f>
        <v>Cabo Verde</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México</v>
      </c>
      <c r="G300" s="9" t="str">
        <f ca="1">+WORLDCUP!BD66</f>
        <v>Noruega</v>
      </c>
      <c r="H300" s="9" t="str">
        <f ca="1">+WORLDCUP!BD63</f>
        <v>Japón</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Japón</v>
      </c>
      <c r="G301" s="9" t="str">
        <f ca="1">+WORLDCUP!BD58</f>
        <v>México</v>
      </c>
      <c r="H301" s="9" t="str">
        <f ca="1">+WORLDCUP!BD65</f>
        <v>Cabo Verde</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Noruega</v>
      </c>
      <c r="E302" s="9" t="str">
        <f ca="1">+WORLDCUP!BD59</f>
        <v>Bosnia y Herzegovina</v>
      </c>
      <c r="F302" s="9" t="str">
        <f ca="1">+WORLDCUP!BD63</f>
        <v>Japón</v>
      </c>
      <c r="G302" s="9" t="str">
        <f ca="1">+WORLDCUP!BD58</f>
        <v>México</v>
      </c>
      <c r="H302" s="9" t="str">
        <f ca="1">+WORLDCUP!BD65</f>
        <v>Cabo Verde</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Japón</v>
      </c>
      <c r="G303" s="9" t="str">
        <f ca="1">+WORLDCUP!BD58</f>
        <v>México</v>
      </c>
      <c r="H303" s="9" t="str">
        <f ca="1">+WORLDCUP!BD65</f>
        <v>Cabo Verde</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Japón</v>
      </c>
      <c r="G304" s="9" t="str">
        <f ca="1">+WORLDCUP!BD58</f>
        <v>México</v>
      </c>
      <c r="H304" s="9" t="str">
        <f ca="1">+WORLDCUP!BD65</f>
        <v>Cabo Verde</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Japón</v>
      </c>
      <c r="G305" s="9" t="str">
        <f ca="1">+WORLDCUP!BD58</f>
        <v>México</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México</v>
      </c>
      <c r="G306" s="9" t="str">
        <f ca="1">+WORLDCUP!BD66</f>
        <v>Noruega</v>
      </c>
      <c r="H306" s="9" t="str">
        <f ca="1">+WORLDCUP!BD63</f>
        <v>Japón</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Japón</v>
      </c>
      <c r="G307" s="9" t="str">
        <f ca="1">+WORLDCUP!BD58</f>
        <v>México</v>
      </c>
      <c r="H307" s="9" t="str">
        <f ca="1">+WORLDCUP!BD64</f>
        <v>Irán</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Japón</v>
      </c>
      <c r="G308" s="9" t="str">
        <f ca="1">+WORLDCUP!BD58</f>
        <v>México</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Japón</v>
      </c>
      <c r="G309" s="9" t="str">
        <f ca="1">+WORLDCUP!BD58</f>
        <v>México</v>
      </c>
      <c r="H309" s="9" t="str">
        <f ca="1">+WORLDCUP!BD65</f>
        <v>Cabo Verde</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Cabo Verde</v>
      </c>
      <c r="D310" s="9" t="str">
        <f ca="1">+WORLDCUP!BD67</f>
        <v>Argelia</v>
      </c>
      <c r="E310" s="9" t="str">
        <f ca="1">+WORLDCUP!BD59</f>
        <v>Bosnia y Herzegovina</v>
      </c>
      <c r="F310" s="9" t="str">
        <f ca="1">+WORLDCUP!BD63</f>
        <v>Japón</v>
      </c>
      <c r="G310" s="9" t="str">
        <f ca="1">+WORLDCUP!BD58</f>
        <v>México</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Cabo Verde</v>
      </c>
      <c r="D311" s="9" t="str">
        <f ca="1">+WORLDCUP!BD67</f>
        <v>Argelia</v>
      </c>
      <c r="E311" s="9" t="str">
        <f ca="1">+WORLDCUP!BD59</f>
        <v>Bosnia y Herzegovina</v>
      </c>
      <c r="F311" s="9" t="str">
        <f ca="1">+WORLDCUP!BD63</f>
        <v>Japón</v>
      </c>
      <c r="G311" s="9" t="str">
        <f ca="1">+WORLDCUP!BD58</f>
        <v>México</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Japón</v>
      </c>
      <c r="G312" s="9" t="str">
        <f ca="1">+WORLDCUP!BD58</f>
        <v>México</v>
      </c>
      <c r="H312" s="9" t="str">
        <f ca="1">+WORLDCUP!BD65</f>
        <v>Cabo Verde</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Japón</v>
      </c>
      <c r="G313" s="9" t="str">
        <f ca="1">+WORLDCUP!BD58</f>
        <v>México</v>
      </c>
      <c r="H313" s="9" t="str">
        <f ca="1">+WORLDCUP!BD65</f>
        <v>Cabo Verde</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Cabo Verde</v>
      </c>
      <c r="D314" s="9" t="str">
        <f ca="1">+WORLDCUP!BD67</f>
        <v>Argelia</v>
      </c>
      <c r="E314" s="9" t="str">
        <f ca="1">+WORLDCUP!BD59</f>
        <v>Bosnia y Herzegovina</v>
      </c>
      <c r="F314" s="9" t="str">
        <f ca="1">+WORLDCUP!BD63</f>
        <v>Japón</v>
      </c>
      <c r="G314" s="9" t="str">
        <f ca="1">+WORLDCUP!BD58</f>
        <v>México</v>
      </c>
      <c r="H314" s="9" t="str">
        <f ca="1">+WORLDCUP!BD64</f>
        <v>Irán</v>
      </c>
      <c r="I314" s="9" t="str">
        <f ca="1">+WORLDCUP!BD62</f>
        <v>Ecuador</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Argelia</v>
      </c>
      <c r="E315" s="9" t="str">
        <f ca="1">+WORLDCUP!BD59</f>
        <v>Bosnia y Herzegovina</v>
      </c>
      <c r="F315" s="9" t="str">
        <f ca="1">+WORLDCUP!BD61</f>
        <v>Australia</v>
      </c>
      <c r="G315" s="9" t="str">
        <f ca="1">+WORLDCUP!BD58</f>
        <v>México</v>
      </c>
      <c r="H315" s="9" t="str">
        <f ca="1">+WORLDCUP!BD65</f>
        <v>Cabo Verde</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Argelia</v>
      </c>
      <c r="E316" s="9" t="str">
        <f ca="1">+WORLDCUP!BD59</f>
        <v>Bosnia y Herzegovina</v>
      </c>
      <c r="F316" s="9" t="str">
        <f ca="1">+WORLDCUP!BD61</f>
        <v>Australia</v>
      </c>
      <c r="G316" s="9" t="str">
        <f ca="1">+WORLDCUP!BD58</f>
        <v>México</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Cabo Verde</v>
      </c>
      <c r="D317" s="9" t="str">
        <f ca="1">+WORLDCUP!BD67</f>
        <v>Argelia</v>
      </c>
      <c r="E317" s="9" t="str">
        <f ca="1">+WORLDCUP!BD59</f>
        <v>Bosnia y Herzegovina</v>
      </c>
      <c r="F317" s="9" t="str">
        <f ca="1">+WORLDCUP!BD61</f>
        <v>Australia</v>
      </c>
      <c r="G317" s="9" t="str">
        <f ca="1">+WORLDCUP!BD58</f>
        <v>México</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Australia</v>
      </c>
      <c r="G318" s="9" t="str">
        <f ca="1">+WORLDCUP!BD58</f>
        <v>México</v>
      </c>
      <c r="H318" s="9" t="str">
        <f ca="1">+WORLDCUP!BD65</f>
        <v>Cabo Verde</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Cabo Verde</v>
      </c>
      <c r="D319" s="9" t="str">
        <f ca="1">+WORLDCUP!BD67</f>
        <v>Argelia</v>
      </c>
      <c r="E319" s="9" t="str">
        <f ca="1">+WORLDCUP!BD59</f>
        <v>Bosnia y Herzegovina</v>
      </c>
      <c r="F319" s="9" t="str">
        <f ca="1">+WORLDCUP!BD61</f>
        <v>Australia</v>
      </c>
      <c r="G319" s="9" t="str">
        <f ca="1">+WORLDCUP!BD58</f>
        <v>México</v>
      </c>
      <c r="H319" s="9" t="str">
        <f ca="1">+WORLDCUP!BD64</f>
        <v>Irán</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Cabo Verde</v>
      </c>
      <c r="D320" s="9" t="str">
        <f ca="1">+WORLDCUP!BD67</f>
        <v>Argelia</v>
      </c>
      <c r="E320" s="9" t="str">
        <f ca="1">+WORLDCUP!BD59</f>
        <v>Bosnia y Herzegovina</v>
      </c>
      <c r="F320" s="9" t="str">
        <f ca="1">+WORLDCUP!BD61</f>
        <v>Australia</v>
      </c>
      <c r="G320" s="9" t="str">
        <f ca="1">+WORLDCUP!BD58</f>
        <v>México</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Argelia</v>
      </c>
      <c r="E321" s="9" t="str">
        <f ca="1">+WORLDCUP!BD59</f>
        <v>Bosnia y Herzegovina</v>
      </c>
      <c r="F321" s="9" t="str">
        <f ca="1">+WORLDCUP!BD61</f>
        <v>Australia</v>
      </c>
      <c r="G321" s="9" t="str">
        <f ca="1">+WORLDCUP!BD58</f>
        <v>México</v>
      </c>
      <c r="H321" s="9" t="str">
        <f ca="1">+WORLDCUP!BD63</f>
        <v>Japón</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Cabo Verde</v>
      </c>
      <c r="D322" s="9" t="str">
        <f ca="1">+WORLDCUP!BD67</f>
        <v>Argelia</v>
      </c>
      <c r="E322" s="9" t="str">
        <f ca="1">+WORLDCUP!BD59</f>
        <v>Bosnia y Herzegovina</v>
      </c>
      <c r="F322" s="9" t="str">
        <f ca="1">+WORLDCUP!BD61</f>
        <v>Australia</v>
      </c>
      <c r="G322" s="9" t="str">
        <f ca="1">+WORLDCUP!BD58</f>
        <v>México</v>
      </c>
      <c r="H322" s="9" t="str">
        <f ca="1">+WORLDCUP!BD63</f>
        <v>Japón</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Cabo Verde</v>
      </c>
      <c r="D323" s="9" t="str">
        <f ca="1">+WORLDCUP!BD66</f>
        <v>Noruega</v>
      </c>
      <c r="E323" s="9" t="str">
        <f ca="1">+WORLDCUP!BD59</f>
        <v>Bosnia y Herzegovina</v>
      </c>
      <c r="F323" s="9" t="str">
        <f ca="1">+WORLDCUP!BD61</f>
        <v>Australia</v>
      </c>
      <c r="G323" s="9" t="str">
        <f ca="1">+WORLDCUP!BD58</f>
        <v>México</v>
      </c>
      <c r="H323" s="9" t="str">
        <f ca="1">+WORLDCUP!BD63</f>
        <v>Japón</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Cabo Verde</v>
      </c>
      <c r="D324" s="9" t="str">
        <f ca="1">+WORLDCUP!BD67</f>
        <v>Argelia</v>
      </c>
      <c r="E324" s="9" t="str">
        <f ca="1">+WORLDCUP!BD59</f>
        <v>Bosnia y Herzegovina</v>
      </c>
      <c r="F324" s="9" t="str">
        <f ca="1">+WORLDCUP!BD61</f>
        <v>Australia</v>
      </c>
      <c r="G324" s="9" t="str">
        <f ca="1">+WORLDCUP!BD58</f>
        <v>México</v>
      </c>
      <c r="H324" s="9" t="str">
        <f ca="1">+WORLDCUP!BD63</f>
        <v>Japón</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Cabo Verde</v>
      </c>
      <c r="D325" s="9" t="str">
        <f ca="1">+WORLDCUP!BD67</f>
        <v>Argelia</v>
      </c>
      <c r="E325" s="9" t="str">
        <f ca="1">+WORLDCUP!BD59</f>
        <v>Bosnia y Herzegovina</v>
      </c>
      <c r="F325" s="9" t="str">
        <f ca="1">+WORLDCUP!BD61</f>
        <v>Australia</v>
      </c>
      <c r="G325" s="9" t="str">
        <f ca="1">+WORLDCUP!BD58</f>
        <v>México</v>
      </c>
      <c r="H325" s="9" t="str">
        <f ca="1">+WORLDCUP!BD63</f>
        <v>Japón</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Argelia</v>
      </c>
      <c r="E326" s="9" t="str">
        <f ca="1">+WORLDCUP!BD59</f>
        <v>Bosnia y Herzegovina</v>
      </c>
      <c r="F326" s="9" t="str">
        <f ca="1">+WORLDCUP!BD61</f>
        <v>Australia</v>
      </c>
      <c r="G326" s="9" t="str">
        <f ca="1">+WORLDCUP!BD58</f>
        <v>México</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Australia</v>
      </c>
      <c r="G327" s="9" t="str">
        <f ca="1">+WORLDCUP!BD58</f>
        <v>México</v>
      </c>
      <c r="H327" s="9" t="str">
        <f ca="1">+WORLDCUP!BD63</f>
        <v>Japón</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Argelia</v>
      </c>
      <c r="E328" s="9" t="str">
        <f ca="1">+WORLDCUP!BD59</f>
        <v>Bosnia y Herzegovina</v>
      </c>
      <c r="F328" s="9" t="str">
        <f ca="1">+WORLDCUP!BD61</f>
        <v>Australia</v>
      </c>
      <c r="G328" s="9" t="str">
        <f ca="1">+WORLDCUP!BD58</f>
        <v>México</v>
      </c>
      <c r="H328" s="9" t="str">
        <f ca="1">+WORLDCUP!BD64</f>
        <v>Irán</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Argelia</v>
      </c>
      <c r="E329" s="9" t="str">
        <f ca="1">+WORLDCUP!BD59</f>
        <v>Bosnia y Herzegovina</v>
      </c>
      <c r="F329" s="9" t="str">
        <f ca="1">+WORLDCUP!BD61</f>
        <v>Australia</v>
      </c>
      <c r="G329" s="9" t="str">
        <f ca="1">+WORLDCUP!BD58</f>
        <v>México</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Cabo Verde</v>
      </c>
      <c r="D330" s="9" t="str">
        <f ca="1">+WORLDCUP!BD64</f>
        <v>Irán</v>
      </c>
      <c r="E330" s="9" t="str">
        <f ca="1">+WORLDCUP!BD59</f>
        <v>Bosnia y Herzegovina</v>
      </c>
      <c r="F330" s="9" t="str">
        <f ca="1">+WORLDCUP!BD61</f>
        <v>Australia</v>
      </c>
      <c r="G330" s="9" t="str">
        <f ca="1">+WORLDCUP!BD58</f>
        <v>México</v>
      </c>
      <c r="H330" s="9" t="str">
        <f ca="1">+WORLDCUP!BD63</f>
        <v>Japón</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Cabo Verde</v>
      </c>
      <c r="D331" s="9" t="str">
        <f ca="1">+WORLDCUP!BD64</f>
        <v>Irán</v>
      </c>
      <c r="E331" s="9" t="str">
        <f ca="1">+WORLDCUP!BD59</f>
        <v>Bosnia y Herzegovina</v>
      </c>
      <c r="F331" s="9" t="str">
        <f ca="1">+WORLDCUP!BD61</f>
        <v>Australia</v>
      </c>
      <c r="G331" s="9" t="str">
        <f ca="1">+WORLDCUP!BD58</f>
        <v>México</v>
      </c>
      <c r="H331" s="9" t="str">
        <f ca="1">+WORLDCUP!BD63</f>
        <v>Japón</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Cabo Verde</v>
      </c>
      <c r="D332" s="9" t="str">
        <f ca="1">+WORLDCUP!BD64</f>
        <v>Irán</v>
      </c>
      <c r="E332" s="9" t="str">
        <f ca="1">+WORLDCUP!BD59</f>
        <v>Bosnia y Herzegovina</v>
      </c>
      <c r="F332" s="9" t="str">
        <f ca="1">+WORLDCUP!BD61</f>
        <v>Australia</v>
      </c>
      <c r="G332" s="9" t="str">
        <f ca="1">+WORLDCUP!BD58</f>
        <v>México</v>
      </c>
      <c r="H332" s="9" t="str">
        <f ca="1">+WORLDCUP!BD63</f>
        <v>Japón</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Cabo Verde</v>
      </c>
      <c r="D333" s="9" t="str">
        <f ca="1">+WORLDCUP!BD64</f>
        <v>Irán</v>
      </c>
      <c r="E333" s="9" t="str">
        <f ca="1">+WORLDCUP!BD59</f>
        <v>Bosnia y Herzegovina</v>
      </c>
      <c r="F333" s="9" t="str">
        <f ca="1">+WORLDCUP!BD61</f>
        <v>Australia</v>
      </c>
      <c r="G333" s="9" t="str">
        <f ca="1">+WORLDCUP!BD58</f>
        <v>México</v>
      </c>
      <c r="H333" s="9" t="str">
        <f ca="1">+WORLDCUP!BD63</f>
        <v>Japón</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Cabo Verde</v>
      </c>
      <c r="D334" s="9" t="str">
        <f ca="1">+WORLDCUP!BD64</f>
        <v>Irán</v>
      </c>
      <c r="E334" s="9" t="str">
        <f ca="1">+WORLDCUP!BD59</f>
        <v>Bosnia y Herzegovina</v>
      </c>
      <c r="F334" s="9" t="str">
        <f ca="1">+WORLDCUP!BD61</f>
        <v>Australia</v>
      </c>
      <c r="G334" s="9" t="str">
        <f ca="1">+WORLDCUP!BD58</f>
        <v>México</v>
      </c>
      <c r="H334" s="9" t="str">
        <f ca="1">+WORLDCUP!BD63</f>
        <v>Japón</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Cabo Verde</v>
      </c>
      <c r="D335" s="9" t="str">
        <f ca="1">+WORLDCUP!BD64</f>
        <v>Irán</v>
      </c>
      <c r="E335" s="9" t="str">
        <f ca="1">+WORLDCUP!BD59</f>
        <v>Bosnia y Herzegovina</v>
      </c>
      <c r="F335" s="9" t="str">
        <f ca="1">+WORLDCUP!BD61</f>
        <v>Australia</v>
      </c>
      <c r="G335" s="9" t="str">
        <f ca="1">+WORLDCUP!BD58</f>
        <v>México</v>
      </c>
      <c r="H335" s="9" t="str">
        <f ca="1">+WORLDCUP!BD63</f>
        <v>Japón</v>
      </c>
      <c r="I335" s="9" t="str">
        <f ca="1">+WORLDCUP!BD66</f>
        <v>Noruega</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México</v>
      </c>
      <c r="G336" s="9" t="str">
        <f ca="1">+WORLDCUP!BD66</f>
        <v>Noruega</v>
      </c>
      <c r="H336" s="9" t="str">
        <f ca="1">+WORLDCUP!BD61</f>
        <v>Australia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Australia</v>
      </c>
      <c r="G337" s="9" t="str">
        <f ca="1">+WORLDCUP!BD58</f>
        <v>México</v>
      </c>
      <c r="H337" s="9" t="str">
        <f ca="1">+WORLDCUP!BD65</f>
        <v>Cabo Verde</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Noruega</v>
      </c>
      <c r="E338" s="9" t="str">
        <f ca="1">+WORLDCUP!BD59</f>
        <v>Bosnia y Herzegovina</v>
      </c>
      <c r="F338" s="9" t="str">
        <f ca="1">+WORLDCUP!BD61</f>
        <v>Australia</v>
      </c>
      <c r="G338" s="9" t="str">
        <f ca="1">+WORLDCUP!BD58</f>
        <v>México</v>
      </c>
      <c r="H338" s="9" t="str">
        <f ca="1">+WORLDCUP!BD65</f>
        <v>Cabo Verde</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Australia</v>
      </c>
      <c r="G339" s="9" t="str">
        <f ca="1">+WORLDCUP!BD58</f>
        <v>México</v>
      </c>
      <c r="H339" s="9" t="str">
        <f ca="1">+WORLDCUP!BD65</f>
        <v>Cabo Verde</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Australia</v>
      </c>
      <c r="G340" s="9" t="str">
        <f ca="1">+WORLDCUP!BD58</f>
        <v>México</v>
      </c>
      <c r="H340" s="9" t="str">
        <f ca="1">+WORLDCUP!BD65</f>
        <v>Cabo Verde</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Australia</v>
      </c>
      <c r="G341" s="9" t="str">
        <f ca="1">+WORLDCUP!BD58</f>
        <v>México</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México</v>
      </c>
      <c r="G342" s="9" t="str">
        <f ca="1">+WORLDCUP!BD66</f>
        <v>Noruega</v>
      </c>
      <c r="H342" s="9" t="str">
        <f ca="1">+WORLDCUP!BD61</f>
        <v>Australia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Australia</v>
      </c>
      <c r="G343" s="9" t="str">
        <f ca="1">+WORLDCUP!BD58</f>
        <v>México</v>
      </c>
      <c r="H343" s="9" t="str">
        <f ca="1">+WORLDCUP!BD64</f>
        <v>Irán</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Australia</v>
      </c>
      <c r="G344" s="9" t="str">
        <f ca="1">+WORLDCUP!BD58</f>
        <v>México</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Australia</v>
      </c>
      <c r="G345" s="9" t="str">
        <f ca="1">+WORLDCUP!BD58</f>
        <v>México</v>
      </c>
      <c r="H345" s="9" t="str">
        <f ca="1">+WORLDCUP!BD65</f>
        <v>Cabo Verde</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Cabo Verde</v>
      </c>
      <c r="D346" s="9" t="str">
        <f ca="1">+WORLDCUP!BD67</f>
        <v>Argelia</v>
      </c>
      <c r="E346" s="9" t="str">
        <f ca="1">+WORLDCUP!BD59</f>
        <v>Bosnia y Herzegovina</v>
      </c>
      <c r="F346" s="9" t="str">
        <f ca="1">+WORLDCUP!BD61</f>
        <v>Australia</v>
      </c>
      <c r="G346" s="9" t="str">
        <f ca="1">+WORLDCUP!BD58</f>
        <v>México</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Cabo Verde</v>
      </c>
      <c r="D347" s="9" t="str">
        <f ca="1">+WORLDCUP!BD67</f>
        <v>Argelia</v>
      </c>
      <c r="E347" s="9" t="str">
        <f ca="1">+WORLDCUP!BD59</f>
        <v>Bosnia y Herzegovina</v>
      </c>
      <c r="F347" s="9" t="str">
        <f ca="1">+WORLDCUP!BD61</f>
        <v>Australia</v>
      </c>
      <c r="G347" s="9" t="str">
        <f ca="1">+WORLDCUP!BD58</f>
        <v>México</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Australia</v>
      </c>
      <c r="G348" s="9" t="str">
        <f ca="1">+WORLDCUP!BD58</f>
        <v>México</v>
      </c>
      <c r="H348" s="9" t="str">
        <f ca="1">+WORLDCUP!BD65</f>
        <v>Cabo Verde</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Australia</v>
      </c>
      <c r="G349" s="9" t="str">
        <f ca="1">+WORLDCUP!BD58</f>
        <v>México</v>
      </c>
      <c r="H349" s="9" t="str">
        <f ca="1">+WORLDCUP!BD65</f>
        <v>Cabo Verde</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Cabo Verde</v>
      </c>
      <c r="D350" s="9" t="str">
        <f ca="1">+WORLDCUP!BD67</f>
        <v>Argelia</v>
      </c>
      <c r="E350" s="9" t="str">
        <f ca="1">+WORLDCUP!BD59</f>
        <v>Bosnia y Herzegovina</v>
      </c>
      <c r="F350" s="9" t="str">
        <f ca="1">+WORLDCUP!BD61</f>
        <v>Australia</v>
      </c>
      <c r="G350" s="9" t="str">
        <f ca="1">+WORLDCUP!BD58</f>
        <v>México</v>
      </c>
      <c r="H350" s="9" t="str">
        <f ca="1">+WORLDCUP!BD64</f>
        <v>Irán</v>
      </c>
      <c r="I350" s="9" t="str">
        <f ca="1">+WORLDCUP!BD62</f>
        <v>Ecuador</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Australia</v>
      </c>
      <c r="G351" s="9" t="str">
        <f ca="1">+WORLDCUP!BD58</f>
        <v>México</v>
      </c>
      <c r="H351" s="9" t="str">
        <f ca="1">+WORLDCUP!BD63</f>
        <v>Japón</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Noruega</v>
      </c>
      <c r="E352" s="9" t="str">
        <f ca="1">+WORLDCUP!BD59</f>
        <v>Bosnia y Herzegovina</v>
      </c>
      <c r="F352" s="9" t="str">
        <f ca="1">+WORLDCUP!BD61</f>
        <v>Australia</v>
      </c>
      <c r="G352" s="9" t="str">
        <f ca="1">+WORLDCUP!BD58</f>
        <v>México</v>
      </c>
      <c r="H352" s="9" t="str">
        <f ca="1">+WORLDCUP!BD63</f>
        <v>Japón</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Australia</v>
      </c>
      <c r="G353" s="9" t="str">
        <f ca="1">+WORLDCUP!BD58</f>
        <v>México</v>
      </c>
      <c r="H353" s="9" t="str">
        <f ca="1">+WORLDCUP!BD63</f>
        <v>Japón</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Australia</v>
      </c>
      <c r="G354" s="9" t="str">
        <f ca="1">+WORLDCUP!BD58</f>
        <v>México</v>
      </c>
      <c r="H354" s="9" t="str">
        <f ca="1">+WORLDCUP!BD63</f>
        <v>Japón</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Cabo Verde</v>
      </c>
      <c r="D355" s="9" t="str">
        <f ca="1">+WORLDCUP!BD62</f>
        <v>Ecuador</v>
      </c>
      <c r="E355" s="9" t="str">
        <f ca="1">+WORLDCUP!BD59</f>
        <v>Bosnia y Herzegovina</v>
      </c>
      <c r="F355" s="9" t="str">
        <f ca="1">+WORLDCUP!BD61</f>
        <v>Australia</v>
      </c>
      <c r="G355" s="9" t="str">
        <f ca="1">+WORLDCUP!BD58</f>
        <v>México</v>
      </c>
      <c r="H355" s="9" t="str">
        <f ca="1">+WORLDCUP!BD63</f>
        <v>Japón</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Cabo Verde</v>
      </c>
      <c r="D356" s="9" t="str">
        <f ca="1">+WORLDCUP!BD67</f>
        <v>Argelia</v>
      </c>
      <c r="E356" s="9" t="str">
        <f ca="1">+WORLDCUP!BD59</f>
        <v>Bosnia y Herzegovina</v>
      </c>
      <c r="F356" s="9" t="str">
        <f ca="1">+WORLDCUP!BD61</f>
        <v>Australia</v>
      </c>
      <c r="G356" s="9" t="str">
        <f ca="1">+WORLDCUP!BD58</f>
        <v>México</v>
      </c>
      <c r="H356" s="9" t="str">
        <f ca="1">+WORLDCUP!BD63</f>
        <v>Japón</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Cabo Verde</v>
      </c>
      <c r="D357" s="9" t="str">
        <f ca="1">+WORLDCUP!BD67</f>
        <v>Argelia</v>
      </c>
      <c r="E357" s="9" t="str">
        <f ca="1">+WORLDCUP!BD59</f>
        <v>Bosnia y Herzegovina</v>
      </c>
      <c r="F357" s="9" t="str">
        <f ca="1">+WORLDCUP!BD61</f>
        <v>Australia</v>
      </c>
      <c r="G357" s="9" t="str">
        <f ca="1">+WORLDCUP!BD58</f>
        <v>México</v>
      </c>
      <c r="H357" s="9" t="str">
        <f ca="1">+WORLDCUP!BD63</f>
        <v>Japón</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Cabo Verde</v>
      </c>
      <c r="D358" s="9" t="str">
        <f ca="1">+WORLDCUP!BD62</f>
        <v>Ecuador</v>
      </c>
      <c r="E358" s="9" t="str">
        <f ca="1">+WORLDCUP!BD59</f>
        <v>Bosnia y Herzegovina</v>
      </c>
      <c r="F358" s="9" t="str">
        <f ca="1">+WORLDCUP!BD61</f>
        <v>Australia</v>
      </c>
      <c r="G358" s="9" t="str">
        <f ca="1">+WORLDCUP!BD58</f>
        <v>México</v>
      </c>
      <c r="H358" s="9" t="str">
        <f ca="1">+WORLDCUP!BD63</f>
        <v>Japón</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Cabo Verde</v>
      </c>
      <c r="D359" s="9" t="str">
        <f ca="1">+WORLDCUP!BD62</f>
        <v>Ecuador</v>
      </c>
      <c r="E359" s="9" t="str">
        <f ca="1">+WORLDCUP!BD59</f>
        <v>Bosnia y Herzegovina</v>
      </c>
      <c r="F359" s="9" t="str">
        <f ca="1">+WORLDCUP!BD61</f>
        <v>Australia</v>
      </c>
      <c r="G359" s="9" t="str">
        <f ca="1">+WORLDCUP!BD58</f>
        <v>México</v>
      </c>
      <c r="H359" s="9" t="str">
        <f ca="1">+WORLDCUP!BD63</f>
        <v>Japón</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Cabo Verde</v>
      </c>
      <c r="D360" s="9" t="str">
        <f ca="1">+WORLDCUP!BD67</f>
        <v>Argelia</v>
      </c>
      <c r="E360" s="9" t="str">
        <f ca="1">+WORLDCUP!BD59</f>
        <v>Bosnia y Herzegovina</v>
      </c>
      <c r="F360" s="9" t="str">
        <f ca="1">+WORLDCUP!BD61</f>
        <v>Australia</v>
      </c>
      <c r="G360" s="9" t="str">
        <f ca="1">+WORLDCUP!BD58</f>
        <v>México</v>
      </c>
      <c r="H360" s="9" t="str">
        <f ca="1">+WORLDCUP!BD63</f>
        <v>Japón</v>
      </c>
      <c r="I360" s="9" t="str">
        <f ca="1">+WORLDCUP!BD62</f>
        <v>Ecuador</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Australia</v>
      </c>
      <c r="G361" s="9" t="str">
        <f ca="1">+WORLDCUP!BD58</f>
        <v>México</v>
      </c>
      <c r="H361" s="9" t="str">
        <f ca="1">+WORLDCUP!BD63</f>
        <v>Japón</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Australia</v>
      </c>
      <c r="G362" s="9" t="str">
        <f ca="1">+WORLDCUP!BD58</f>
        <v>México</v>
      </c>
      <c r="H362" s="9" t="str">
        <f ca="1">+WORLDCUP!BD63</f>
        <v>Japón</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Australia</v>
      </c>
      <c r="G363" s="9" t="str">
        <f ca="1">+WORLDCUP!BD58</f>
        <v>México</v>
      </c>
      <c r="H363" s="9" t="str">
        <f ca="1">+WORLDCUP!BD63</f>
        <v>Japón</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Australia</v>
      </c>
      <c r="G364" s="9" t="str">
        <f ca="1">+WORLDCUP!BD58</f>
        <v>México</v>
      </c>
      <c r="H364" s="9" t="str">
        <f ca="1">+WORLDCUP!BD63</f>
        <v>Japón</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Australia</v>
      </c>
      <c r="G365" s="9" t="str">
        <f ca="1">+WORLDCUP!BD58</f>
        <v>México</v>
      </c>
      <c r="H365" s="9" t="str">
        <f ca="1">+WORLDCUP!BD63</f>
        <v>Japón</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Australia</v>
      </c>
      <c r="G366" s="9" t="str">
        <f ca="1">+WORLDCUP!BD58</f>
        <v>México</v>
      </c>
      <c r="H366" s="9" t="str">
        <f ca="1">+WORLDCUP!BD63</f>
        <v>Japón</v>
      </c>
      <c r="I366" s="9" t="str">
        <f ca="1">+WORLDCUP!BD66</f>
        <v>Noruega</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Cabo Verde</v>
      </c>
      <c r="D367" s="9" t="str">
        <f ca="1">+WORLDCUP!BD64</f>
        <v>Irán</v>
      </c>
      <c r="E367" s="9" t="str">
        <f ca="1">+WORLDCUP!BD59</f>
        <v>Bosnia y Herzegovina</v>
      </c>
      <c r="F367" s="9" t="str">
        <f ca="1">+WORLDCUP!BD61</f>
        <v>Australia</v>
      </c>
      <c r="G367" s="9" t="str">
        <f ca="1">+WORLDCUP!BD58</f>
        <v>México</v>
      </c>
      <c r="H367" s="9" t="str">
        <f ca="1">+WORLDCUP!BD63</f>
        <v>Japón</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Cabo Verde</v>
      </c>
      <c r="D368" s="9" t="str">
        <f ca="1">+WORLDCUP!BD64</f>
        <v>Irán</v>
      </c>
      <c r="E368" s="9" t="str">
        <f ca="1">+WORLDCUP!BD59</f>
        <v>Bosnia y Herzegovina</v>
      </c>
      <c r="F368" s="9" t="str">
        <f ca="1">+WORLDCUP!BD61</f>
        <v>Australia</v>
      </c>
      <c r="G368" s="9" t="str">
        <f ca="1">+WORLDCUP!BD58</f>
        <v>México</v>
      </c>
      <c r="H368" s="9" t="str">
        <f ca="1">+WORLDCUP!BD63</f>
        <v>Japón</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Cabo Verde</v>
      </c>
      <c r="D369" s="9" t="str">
        <f ca="1">+WORLDCUP!BD64</f>
        <v>Irán</v>
      </c>
      <c r="E369" s="9" t="str">
        <f ca="1">+WORLDCUP!BD59</f>
        <v>Bosnia y Herzegovina</v>
      </c>
      <c r="F369" s="9" t="str">
        <f ca="1">+WORLDCUP!BD61</f>
        <v>Australia</v>
      </c>
      <c r="G369" s="9" t="str">
        <f ca="1">+WORLDCUP!BD58</f>
        <v>México</v>
      </c>
      <c r="H369" s="9" t="str">
        <f ca="1">+WORLDCUP!BD63</f>
        <v>Japón</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Cabo Verde</v>
      </c>
      <c r="D370" s="9" t="str">
        <f ca="1">+WORLDCUP!BD64</f>
        <v>Irán</v>
      </c>
      <c r="E370" s="9" t="str">
        <f ca="1">+WORLDCUP!BD59</f>
        <v>Bosnia y Herzegovina</v>
      </c>
      <c r="F370" s="9" t="str">
        <f ca="1">+WORLDCUP!BD61</f>
        <v>Australia</v>
      </c>
      <c r="G370" s="9" t="str">
        <f ca="1">+WORLDCUP!BD58</f>
        <v>México</v>
      </c>
      <c r="H370" s="9" t="str">
        <f ca="1">+WORLDCUP!BD63</f>
        <v>Japón</v>
      </c>
      <c r="I370" s="9" t="str">
        <f ca="1">+WORLDCUP!BD62</f>
        <v>Ecuador</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México</v>
      </c>
      <c r="H371" s="9" t="str">
        <f ca="1">+WORLDCUP!BD65</f>
        <v>Cabo Verde</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México</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México</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México</v>
      </c>
      <c r="H374" s="9" t="str">
        <f ca="1">+WORLDCUP!BD65</f>
        <v>Cabo Verde</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México</v>
      </c>
      <c r="H375" s="9" t="str">
        <f ca="1">+WORLDCUP!BD64</f>
        <v>Irán</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México</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México</v>
      </c>
      <c r="H377" s="9" t="str">
        <f ca="1">+WORLDCUP!BD63</f>
        <v>Japón</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México</v>
      </c>
      <c r="H378" s="9" t="str">
        <f ca="1">+WORLDCUP!BD63</f>
        <v>Japón</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México</v>
      </c>
      <c r="H379" s="9" t="str">
        <f ca="1">+WORLDCUP!BD63</f>
        <v>Japón</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México</v>
      </c>
      <c r="H380" s="9" t="str">
        <f ca="1">+WORLDCUP!BD63</f>
        <v>Japón</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México</v>
      </c>
      <c r="H381" s="9" t="str">
        <f ca="1">+WORLDCUP!BD63</f>
        <v>Japón</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México</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México</v>
      </c>
      <c r="H383" s="9" t="str">
        <f ca="1">+WORLDCUP!BD63</f>
        <v>Japón</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México</v>
      </c>
      <c r="H384" s="9" t="str">
        <f ca="1">+WORLDCUP!BD64</f>
        <v>Irán</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México</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México</v>
      </c>
      <c r="H386" s="9" t="str">
        <f ca="1">+WORLDCUP!BD63</f>
        <v>Japón</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México</v>
      </c>
      <c r="H387" s="9" t="str">
        <f ca="1">+WORLDCUP!BD63</f>
        <v>Japón</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México</v>
      </c>
      <c r="H388" s="9" t="str">
        <f ca="1">+WORLDCUP!BD63</f>
        <v>Japón</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México</v>
      </c>
      <c r="H389" s="9" t="str">
        <f ca="1">+WORLDCUP!BD63</f>
        <v>Japón</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México</v>
      </c>
      <c r="H390" s="9" t="str">
        <f ca="1">+WORLDCUP!BD63</f>
        <v>Japón</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México</v>
      </c>
      <c r="H391" s="9" t="str">
        <f ca="1">+WORLDCUP!BD63</f>
        <v>Japón</v>
      </c>
      <c r="I391" s="9" t="str">
        <f ca="1">+WORLDCUP!BD66</f>
        <v>Noruega</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México</v>
      </c>
      <c r="G392" s="9" t="str">
        <f ca="1">+WORLDCUP!BD66</f>
        <v>Noruega</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México</v>
      </c>
      <c r="H393" s="9" t="str">
        <f ca="1">+WORLDCUP!BD65</f>
        <v>Cabo Verde</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México</v>
      </c>
      <c r="H394" s="9" t="str">
        <f ca="1">+WORLDCUP!BD65</f>
        <v>Cabo Verde</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México</v>
      </c>
      <c r="H395" s="9" t="str">
        <f ca="1">+WORLDCUP!BD65</f>
        <v>Cabo Verde</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México</v>
      </c>
      <c r="H396" s="9" t="str">
        <f ca="1">+WORLDCUP!BD65</f>
        <v>Cabo Verde</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México</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México</v>
      </c>
      <c r="G398" s="9" t="str">
        <f ca="1">+WORLDCUP!BD66</f>
        <v>Noruega</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México</v>
      </c>
      <c r="H399" s="9" t="str">
        <f ca="1">+WORLDCUP!BD64</f>
        <v>Irán</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México</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México</v>
      </c>
      <c r="H401" s="9" t="str">
        <f ca="1">+WORLDCUP!BD65</f>
        <v>Cabo Verde</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México</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México</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México</v>
      </c>
      <c r="H404" s="9" t="str">
        <f ca="1">+WORLDCUP!BD65</f>
        <v>Cabo Verde</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México</v>
      </c>
      <c r="H405" s="9" t="str">
        <f ca="1">+WORLDCUP!BD65</f>
        <v>Cabo Verde</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México</v>
      </c>
      <c r="H406" s="9" t="str">
        <f ca="1">+WORLDCUP!BD64</f>
        <v>Irán</v>
      </c>
      <c r="I406" s="9" t="str">
        <f ca="1">+WORLDCUP!BD62</f>
        <v>Ecuador</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México</v>
      </c>
      <c r="H407" s="9" t="str">
        <f ca="1">+WORLDCUP!BD63</f>
        <v>Japón</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México</v>
      </c>
      <c r="H408" s="9" t="str">
        <f ca="1">+WORLDCUP!BD63</f>
        <v>Japón</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México</v>
      </c>
      <c r="H409" s="9" t="str">
        <f ca="1">+WORLDCUP!BD63</f>
        <v>Japón</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México</v>
      </c>
      <c r="H410" s="9" t="str">
        <f ca="1">+WORLDCUP!BD63</f>
        <v>Japón</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Cabo Verde</v>
      </c>
      <c r="D411" s="9" t="str">
        <f ca="1">+WORLDCUP!BD62</f>
        <v>Ecuador</v>
      </c>
      <c r="E411" s="9" t="str">
        <f ca="1">+WORLDCUP!BD59</f>
        <v>Bosnia y Herzegovina</v>
      </c>
      <c r="F411" s="9" t="str">
        <f ca="1">+WORLDCUP!BD60</f>
        <v>Escocia</v>
      </c>
      <c r="G411" s="9" t="str">
        <f ca="1">+WORLDCUP!BD58</f>
        <v>México</v>
      </c>
      <c r="H411" s="9" t="str">
        <f ca="1">+WORLDCUP!BD63</f>
        <v>Japón</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México</v>
      </c>
      <c r="H412" s="9" t="str">
        <f ca="1">+WORLDCUP!BD63</f>
        <v>Japón</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México</v>
      </c>
      <c r="H413" s="9" t="str">
        <f ca="1">+WORLDCUP!BD63</f>
        <v>Japón</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Cabo Verde</v>
      </c>
      <c r="D414" s="9" t="str">
        <f ca="1">+WORLDCUP!BD62</f>
        <v>Ecuador</v>
      </c>
      <c r="E414" s="9" t="str">
        <f ca="1">+WORLDCUP!BD59</f>
        <v>Bosnia y Herzegovina</v>
      </c>
      <c r="F414" s="9" t="str">
        <f ca="1">+WORLDCUP!BD60</f>
        <v>Escocia</v>
      </c>
      <c r="G414" s="9" t="str">
        <f ca="1">+WORLDCUP!BD58</f>
        <v>México</v>
      </c>
      <c r="H414" s="9" t="str">
        <f ca="1">+WORLDCUP!BD63</f>
        <v>Japón</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Cabo Verde</v>
      </c>
      <c r="D415" s="9" t="str">
        <f ca="1">+WORLDCUP!BD62</f>
        <v>Ecuador</v>
      </c>
      <c r="E415" s="9" t="str">
        <f ca="1">+WORLDCUP!BD59</f>
        <v>Bosnia y Herzegovina</v>
      </c>
      <c r="F415" s="9" t="str">
        <f ca="1">+WORLDCUP!BD60</f>
        <v>Escocia</v>
      </c>
      <c r="G415" s="9" t="str">
        <f ca="1">+WORLDCUP!BD58</f>
        <v>México</v>
      </c>
      <c r="H415" s="9" t="str">
        <f ca="1">+WORLDCUP!BD63</f>
        <v>Japón</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México</v>
      </c>
      <c r="H416" s="9" t="str">
        <f ca="1">+WORLDCUP!BD63</f>
        <v>Japón</v>
      </c>
      <c r="I416" s="9" t="str">
        <f ca="1">+WORLDCUP!BD62</f>
        <v>Ecuador</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México</v>
      </c>
      <c r="H417" s="9" t="str">
        <f ca="1">+WORLDCUP!BD63</f>
        <v>Japón</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México</v>
      </c>
      <c r="H418" s="9" t="str">
        <f ca="1">+WORLDCUP!BD63</f>
        <v>Japón</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México</v>
      </c>
      <c r="H419" s="9" t="str">
        <f ca="1">+WORLDCUP!BD63</f>
        <v>Japón</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México</v>
      </c>
      <c r="H420" s="9" t="str">
        <f ca="1">+WORLDCUP!BD63</f>
        <v>Japón</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México</v>
      </c>
      <c r="H421" s="9" t="str">
        <f ca="1">+WORLDCUP!BD63</f>
        <v>Japón</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México</v>
      </c>
      <c r="H422" s="9" t="str">
        <f ca="1">+WORLDCUP!BD63</f>
        <v>Japón</v>
      </c>
      <c r="I422" s="9" t="str">
        <f ca="1">+WORLDCUP!BD66</f>
        <v>Noruega</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México</v>
      </c>
      <c r="H423" s="9" t="str">
        <f ca="1">+WORLDCUP!BD63</f>
        <v>Japón</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México</v>
      </c>
      <c r="H424" s="9" t="str">
        <f ca="1">+WORLDCUP!BD63</f>
        <v>Japón</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México</v>
      </c>
      <c r="H425" s="9" t="str">
        <f ca="1">+WORLDCUP!BD63</f>
        <v>Japón</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México</v>
      </c>
      <c r="H426" s="9" t="str">
        <f ca="1">+WORLDCUP!BD63</f>
        <v>Japón</v>
      </c>
      <c r="I426" s="9" t="str">
        <f ca="1">+WORLDCUP!BD62</f>
        <v>Ecuador</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México</v>
      </c>
      <c r="H427" s="9" t="str">
        <f ca="1">+WORLDCUP!BD61</f>
        <v>Australia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México</v>
      </c>
      <c r="H428" s="9" t="str">
        <f ca="1">+WORLDCUP!BD61</f>
        <v>Australia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México</v>
      </c>
      <c r="H429" s="9" t="str">
        <f ca="1">+WORLDCUP!BD61</f>
        <v>Australia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México</v>
      </c>
      <c r="H430" s="9" t="str">
        <f ca="1">+WORLDCUP!BD61</f>
        <v>Australia</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México</v>
      </c>
      <c r="H431" s="9" t="str">
        <f ca="1">+WORLDCUP!BD61</f>
        <v>Australia</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México</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México</v>
      </c>
      <c r="H433" s="9" t="str">
        <f ca="1">+WORLDCUP!BD61</f>
        <v>Australia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México</v>
      </c>
      <c r="H434" s="9" t="str">
        <f ca="1">+WORLDCUP!BD64</f>
        <v>Irán</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México</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México</v>
      </c>
      <c r="H436" s="9" t="str">
        <f ca="1">+WORLDCUP!BD61</f>
        <v>Australia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México</v>
      </c>
      <c r="H437" s="9" t="str">
        <f ca="1">+WORLDCUP!BD61</f>
        <v>Australia</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México</v>
      </c>
      <c r="H438" s="9" t="str">
        <f ca="1">+WORLDCUP!BD61</f>
        <v>Australia</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México</v>
      </c>
      <c r="H439" s="9" t="str">
        <f ca="1">+WORLDCUP!BD61</f>
        <v>Australia</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México</v>
      </c>
      <c r="H440" s="9" t="str">
        <f ca="1">+WORLDCUP!BD61</f>
        <v>Australia</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México</v>
      </c>
      <c r="H441" s="9" t="str">
        <f ca="1">+WORLDCUP!BD61</f>
        <v>Australia</v>
      </c>
      <c r="I441" s="9" t="str">
        <f ca="1">+WORLDCUP!BD66</f>
        <v>Noruega</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México</v>
      </c>
      <c r="H442" s="9" t="str">
        <f ca="1">+WORLDCUP!BD63</f>
        <v>Japón</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Australia</v>
      </c>
      <c r="G443" s="9" t="str">
        <f ca="1">+WORLDCUP!BD58</f>
        <v>México</v>
      </c>
      <c r="H443" s="9" t="str">
        <f ca="1">+WORLDCUP!BD63</f>
        <v>Japón</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México</v>
      </c>
      <c r="H444" s="9" t="str">
        <f ca="1">+WORLDCUP!BD63</f>
        <v>Japón</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México</v>
      </c>
      <c r="H445" s="9" t="str">
        <f ca="1">+WORLDCUP!BD63</f>
        <v>Japón</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Cabo Verde</v>
      </c>
      <c r="D446" s="9" t="str">
        <f ca="1">+WORLDCUP!BD63</f>
        <v>Japón</v>
      </c>
      <c r="E446" s="9" t="str">
        <f ca="1">+WORLDCUP!BD59</f>
        <v>Bosnia y Herzegovina</v>
      </c>
      <c r="F446" s="9" t="str">
        <f ca="1">+WORLDCUP!BD60</f>
        <v>Escocia</v>
      </c>
      <c r="G446" s="9" t="str">
        <f ca="1">+WORLDCUP!BD58</f>
        <v>México</v>
      </c>
      <c r="H446" s="9" t="str">
        <f ca="1">+WORLDCUP!BD61</f>
        <v>Australia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México</v>
      </c>
      <c r="H447" s="9" t="str">
        <f ca="1">+WORLDCUP!BD63</f>
        <v>Japón</v>
      </c>
      <c r="I447" s="9" t="str">
        <f ca="1">+WORLDCUP!BD69</f>
        <v>Ghana</v>
      </c>
      <c r="J447" s="9" t="str">
        <f ca="1">+WORLDCUP!BD65</f>
        <v>Cabo Verde</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México</v>
      </c>
      <c r="H448" s="9" t="str">
        <f ca="1">+WORLDCUP!BD63</f>
        <v>Japón</v>
      </c>
      <c r="I448" s="9" t="str">
        <f ca="1">+WORLDCUP!BD61</f>
        <v>Australia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Cabo Verde</v>
      </c>
      <c r="D449" s="9" t="str">
        <f ca="1">+WORLDCUP!BD63</f>
        <v>Japón</v>
      </c>
      <c r="E449" s="9" t="str">
        <f ca="1">+WORLDCUP!BD59</f>
        <v>Bosnia y Herzegovina</v>
      </c>
      <c r="F449" s="9" t="str">
        <f ca="1">+WORLDCUP!BD60</f>
        <v>Escocia</v>
      </c>
      <c r="G449" s="9" t="str">
        <f ca="1">+WORLDCUP!BD58</f>
        <v>México</v>
      </c>
      <c r="H449" s="9" t="str">
        <f ca="1">+WORLDCUP!BD61</f>
        <v>Australia</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Cabo Verde</v>
      </c>
      <c r="D450" s="9" t="str">
        <f ca="1">+WORLDCUP!BD63</f>
        <v>Japón</v>
      </c>
      <c r="E450" s="9" t="str">
        <f ca="1">+WORLDCUP!BD59</f>
        <v>Bosnia y Herzegovina</v>
      </c>
      <c r="F450" s="9" t="str">
        <f ca="1">+WORLDCUP!BD60</f>
        <v>Escocia</v>
      </c>
      <c r="G450" s="9" t="str">
        <f ca="1">+WORLDCUP!BD58</f>
        <v>México</v>
      </c>
      <c r="H450" s="9" t="str">
        <f ca="1">+WORLDCUP!BD61</f>
        <v>Australia</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México</v>
      </c>
      <c r="H451" s="9" t="str">
        <f ca="1">+WORLDCUP!BD63</f>
        <v>Japón</v>
      </c>
      <c r="I451" s="9" t="str">
        <f ca="1">+WORLDCUP!BD61</f>
        <v>Australia</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Australia</v>
      </c>
      <c r="G452" s="9" t="str">
        <f ca="1">+WORLDCUP!BD58</f>
        <v>México</v>
      </c>
      <c r="H452" s="9" t="str">
        <f ca="1">+WORLDCUP!BD63</f>
        <v>Japón</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Australia</v>
      </c>
      <c r="G453" s="9" t="str">
        <f ca="1">+WORLDCUP!BD58</f>
        <v>México</v>
      </c>
      <c r="H453" s="9" t="str">
        <f ca="1">+WORLDCUP!BD63</f>
        <v>Japón</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Australia</v>
      </c>
      <c r="G454" s="9" t="str">
        <f ca="1">+WORLDCUP!BD58</f>
        <v>México</v>
      </c>
      <c r="H454" s="9" t="str">
        <f ca="1">+WORLDCUP!BD63</f>
        <v>Japón</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Australia</v>
      </c>
      <c r="G455" s="9" t="str">
        <f ca="1">+WORLDCUP!BD58</f>
        <v>México</v>
      </c>
      <c r="H455" s="9" t="str">
        <f ca="1">+WORLDCUP!BD63</f>
        <v>Japón</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Australia</v>
      </c>
      <c r="G456" s="9" t="str">
        <f ca="1">+WORLDCUP!BD58</f>
        <v>México</v>
      </c>
      <c r="H456" s="9" t="str">
        <f ca="1">+WORLDCUP!BD63</f>
        <v>Japón</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Australia</v>
      </c>
      <c r="G457" s="9" t="str">
        <f ca="1">+WORLDCUP!BD58</f>
        <v>México</v>
      </c>
      <c r="H457" s="9" t="str">
        <f ca="1">+WORLDCUP!BD63</f>
        <v>Japón</v>
      </c>
      <c r="I457" s="9" t="str">
        <f ca="1">+WORLDCUP!BD66</f>
        <v>Noruega</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Australia</v>
      </c>
      <c r="G458" s="9" t="str">
        <f ca="1">+WORLDCUP!BD58</f>
        <v>México</v>
      </c>
      <c r="H458" s="9" t="str">
        <f ca="1">+WORLDCUP!BD63</f>
        <v>Japón</v>
      </c>
      <c r="I458" s="9" t="str">
        <f ca="1">+WORLDCUP!BD69</f>
        <v>Ghana</v>
      </c>
      <c r="J458" s="9" t="str">
        <f ca="1">+WORLDCUP!BD65</f>
        <v>Cabo Verde</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México</v>
      </c>
      <c r="H459" s="9" t="str">
        <f ca="1">+WORLDCUP!BD63</f>
        <v>Japón</v>
      </c>
      <c r="I459" s="9" t="str">
        <f ca="1">+WORLDCUP!BD61</f>
        <v>Australia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México</v>
      </c>
      <c r="H460" s="9" t="str">
        <f ca="1">+WORLDCUP!BD63</f>
        <v>Japón</v>
      </c>
      <c r="I460" s="9" t="str">
        <f ca="1">+WORLDCUP!BD61</f>
        <v>Australia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México</v>
      </c>
      <c r="H461" s="9" t="str">
        <f ca="1">+WORLDCUP!BD63</f>
        <v>Japón</v>
      </c>
      <c r="I461" s="9" t="str">
        <f ca="1">+WORLDCUP!BD61</f>
        <v>Australia</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México</v>
      </c>
      <c r="H462" s="9" t="str">
        <f ca="1">+WORLDCUP!BD61</f>
        <v>Australia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México</v>
      </c>
      <c r="H463" s="9" t="str">
        <f ca="1">+WORLDCUP!BD61</f>
        <v>Australia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México</v>
      </c>
      <c r="H464" s="9" t="str">
        <f ca="1">+WORLDCUP!BD61</f>
        <v>Australia</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México</v>
      </c>
      <c r="H465" s="9" t="str">
        <f ca="1">+WORLDCUP!BD61</f>
        <v>Australia</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Cabo Verde</v>
      </c>
      <c r="D466" s="9" t="str">
        <f ca="1">+WORLDCUP!BD62</f>
        <v>Ecuador</v>
      </c>
      <c r="E466" s="9" t="str">
        <f ca="1">+WORLDCUP!BD59</f>
        <v>Bosnia y Herzegovina</v>
      </c>
      <c r="F466" s="9" t="str">
        <f ca="1">+WORLDCUP!BD60</f>
        <v>Escocia</v>
      </c>
      <c r="G466" s="9" t="str">
        <f ca="1">+WORLDCUP!BD58</f>
        <v>México</v>
      </c>
      <c r="H466" s="9" t="str">
        <f ca="1">+WORLDCUP!BD61</f>
        <v>Australia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México</v>
      </c>
      <c r="H467" s="9" t="str">
        <f ca="1">+WORLDCUP!BD61</f>
        <v>Australia</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México</v>
      </c>
      <c r="H468" s="9" t="str">
        <f ca="1">+WORLDCUP!BD61</f>
        <v>Australia</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Cabo Verde</v>
      </c>
      <c r="D469" s="9" t="str">
        <f ca="1">+WORLDCUP!BD62</f>
        <v>Ecuador</v>
      </c>
      <c r="E469" s="9" t="str">
        <f ca="1">+WORLDCUP!BD59</f>
        <v>Bosnia y Herzegovina</v>
      </c>
      <c r="F469" s="9" t="str">
        <f ca="1">+WORLDCUP!BD60</f>
        <v>Escocia</v>
      </c>
      <c r="G469" s="9" t="str">
        <f ca="1">+WORLDCUP!BD58</f>
        <v>México</v>
      </c>
      <c r="H469" s="9" t="str">
        <f ca="1">+WORLDCUP!BD61</f>
        <v>Australia</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Cabo Verde</v>
      </c>
      <c r="D470" s="9" t="str">
        <f ca="1">+WORLDCUP!BD62</f>
        <v>Ecuador</v>
      </c>
      <c r="E470" s="9" t="str">
        <f ca="1">+WORLDCUP!BD59</f>
        <v>Bosnia y Herzegovina</v>
      </c>
      <c r="F470" s="9" t="str">
        <f ca="1">+WORLDCUP!BD60</f>
        <v>Escocia</v>
      </c>
      <c r="G470" s="9" t="str">
        <f ca="1">+WORLDCUP!BD58</f>
        <v>México</v>
      </c>
      <c r="H470" s="9" t="str">
        <f ca="1">+WORLDCUP!BD61</f>
        <v>Australia</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México</v>
      </c>
      <c r="H471" s="9" t="str">
        <f ca="1">+WORLDCUP!BD61</f>
        <v>Australia</v>
      </c>
      <c r="I471" s="9" t="str">
        <f ca="1">+WORLDCUP!BD62</f>
        <v>Ecuador</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México</v>
      </c>
      <c r="H472" s="9" t="str">
        <f ca="1">+WORLDCUP!BD61</f>
        <v>Australia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México</v>
      </c>
      <c r="H473" s="9" t="str">
        <f ca="1">+WORLDCUP!BD61</f>
        <v>Australia</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México</v>
      </c>
      <c r="H474" s="9" t="str">
        <f ca="1">+WORLDCUP!BD61</f>
        <v>Australia</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México</v>
      </c>
      <c r="H475" s="9" t="str">
        <f ca="1">+WORLDCUP!BD61</f>
        <v>Australia</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México</v>
      </c>
      <c r="H476" s="9" t="str">
        <f ca="1">+WORLDCUP!BD61</f>
        <v>Australia</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México</v>
      </c>
      <c r="H477" s="9" t="str">
        <f ca="1">+WORLDCUP!BD61</f>
        <v>Australia</v>
      </c>
      <c r="I477" s="9" t="str">
        <f ca="1">+WORLDCUP!BD66</f>
        <v>Noruega</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México</v>
      </c>
      <c r="H478" s="9" t="str">
        <f ca="1">+WORLDCUP!BD61</f>
        <v>Australia</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México</v>
      </c>
      <c r="H479" s="9" t="str">
        <f ca="1">+WORLDCUP!BD61</f>
        <v>Australia</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México</v>
      </c>
      <c r="H480" s="9" t="str">
        <f ca="1">+WORLDCUP!BD61</f>
        <v>Australia</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México</v>
      </c>
      <c r="H481" s="9" t="str">
        <f ca="1">+WORLDCUP!BD61</f>
        <v>Australia</v>
      </c>
      <c r="I481" s="9" t="str">
        <f ca="1">+WORLDCUP!BD62</f>
        <v>Ecuador</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Australia</v>
      </c>
      <c r="G482" s="9" t="str">
        <f ca="1">+WORLDCUP!BD58</f>
        <v>México</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México</v>
      </c>
      <c r="H483" s="9" t="str">
        <f ca="1">+WORLDCUP!BD63</f>
        <v>Japón</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México</v>
      </c>
      <c r="H484" s="9" t="str">
        <f ca="1">+WORLDCUP!BD63</f>
        <v>Japón</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Australia</v>
      </c>
      <c r="G485" s="9" t="str">
        <f ca="1">+WORLDCUP!BD58</f>
        <v>México</v>
      </c>
      <c r="H485" s="9" t="str">
        <f ca="1">+WORLDCUP!BD63</f>
        <v>Japón</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Australia</v>
      </c>
      <c r="G486" s="9" t="str">
        <f ca="1">+WORLDCUP!BD58</f>
        <v>México</v>
      </c>
      <c r="H486" s="9" t="str">
        <f ca="1">+WORLDCUP!BD63</f>
        <v>Japón</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México</v>
      </c>
      <c r="H487" s="9" t="str">
        <f ca="1">+WORLDCUP!BD63</f>
        <v>Japón</v>
      </c>
      <c r="I487" s="9" t="str">
        <f ca="1">+WORLDCUP!BD62</f>
        <v>Ecuador</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Japón</v>
      </c>
      <c r="E488" s="9" t="str">
        <f ca="1">+WORLDCUP!BD59</f>
        <v>Bosnia y Herzegovina</v>
      </c>
      <c r="F488" s="9" t="str">
        <f ca="1">+WORLDCUP!BD60</f>
        <v>Escocia</v>
      </c>
      <c r="G488" s="9" t="str">
        <f ca="1">+WORLDCUP!BD58</f>
        <v>México</v>
      </c>
      <c r="H488" s="9" t="str">
        <f ca="1">+WORLDCUP!BD61</f>
        <v>Australia</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Ecuador</v>
      </c>
      <c r="E489" s="9" t="str">
        <f ca="1">+WORLDCUP!BD59</f>
        <v>Bosnia y Herzegovina</v>
      </c>
      <c r="F489" s="9" t="str">
        <f ca="1">+WORLDCUP!BD60</f>
        <v>Escocia</v>
      </c>
      <c r="G489" s="9" t="str">
        <f ca="1">+WORLDCUP!BD58</f>
        <v>México</v>
      </c>
      <c r="H489" s="9" t="str">
        <f ca="1">+WORLDCUP!BD63</f>
        <v>Japón</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México</v>
      </c>
      <c r="H490" s="9" t="str">
        <f ca="1">+WORLDCUP!BD63</f>
        <v>Japón</v>
      </c>
      <c r="I490" s="9" t="str">
        <f ca="1">+WORLDCUP!BD61</f>
        <v>Australia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Ecuador</v>
      </c>
      <c r="E491" s="9" t="str">
        <f ca="1">+WORLDCUP!BD59</f>
        <v>Bosnia y Herzegovina</v>
      </c>
      <c r="F491" s="9" t="str">
        <f ca="1">+WORLDCUP!BD60</f>
        <v>Escocia</v>
      </c>
      <c r="G491" s="9" t="str">
        <f ca="1">+WORLDCUP!BD58</f>
        <v>México</v>
      </c>
      <c r="H491" s="9" t="str">
        <f ca="1">+WORLDCUP!BD63</f>
        <v>Japón</v>
      </c>
      <c r="I491" s="9" t="str">
        <f ca="1">+WORLDCUP!BD61</f>
        <v>Australia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Australia</v>
      </c>
      <c r="G492" s="9" t="str">
        <f ca="1">+WORLDCUP!BD58</f>
        <v>México</v>
      </c>
      <c r="H492" s="9" t="str">
        <f ca="1">+WORLDCUP!BD63</f>
        <v>Japón</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Australia</v>
      </c>
      <c r="G493" s="9" t="str">
        <f ca="1">+WORLDCUP!BD58</f>
        <v>México</v>
      </c>
      <c r="H493" s="9" t="str">
        <f ca="1">+WORLDCUP!BD63</f>
        <v>Japón</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Australia</v>
      </c>
      <c r="G494" s="9" t="str">
        <f ca="1">+WORLDCUP!BD58</f>
        <v>México</v>
      </c>
      <c r="H494" s="9" t="str">
        <f ca="1">+WORLDCUP!BD63</f>
        <v>Japón</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Australia</v>
      </c>
      <c r="G495" s="9" t="str">
        <f ca="1">+WORLDCUP!BD58</f>
        <v>México</v>
      </c>
      <c r="H495" s="9" t="str">
        <f ca="1">+WORLDCUP!BD63</f>
        <v>Japón</v>
      </c>
      <c r="I495" s="9" t="str">
        <f ca="1">+WORLDCUP!BD62</f>
        <v>Ecuador</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México</v>
      </c>
      <c r="H496" s="9" t="str">
        <f ca="1">+WORLDCUP!BD63</f>
        <v>Japón</v>
      </c>
      <c r="I496" s="9" t="str">
        <f ca="1">+WORLDCUP!BD61</f>
        <v>Australia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4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49999999999999"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49999999999999"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49999999999999"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49999999999999"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49999999999999"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49999999999999"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5">
      <c r="L89" s="3"/>
      <c r="M89" s="3"/>
      <c r="N89" s="3"/>
      <c r="O89" s="6"/>
      <c r="P89" s="6"/>
      <c r="Q89" s="6"/>
      <c r="R89" s="6"/>
      <c r="T89" s="16" t="s">
        <v>1479</v>
      </c>
      <c r="U89" s="9" t="s">
        <v>1466</v>
      </c>
      <c r="V89" s="9" t="s">
        <v>1466</v>
      </c>
      <c r="W89" s="585" t="s">
        <v>1468</v>
      </c>
      <c r="X89" s="584" t="e" vm="52">
        <v>#VALUE!</v>
      </c>
      <c r="Y89" s="9">
        <v>-4</v>
      </c>
      <c r="Z89" s="6"/>
      <c r="AA89" s="6"/>
      <c r="AB89" s="6"/>
    </row>
    <row r="90" spans="12:28" ht="15.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26953125" style="6" customWidth="1"/>
    <col min="6" max="6" width="15.26953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1640625" defaultRowHeight="14.5"/>
  <cols>
    <col min="1" max="1" width="13.1796875" style="14" bestFit="1" customWidth="1"/>
    <col min="2" max="2" width="5" style="14" customWidth="1"/>
    <col min="3" max="3" width="12.453125" style="14" customWidth="1"/>
    <col min="4" max="4" width="13.1796875" style="14" customWidth="1"/>
    <col min="5" max="5" width="12.26953125" style="14" bestFit="1" customWidth="1"/>
    <col min="6" max="6" width="10.81640625" style="14"/>
    <col min="7" max="7" width="12.26953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26953125" style="14" bestFit="1" customWidth="1"/>
    <col min="21" max="21" width="10.453125" style="14" customWidth="1"/>
    <col min="22" max="22" width="10.26953125" style="14" customWidth="1"/>
    <col min="23" max="23" width="3.26953125" style="14" bestFit="1" customWidth="1"/>
    <col min="24" max="26" width="10.81640625" style="14"/>
    <col min="27" max="27" width="6.453125" style="14" customWidth="1"/>
    <col min="28" max="33" width="10.81640625" style="14"/>
    <col min="34" max="34" width="3.26953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Duprat Alvaro, Marie-Yaël</cp:lastModifiedBy>
  <cp:lastPrinted>2018-12-06T18:06:35Z</cp:lastPrinted>
  <dcterms:created xsi:type="dcterms:W3CDTF">2015-10-31T09:41:54Z</dcterms:created>
  <dcterms:modified xsi:type="dcterms:W3CDTF">2026-06-28T16:23:30Z</dcterms:modified>
</cp:coreProperties>
</file>