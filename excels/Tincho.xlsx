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marie.duprat.alvaro\Downloads\"/>
    </mc:Choice>
  </mc:AlternateContent>
  <xr:revisionPtr revIDLastSave="0" documentId="8_{5BB08D99-1C2B-417E-8656-AC3F041A25E0}"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110" yWindow="-110" windowWidth="19420" windowHeight="11500" tabRatio="749" activeTab="2"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s="1"/>
  <c r="D104" i="36"/>
  <c r="D105" i="36"/>
  <c r="C4" i="31" s="1"/>
  <c r="D140" i="36"/>
  <c r="B80" i="31" s="1"/>
  <c r="D152" i="36"/>
  <c r="B92" i="31" s="1"/>
  <c r="D108" i="36"/>
  <c r="E4" i="31" s="1"/>
  <c r="D136" i="36"/>
  <c r="B239" i="31" s="1"/>
  <c r="D160" i="36"/>
  <c r="B100" i="31" s="1"/>
  <c r="D155" i="36"/>
  <c r="B95" i="31" s="1"/>
  <c r="D49" i="36"/>
  <c r="AL149" i="3" s="1"/>
  <c r="D120" i="36"/>
  <c r="E253" i="31" s="1"/>
  <c r="D159" i="36"/>
  <c r="B99" i="31" s="1"/>
  <c r="D15" i="36"/>
  <c r="C7" i="30" s="1"/>
  <c r="D129" i="36"/>
  <c r="B181" i="31" s="1"/>
  <c r="D169" i="36"/>
  <c r="B109" i="31" s="1"/>
  <c r="D190" i="36"/>
  <c r="B210" i="31" s="1"/>
  <c r="B211" i="31" s="1"/>
  <c r="B212" i="31" s="1"/>
  <c r="B213" i="31" s="1"/>
  <c r="B214" i="31" s="1"/>
  <c r="B215" i="31" s="1"/>
  <c r="B216" i="31" s="1"/>
  <c r="B217" i="31" s="1"/>
  <c r="D138" i="36"/>
  <c r="B246" i="31" s="1"/>
  <c r="D132" i="36"/>
  <c r="B219" i="31" s="1"/>
  <c r="D21" i="36"/>
  <c r="AC3" i="3" s="1"/>
  <c r="D31" i="36"/>
  <c r="W141" i="3" s="1"/>
  <c r="D106" i="36"/>
  <c r="E1" i="31" s="1"/>
  <c r="D81" i="36"/>
  <c r="B16" i="34" s="1"/>
  <c r="D107" i="36"/>
  <c r="E3" i="31" s="1"/>
  <c r="D193" i="36"/>
  <c r="B240" i="31" s="1"/>
  <c r="B241" i="31" s="1"/>
  <c r="D51" i="36"/>
  <c r="AJ5" i="3" s="1"/>
  <c r="D186" i="36"/>
  <c r="B126" i="31" s="1"/>
  <c r="D33" i="36"/>
  <c r="AA149" i="3" s="1"/>
  <c r="D19" i="36"/>
  <c r="Z3" i="3" s="1"/>
  <c r="D175" i="36"/>
  <c r="B115" i="31" s="1"/>
  <c r="D183" i="36"/>
  <c r="B123" i="31" s="1"/>
  <c r="D40" i="36"/>
  <c r="W158" i="3" s="1"/>
  <c r="B256" i="31" s="1"/>
  <c r="D24" i="36"/>
  <c r="AV3" i="3" s="1"/>
  <c r="D37" i="36"/>
  <c r="W154" i="3" s="1"/>
  <c r="B253" i="31" s="1"/>
  <c r="D17" i="36"/>
  <c r="X3" i="3" s="1"/>
  <c r="D171" i="36"/>
  <c r="B111" i="31" s="1"/>
  <c r="D187" i="36"/>
  <c r="B127" i="31" s="1"/>
  <c r="D39" i="36"/>
  <c r="W156" i="3" s="1"/>
  <c r="B255" i="31" s="1"/>
  <c r="D38" i="36"/>
  <c r="W155" i="3" s="1"/>
  <c r="B254" i="31" s="1"/>
  <c r="D264" i="36"/>
  <c r="D263" i="36"/>
  <c r="D269" i="36"/>
  <c r="D266" i="36"/>
  <c r="D125" i="36"/>
  <c r="B5" i="31" s="1"/>
  <c r="D69" i="36"/>
  <c r="D255" i="36"/>
  <c r="D271" i="36"/>
  <c r="D259" i="36"/>
  <c r="D70" i="36"/>
  <c r="D95" i="36"/>
  <c r="L21" i="34" s="1"/>
  <c r="D88" i="36"/>
  <c r="L12" i="34" s="1"/>
  <c r="D89" i="36"/>
  <c r="L13" i="34" s="1"/>
  <c r="D91" i="36"/>
  <c r="L15" i="34" s="1"/>
  <c r="D10" i="36"/>
  <c r="D52" i="36"/>
  <c r="AL5" i="3" s="1"/>
  <c r="D30" i="36"/>
  <c r="W136" i="3" s="1"/>
  <c r="D60" i="36"/>
  <c r="AT5" i="3" s="1"/>
  <c r="AT45" i="3" s="1"/>
  <c r="D22" i="36"/>
  <c r="AF3" i="3" s="1"/>
  <c r="D256" i="36" l="1"/>
  <c r="D85" i="36"/>
  <c r="L5" i="34" s="1"/>
  <c r="D35" i="36"/>
  <c r="W151" i="3" s="1"/>
  <c r="B251" i="31" s="1"/>
  <c r="D66" i="36"/>
  <c r="D164" i="36"/>
  <c r="B104" i="31" s="1"/>
  <c r="D47" i="36"/>
  <c r="AL148" i="3" s="1"/>
  <c r="D182" i="36"/>
  <c r="B122" i="31" s="1"/>
  <c r="D142" i="36"/>
  <c r="B82" i="31" s="1"/>
  <c r="D148" i="36"/>
  <c r="B88" i="31" s="1"/>
  <c r="D143" i="36"/>
  <c r="B83" i="31" s="1"/>
  <c r="D145" i="36"/>
  <c r="B85" i="31" s="1"/>
  <c r="D4" i="36"/>
  <c r="K6" i="30" s="1"/>
  <c r="D192" i="36"/>
  <c r="B237" i="31" s="1"/>
  <c r="D56" i="36"/>
  <c r="AP5" i="3" s="1"/>
  <c r="AP53" i="3" s="1"/>
  <c r="D94" i="36"/>
  <c r="L20" i="34" s="1"/>
  <c r="D8" i="36"/>
  <c r="B3" i="30" s="1"/>
  <c r="D262" i="36"/>
  <c r="D127" i="36"/>
  <c r="B129" i="31" s="1"/>
  <c r="D184" i="36"/>
  <c r="B124" i="31" s="1"/>
  <c r="D41" i="36"/>
  <c r="W159" i="3" s="1"/>
  <c r="B257" i="31" s="1"/>
  <c r="D181" i="36"/>
  <c r="B121" i="31" s="1"/>
  <c r="D48" i="36"/>
  <c r="AM148" i="3" s="1"/>
  <c r="D111" i="36"/>
  <c r="E30" i="31" s="1"/>
  <c r="D119" i="36"/>
  <c r="E244" i="31" s="1"/>
  <c r="D25" i="36"/>
  <c r="D261" i="36"/>
  <c r="D93" i="36"/>
  <c r="D9" i="36"/>
  <c r="D46" i="36"/>
  <c r="C9" i="30" s="1"/>
  <c r="D172" i="36"/>
  <c r="B112" i="31" s="1"/>
  <c r="D168" i="36"/>
  <c r="B108" i="31" s="1"/>
  <c r="D189" i="36"/>
  <c r="B182" i="31" s="1"/>
  <c r="B183" i="31" s="1"/>
  <c r="B184" i="31" s="1"/>
  <c r="B185" i="31" s="1"/>
  <c r="B186" i="31" s="1"/>
  <c r="B187" i="31" s="1"/>
  <c r="B188" i="31" s="1"/>
  <c r="B189" i="31" s="1"/>
  <c r="B190" i="31" s="1"/>
  <c r="B191" i="31" s="1"/>
  <c r="B192" i="31" s="1"/>
  <c r="B193" i="31" s="1"/>
  <c r="B194" i="31" s="1"/>
  <c r="B195" i="31" s="1"/>
  <c r="B196" i="31" s="1"/>
  <c r="B197" i="31" s="1"/>
  <c r="D146" i="36"/>
  <c r="B86" i="31" s="1"/>
  <c r="D5" i="36"/>
  <c r="D113" i="36"/>
  <c r="E162" i="31" s="1"/>
  <c r="D102" i="36"/>
  <c r="C1" i="31" s="1"/>
  <c r="D154" i="36"/>
  <c r="B94" i="31" s="1"/>
  <c r="E16" i="30"/>
  <c r="D34" i="36"/>
  <c r="W150" i="3" s="1"/>
  <c r="B250" i="31" s="1"/>
  <c r="D54" i="36"/>
  <c r="AN5" i="3" s="1"/>
  <c r="AN21" i="3" s="1"/>
  <c r="D84" i="36"/>
  <c r="L4" i="34" s="1"/>
  <c r="D87" i="36"/>
  <c r="L11" i="34" s="1"/>
  <c r="D260" i="36"/>
  <c r="D27" i="36"/>
  <c r="W99" i="3" s="1"/>
  <c r="D43" i="36"/>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W1" i="3"/>
  <c r="Z64" i="3"/>
  <c r="Z81" i="3"/>
  <c r="Z96" i="3"/>
  <c r="Z73" i="3"/>
  <c r="Z80" i="3"/>
  <c r="Z56" i="3"/>
  <c r="Z33" i="3"/>
  <c r="AJ29" i="3"/>
  <c r="AJ21" i="3"/>
  <c r="AJ45" i="3"/>
  <c r="C253" i="31"/>
  <c r="D72" i="36"/>
  <c r="AY3" i="3" s="1"/>
  <c r="D273" i="36"/>
  <c r="EU6144" i="34"/>
  <c r="G227" i="36" s="1"/>
  <c r="D227" i="36" s="1"/>
  <c r="K27" i="6" s="1"/>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14" i="3"/>
  <c r="AJ77" i="3"/>
  <c r="AJ53" i="3"/>
  <c r="AP85" i="3"/>
  <c r="AP93" i="3"/>
  <c r="AP29" i="3"/>
  <c r="AP37" i="3"/>
  <c r="AO69" i="3"/>
  <c r="AO21" i="3"/>
  <c r="AO53" i="3"/>
  <c r="AF100" i="3"/>
  <c r="AF130" i="3"/>
  <c r="AJ37" i="3"/>
  <c r="Z84" i="3" l="1"/>
  <c r="Z31" i="3"/>
  <c r="Z61" i="3"/>
  <c r="AN45" i="3"/>
  <c r="AZ69" i="3"/>
  <c r="Z28" i="3"/>
  <c r="AN13" i="3"/>
  <c r="Z93" i="3"/>
  <c r="BF5" i="3"/>
  <c r="BF57" i="3" s="1"/>
  <c r="B227" i="31"/>
  <c r="Z46" i="3"/>
  <c r="Z15" i="3"/>
  <c r="Z30" i="3"/>
  <c r="AN93" i="3"/>
  <c r="Z36" i="3"/>
  <c r="Z41" i="3"/>
  <c r="Z92" i="3"/>
  <c r="C258" i="3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l="1"/>
  <c r="AG155" i="3"/>
  <c r="AG159" i="3"/>
  <c r="AG160" i="3"/>
  <c r="AG154" i="3"/>
  <c r="C255" i="31"/>
  <c r="AG156" i="3"/>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F28" i="45" s="1"/>
  <c r="AA32" i="3"/>
  <c r="C31" i="45" s="1"/>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B13" i="31" l="1"/>
  <c r="AE29" i="3" a="1"/>
  <c r="AE29" i="3" s="1"/>
  <c r="AB32" i="3" a="1"/>
  <c r="AB32" i="3" s="1"/>
  <c r="B60" i="31"/>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0" i="3" l="1"/>
  <c r="BL26" i="3"/>
  <c r="BL9" i="3"/>
  <c r="BE48"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143" i="32" l="1"/>
  <c r="X143" i="3" s="1"/>
  <c r="C120" i="32"/>
  <c r="X120" i="3" s="1"/>
  <c r="C85" i="32"/>
  <c r="X85" i="3" s="1"/>
  <c r="C13" i="32"/>
  <c r="Y13" i="3" s="1"/>
  <c r="C78" i="32"/>
  <c r="Y78" i="3" s="1"/>
  <c r="C84" i="32"/>
  <c r="X84" i="3" s="1"/>
  <c r="C12" i="32"/>
  <c r="X12" i="3" s="1"/>
  <c r="C62" i="32"/>
  <c r="Y62" i="3" s="1"/>
  <c r="C14" i="32"/>
  <c r="X14" i="3" s="1"/>
  <c r="C54" i="32"/>
  <c r="Y54" i="3" s="1"/>
  <c r="C21" i="32"/>
  <c r="X21" i="3" s="1"/>
  <c r="C94" i="32"/>
  <c r="X94" i="3" s="1"/>
  <c r="C110" i="32"/>
  <c r="X110" i="3" s="1"/>
  <c r="C134" i="32"/>
  <c r="Y134" i="3" s="1"/>
  <c r="C93" i="32"/>
  <c r="Y93" i="3" s="1"/>
  <c r="C9" i="32"/>
  <c r="X9" i="3" s="1"/>
  <c r="C45" i="32"/>
  <c r="X45" i="3" s="1"/>
  <c r="C17" i="32"/>
  <c r="X17" i="3" s="1"/>
  <c r="C105" i="32"/>
  <c r="X105" i="3" s="1"/>
  <c r="C41" i="32"/>
  <c r="X41" i="3" s="1"/>
  <c r="C101" i="32"/>
  <c r="Y101" i="3" s="1"/>
  <c r="C55" i="32"/>
  <c r="Y55" i="3" s="1"/>
  <c r="C16" i="32"/>
  <c r="X16" i="3" s="1"/>
  <c r="C86" i="32"/>
  <c r="X86" i="3" s="1"/>
  <c r="C79" i="32"/>
  <c r="Y79" i="3" s="1"/>
  <c r="C61" i="32"/>
  <c r="X61" i="3" s="1"/>
  <c r="C103" i="32"/>
  <c r="X103" i="3" s="1"/>
  <c r="C29" i="32"/>
  <c r="Y29" i="3" s="1"/>
  <c r="C49" i="32"/>
  <c r="X49" i="3" s="1"/>
  <c r="C116" i="32"/>
  <c r="X116" i="3" s="1"/>
  <c r="C7" i="32"/>
  <c r="X7" i="3" s="1"/>
  <c r="C88" i="32"/>
  <c r="X88" i="3" s="1"/>
  <c r="C69" i="32"/>
  <c r="Y69" i="3" s="1"/>
  <c r="C28" i="32"/>
  <c r="X28" i="3" s="1"/>
  <c r="C23" i="32"/>
  <c r="X23" i="3" s="1"/>
  <c r="C92" i="32"/>
  <c r="X92" i="3" s="1"/>
  <c r="C20" i="32"/>
  <c r="Y20" i="3" s="1"/>
  <c r="C6" i="32"/>
  <c r="X6" i="3" s="1"/>
  <c r="C65" i="32"/>
  <c r="Y65" i="3" s="1"/>
  <c r="C138" i="32"/>
  <c r="Y138" i="3" s="1"/>
  <c r="C56" i="32"/>
  <c r="X56" i="3" s="1"/>
  <c r="C108" i="32"/>
  <c r="Y108" i="3" s="1"/>
  <c r="C125" i="32"/>
  <c r="Y125" i="3" s="1"/>
  <c r="C60" i="32"/>
  <c r="Y60" i="3" s="1"/>
  <c r="C5" i="32"/>
  <c r="Y5" i="3" s="1"/>
  <c r="C106" i="32"/>
  <c r="Y106" i="3" s="1"/>
  <c r="C33" i="32"/>
  <c r="X33" i="3" s="1"/>
  <c r="C64" i="32"/>
  <c r="Y64" i="3" s="1"/>
  <c r="C113" i="32"/>
  <c r="X113" i="3" s="1"/>
  <c r="C139" i="32"/>
  <c r="X139" i="3" s="1"/>
  <c r="C38" i="32"/>
  <c r="Y38" i="3" s="1"/>
  <c r="C31" i="32"/>
  <c r="Y31" i="3" s="1"/>
  <c r="C115" i="32"/>
  <c r="Y115" i="3" s="1"/>
  <c r="C95" i="32"/>
  <c r="X95" i="3" s="1"/>
  <c r="C25" i="32"/>
  <c r="X25" i="3" s="1"/>
  <c r="C81" i="32"/>
  <c r="X81" i="3" s="1"/>
  <c r="C53" i="32"/>
  <c r="Y53" i="3" s="1"/>
  <c r="C127" i="32"/>
  <c r="X127" i="3" s="1"/>
  <c r="C4" i="32"/>
  <c r="X4" i="3" s="1"/>
  <c r="C114" i="32"/>
  <c r="X114" i="3" s="1"/>
  <c r="C102" i="32"/>
  <c r="X102" i="3" s="1"/>
  <c r="C57" i="32"/>
  <c r="Y57" i="3" s="1"/>
  <c r="C122" i="32"/>
  <c r="Y122" i="3" s="1"/>
  <c r="C48" i="32"/>
  <c r="Y48" i="3" s="1"/>
  <c r="C124" i="32"/>
  <c r="Y124"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43" i="3" l="1"/>
  <c r="Y120" i="3"/>
  <c r="X78" i="3"/>
  <c r="Y84" i="3"/>
  <c r="Y85" i="3"/>
  <c r="X13" i="3"/>
  <c r="X54" i="3"/>
  <c r="Y17" i="3"/>
  <c r="X134" i="3"/>
  <c r="X55" i="3"/>
  <c r="Y116" i="3"/>
  <c r="Y12" i="3"/>
  <c r="X62" i="3"/>
  <c r="Y88" i="3"/>
  <c r="Y41" i="3"/>
  <c r="Y94" i="3"/>
  <c r="X20" i="3"/>
  <c r="X69" i="3"/>
  <c r="Y14" i="3"/>
  <c r="Y110" i="3"/>
  <c r="X101" i="3"/>
  <c r="Y21" i="3"/>
  <c r="X93" i="3"/>
  <c r="Y105" i="3"/>
  <c r="Y92" i="3"/>
  <c r="Y9" i="3"/>
  <c r="X48" i="3"/>
  <c r="X31" i="3"/>
  <c r="X64" i="3"/>
  <c r="Y86" i="3"/>
  <c r="X138" i="3"/>
  <c r="Y81" i="3"/>
  <c r="X24" i="3"/>
  <c r="X60" i="3"/>
  <c r="X29" i="3"/>
  <c r="X79" i="3"/>
  <c r="Y49" i="3"/>
  <c r="Y45" i="3"/>
  <c r="Y56" i="3"/>
  <c r="Y61" i="3"/>
  <c r="Y16" i="3"/>
  <c r="Y103" i="3"/>
  <c r="Y7" i="3"/>
  <c r="X57" i="3"/>
  <c r="X65" i="3"/>
  <c r="Y139" i="3"/>
  <c r="Y28" i="3"/>
  <c r="X125" i="3"/>
  <c r="X108" i="3"/>
  <c r="Y23" i="3"/>
  <c r="Y6" i="3"/>
  <c r="X106" i="3"/>
  <c r="X89" i="3"/>
  <c r="X68" i="3"/>
  <c r="X115" i="3"/>
  <c r="Y113" i="3"/>
  <c r="X53" i="3"/>
  <c r="X5" i="3"/>
  <c r="Y4" i="3"/>
  <c r="Y76" i="3"/>
  <c r="X122" i="3"/>
  <c r="Y33" i="3"/>
  <c r="Y133" i="3"/>
  <c r="X38" i="3"/>
  <c r="Y25" i="3"/>
  <c r="X131" i="3"/>
  <c r="Y95" i="3"/>
  <c r="Y127" i="3"/>
  <c r="X44" i="3"/>
  <c r="X47" i="3"/>
  <c r="Y121" i="3"/>
  <c r="Y22" i="3"/>
  <c r="Y104" i="3"/>
  <c r="Y114" i="3"/>
  <c r="X63" i="3"/>
  <c r="X124" i="3"/>
  <c r="X123" i="3"/>
  <c r="Y102"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BW52" i="3" s="1"/>
  <c r="E69" i="3"/>
  <c r="E33" i="3"/>
  <c r="F70" i="3"/>
  <c r="F28" i="3"/>
  <c r="F24" i="3"/>
  <c r="E23" i="3"/>
  <c r="E20" i="3"/>
  <c r="E96" i="3"/>
  <c r="BW50" i="3" s="1"/>
  <c r="F93" i="3"/>
  <c r="E95" i="3"/>
  <c r="BU51" i="3" s="1"/>
  <c r="BU53" i="3"/>
  <c r="E47" i="3"/>
  <c r="E49" i="3"/>
  <c r="F45" i="3"/>
  <c r="E37" i="3"/>
  <c r="F40" i="3"/>
  <c r="BU23" i="3" s="1"/>
  <c r="F38" i="3"/>
  <c r="F32" i="3"/>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E40" i="3"/>
  <c r="F48" i="3"/>
  <c r="F46" i="3"/>
  <c r="E45" i="3"/>
  <c r="BW29" i="3" s="1"/>
  <c r="F92" i="3"/>
  <c r="F95" i="3"/>
  <c r="BW53" i="3" s="1"/>
  <c r="E97" i="3"/>
  <c r="BV52" i="3" s="1"/>
  <c r="F81" i="3"/>
  <c r="E76" i="3"/>
  <c r="BW43" i="3" s="1"/>
  <c r="E78" i="3"/>
  <c r="BW44" i="3" s="1"/>
  <c r="E48" i="3"/>
  <c r="F44" i="3"/>
  <c r="F47" i="3"/>
  <c r="E38" i="3"/>
  <c r="BW24" i="3" s="1"/>
  <c r="BW22" i="3"/>
  <c r="F41" i="3"/>
  <c r="E36" i="3"/>
  <c r="BW23" i="3" s="1"/>
  <c r="E39" i="3"/>
  <c r="F37" i="3"/>
  <c r="E41" i="3"/>
  <c r="BW34" i="3"/>
  <c r="E62" i="3"/>
  <c r="E60" i="3"/>
  <c r="F65" i="3"/>
  <c r="E87" i="3"/>
  <c r="E88" i="3"/>
  <c r="BW46" i="3" s="1"/>
  <c r="F85" i="3"/>
  <c r="BU48" i="3" s="1"/>
  <c r="E14" i="3"/>
  <c r="F13" i="3"/>
  <c r="BU12" i="3" s="1"/>
  <c r="E16" i="3"/>
  <c r="BW10" i="3" s="1"/>
  <c r="F17" i="3"/>
  <c r="BU11" i="3" s="1"/>
  <c r="F15" i="3"/>
  <c r="E13" i="3"/>
  <c r="BW13" i="3" s="1"/>
  <c r="E4" i="3"/>
  <c r="E7" i="3"/>
  <c r="F8" i="3"/>
  <c r="E44" i="3"/>
  <c r="BW27" i="3" s="1"/>
  <c r="E46" i="3"/>
  <c r="BW28" i="3" s="1"/>
  <c r="BW26" i="3"/>
  <c r="F49" i="3"/>
  <c r="BU29" i="3" s="1"/>
  <c r="E73" i="3"/>
  <c r="F68" i="3"/>
  <c r="F71" i="3"/>
  <c r="E71" i="3"/>
  <c r="E72" i="3"/>
  <c r="F69" i="3"/>
  <c r="E55" i="3"/>
  <c r="BU31" i="3" s="1"/>
  <c r="E57" i="3"/>
  <c r="F55" i="3"/>
  <c r="BU33" i="3" s="1"/>
  <c r="F52" i="3"/>
  <c r="BU30" i="3" s="1"/>
  <c r="F25" i="3"/>
  <c r="BW15" i="3" s="1"/>
  <c r="E21" i="3"/>
  <c r="BU17" i="3" s="1"/>
  <c r="F23" i="3"/>
  <c r="E84" i="3"/>
  <c r="F88" i="3"/>
  <c r="E86" i="3"/>
  <c r="E17" i="3"/>
  <c r="F14" i="3"/>
  <c r="F12" i="3"/>
  <c r="E22" i="3"/>
  <c r="E24" i="3"/>
  <c r="F21" i="3"/>
  <c r="BU16" i="3" s="1"/>
  <c r="E29" i="3"/>
  <c r="BW21" i="3" s="1"/>
  <c r="F30" i="3"/>
  <c r="F33" i="3"/>
  <c r="BU19" i="3" s="1"/>
  <c r="BU45" i="3"/>
  <c r="E81" i="3"/>
  <c r="E79" i="3"/>
  <c r="BU43" i="3" s="1"/>
  <c r="F77" i="3"/>
  <c r="BU44" i="3" s="1"/>
  <c r="F61" i="3"/>
  <c r="BW36" i="3" s="1"/>
  <c r="E65" i="3"/>
  <c r="E63" i="3"/>
  <c r="E9" i="3"/>
  <c r="F4" i="3"/>
  <c r="F6" i="3"/>
  <c r="F79" i="3"/>
  <c r="E80" i="3"/>
  <c r="F76" i="3"/>
  <c r="BW42" i="3" s="1"/>
  <c r="F80" i="3"/>
  <c r="E77" i="3"/>
  <c r="BW45" i="3" s="1"/>
  <c r="F78" i="3"/>
  <c r="E61" i="3"/>
  <c r="BW37" i="3" s="1"/>
  <c r="F62" i="3"/>
  <c r="BU34" i="3" s="1"/>
  <c r="BU36" i="3"/>
  <c r="F64" i="3"/>
  <c r="BU35" i="3" s="1"/>
  <c r="F72" i="3"/>
  <c r="E68" i="3"/>
  <c r="BW39" i="3" s="1"/>
  <c r="BW38" i="3"/>
  <c r="E70" i="3"/>
  <c r="BU38" i="3" l="1"/>
  <c r="BW41" i="3"/>
  <c r="BU25" i="3"/>
  <c r="BW25" i="3"/>
  <c r="BU28" i="3"/>
  <c r="BU26" i="3"/>
  <c r="BU41" i="3"/>
  <c r="BU42" i="3"/>
  <c r="BW40" i="3"/>
  <c r="BW35" i="3"/>
  <c r="BU37" i="3"/>
  <c r="BU24" i="3"/>
  <c r="BU22" i="3"/>
  <c r="BU27" i="3"/>
  <c r="BU21" i="3"/>
  <c r="BV50" i="3"/>
  <c r="BV51" i="3"/>
  <c r="BX51" i="3" s="1"/>
  <c r="BV53" i="3"/>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V11" i="3"/>
  <c r="BX11" i="3" s="1"/>
  <c r="BV15" i="3"/>
  <c r="BV14" i="3"/>
  <c r="BV16" i="3"/>
  <c r="BX16" i="3" s="1"/>
  <c r="BV12" i="3"/>
  <c r="BX12" i="3" s="1"/>
  <c r="BV10" i="3"/>
  <c r="BV7" i="3"/>
  <c r="BU8" i="3"/>
  <c r="BU7" i="3"/>
  <c r="BW6" i="3"/>
  <c r="BU46" i="3"/>
  <c r="BW48" i="3"/>
  <c r="BW17" i="3"/>
  <c r="BW33" i="3"/>
  <c r="BU49" i="3"/>
  <c r="BU52" i="3"/>
  <c r="BX52" i="3" s="1"/>
  <c r="BU50" i="3"/>
  <c r="BU18" i="3"/>
  <c r="BV26" i="3"/>
  <c r="BV38" i="3"/>
  <c r="BV36" i="3"/>
  <c r="BX36" i="3" s="1"/>
  <c r="BV40" i="3"/>
  <c r="BX40" i="3" s="1"/>
  <c r="BV41" i="3"/>
  <c r="BV39" i="3"/>
  <c r="BX39" i="3" s="1"/>
  <c r="BV34" i="3"/>
  <c r="BX34" i="3" s="1"/>
  <c r="BV37" i="3"/>
  <c r="BX37" i="3" s="1"/>
  <c r="BV35" i="3"/>
  <c r="BX35" i="3" s="1"/>
  <c r="BW30" i="3"/>
  <c r="BV29" i="3"/>
  <c r="BX29" i="3" s="1"/>
  <c r="BV28" i="3"/>
  <c r="BV27" i="3"/>
  <c r="BV22" i="3"/>
  <c r="BV23" i="3"/>
  <c r="BX23" i="3" s="1"/>
  <c r="BV24" i="3"/>
  <c r="BV25" i="3"/>
  <c r="BW20" i="3"/>
  <c r="BU10" i="3"/>
  <c r="BU13" i="3"/>
  <c r="BW11" i="3"/>
  <c r="BW14" i="3"/>
  <c r="BW19" i="3"/>
  <c r="BW12" i="3"/>
  <c r="BU15" i="3"/>
  <c r="BW16" i="3"/>
  <c r="BU14" i="3"/>
  <c r="BW7" i="3"/>
  <c r="BU6" i="3"/>
  <c r="BW8" i="3"/>
  <c r="BU9" i="3"/>
  <c r="BW9" i="3"/>
  <c r="BX53" i="3"/>
  <c r="BV9" i="3"/>
  <c r="BV8" i="3"/>
  <c r="BV6" i="3"/>
  <c r="BW49" i="3"/>
  <c r="BW31" i="3"/>
  <c r="BW47" i="3"/>
  <c r="BX32" i="3"/>
  <c r="BX38" i="3" l="1"/>
  <c r="BX25" i="3"/>
  <c r="BX18" i="3"/>
  <c r="BX21" i="3"/>
  <c r="BX28" i="3"/>
  <c r="BX26" i="3"/>
  <c r="BX41" i="3"/>
  <c r="BX27" i="3"/>
  <c r="BX24" i="3"/>
  <c r="BX22"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I24" i="3" s="1"/>
  <c r="BZ18" i="3"/>
  <c r="H30" i="3" s="1"/>
  <c r="BZ16" i="3"/>
  <c r="I25" i="3" s="1"/>
  <c r="BZ49" i="3"/>
  <c r="I85" i="3" s="1"/>
  <c r="BZ51" i="3"/>
  <c r="H97" i="3" s="1"/>
  <c r="BZ22" i="3"/>
  <c r="H38" i="3" s="1"/>
  <c r="BZ8" i="3"/>
  <c r="I7" i="3" s="1"/>
  <c r="BZ29" i="3"/>
  <c r="H49" i="3" s="1"/>
  <c r="BZ15" i="3"/>
  <c r="I22"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5" i="3" l="1"/>
  <c r="H78" i="3"/>
  <c r="H23" i="3"/>
  <c r="H20" i="3"/>
  <c r="H8" i="3"/>
  <c r="I20" i="3"/>
  <c r="H6" i="3"/>
  <c r="H21" i="3"/>
  <c r="I23" i="3"/>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H40" i="3"/>
  <c r="I14" i="3"/>
  <c r="H12" i="3"/>
  <c r="I33" i="3"/>
  <c r="I94" i="3"/>
  <c r="I12" i="3"/>
  <c r="H15" i="3"/>
  <c r="CB12" i="3" s="1"/>
  <c r="CA20" i="3"/>
  <c r="H36" i="3"/>
  <c r="H55" i="3"/>
  <c r="H60" i="3"/>
  <c r="I57" i="3"/>
  <c r="I95" i="3"/>
  <c r="H63" i="3"/>
  <c r="I4" i="3"/>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A17" i="3"/>
  <c r="I76" i="3"/>
  <c r="I52" i="3"/>
  <c r="H86" i="3"/>
  <c r="I55" i="3"/>
  <c r="H84" i="3"/>
  <c r="I21" i="3"/>
  <c r="CA16" i="3" s="1"/>
  <c r="CB26" i="3"/>
  <c r="CB17" i="3"/>
  <c r="CA26" i="3"/>
  <c r="CA46" i="3" l="1"/>
  <c r="CB44" i="3"/>
  <c r="CA13" i="3"/>
  <c r="CB15" i="3"/>
  <c r="CA6" i="3"/>
  <c r="CA14" i="3"/>
  <c r="CB14" i="3"/>
  <c r="CB19" i="3"/>
  <c r="CB53" i="3"/>
  <c r="CA45" i="3"/>
  <c r="CB45" i="3"/>
  <c r="CB46" i="3"/>
  <c r="CB18" i="3"/>
  <c r="CA50" i="3"/>
  <c r="CB34" i="3"/>
  <c r="CB43" i="3"/>
  <c r="CC43" i="3" s="1"/>
  <c r="CA53" i="3"/>
  <c r="CC53" i="3" s="1"/>
  <c r="CA52" i="3"/>
  <c r="CC52" i="3" s="1"/>
  <c r="CB50" i="3"/>
  <c r="CB49" i="3"/>
  <c r="CC49" i="3" s="1"/>
  <c r="CA34" i="3"/>
  <c r="CA33" i="3"/>
  <c r="CA19" i="3"/>
  <c r="CB21" i="3"/>
  <c r="CA31" i="3"/>
  <c r="CA47" i="3"/>
  <c r="CB42" i="3"/>
  <c r="CB31" i="3"/>
  <c r="CB47" i="3"/>
  <c r="CA48" i="3"/>
  <c r="CB30" i="3"/>
  <c r="CB48" i="3"/>
  <c r="CA18" i="3"/>
  <c r="CA42" i="3"/>
  <c r="CA35" i="3"/>
  <c r="CB33" i="3"/>
  <c r="CB35" i="3"/>
  <c r="CA15" i="3"/>
  <c r="CA44" i="3"/>
  <c r="CC32" i="3"/>
  <c r="CA30" i="3"/>
  <c r="CA12" i="3"/>
  <c r="CC12" i="3" s="1"/>
  <c r="CB6" i="3"/>
  <c r="CB51" i="3"/>
  <c r="CA22" i="3"/>
  <c r="CC22" i="3" s="1"/>
  <c r="CB10" i="3"/>
  <c r="CC20" i="3"/>
  <c r="CA21" i="3"/>
  <c r="CB16" i="3"/>
  <c r="CC16" i="3" s="1"/>
  <c r="CC17" i="3"/>
  <c r="CA8" i="3"/>
  <c r="CC8" i="3" s="1"/>
  <c r="CB11" i="3"/>
  <c r="CB13" i="3"/>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46" i="3" l="1"/>
  <c r="CC19" i="3"/>
  <c r="CC44" i="3"/>
  <c r="CC13" i="3"/>
  <c r="CC6" i="3"/>
  <c r="CC15" i="3"/>
  <c r="CC14"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13" i="3" l="1"/>
  <c r="K12" i="3"/>
  <c r="L84" i="3"/>
  <c r="K24" i="3"/>
  <c r="K93" i="3"/>
  <c r="L97" i="3"/>
  <c r="L87" i="3"/>
  <c r="K14" i="3"/>
  <c r="CF48" i="3"/>
  <c r="K23" i="3"/>
  <c r="L86" i="3"/>
  <c r="L89" i="3"/>
  <c r="K85" i="3"/>
  <c r="L38" i="3"/>
  <c r="K4" i="3"/>
  <c r="K8" i="3"/>
  <c r="K28" i="3"/>
  <c r="L71" i="3"/>
  <c r="K55" i="3"/>
  <c r="L4" i="3"/>
  <c r="L70" i="3"/>
  <c r="L73" i="3"/>
  <c r="L20" i="3"/>
  <c r="L48" i="3"/>
  <c r="L6" i="3"/>
  <c r="K36" i="3"/>
  <c r="K61" i="3"/>
  <c r="L52" i="3"/>
  <c r="L88" i="3"/>
  <c r="K45" i="3"/>
  <c r="K57" i="3"/>
  <c r="CF30" i="3" s="1"/>
  <c r="K6" i="3"/>
  <c r="L76" i="3"/>
  <c r="L31" i="3"/>
  <c r="CF8" i="3"/>
  <c r="L39" i="3"/>
  <c r="K94" i="3"/>
  <c r="K30" i="3"/>
  <c r="L79" i="3"/>
  <c r="L65" i="3"/>
  <c r="L55" i="3"/>
  <c r="K60" i="3"/>
  <c r="K84" i="3"/>
  <c r="K17" i="3"/>
  <c r="L68" i="3"/>
  <c r="K29" i="3"/>
  <c r="K5" i="3"/>
  <c r="L29" i="3"/>
  <c r="K13" i="3"/>
  <c r="K48" i="3"/>
  <c r="K92" i="3"/>
  <c r="L17" i="3"/>
  <c r="CF11" i="3" s="1"/>
  <c r="K21" i="3"/>
  <c r="CF17" i="3" s="1"/>
  <c r="L36" i="3"/>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49" i="3" l="1"/>
  <c r="CF21" i="3"/>
  <c r="CF22" i="3"/>
  <c r="CF14" i="3"/>
  <c r="CF46" i="3"/>
  <c r="CF35" i="3"/>
  <c r="CF3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N79" i="3" s="1"/>
  <c r="CH44" i="3"/>
  <c r="O80" i="3" s="1"/>
  <c r="CH34" i="3"/>
  <c r="N62" i="3" s="1"/>
  <c r="CH37" i="3"/>
  <c r="N63" i="3" s="1"/>
  <c r="CH16" i="3"/>
  <c r="N21" i="3" s="1"/>
  <c r="CH31" i="3"/>
  <c r="N56" i="3" s="1"/>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l="1"/>
  <c r="N96" i="3"/>
  <c r="O93" i="3"/>
  <c r="CI52" i="3" s="1"/>
  <c r="O97" i="3"/>
  <c r="N95" i="3"/>
  <c r="CI51" i="3" s="1"/>
  <c r="O64" i="3"/>
  <c r="O95" i="3"/>
  <c r="N61" i="3"/>
  <c r="CI42" i="3"/>
  <c r="O44" i="3"/>
  <c r="CI36" i="3"/>
  <c r="O47" i="3"/>
  <c r="N29" i="3"/>
  <c r="CJ50" i="3"/>
  <c r="CI9" i="3"/>
  <c r="O55" i="3"/>
  <c r="O33" i="3"/>
  <c r="CJ19" i="3" s="1"/>
  <c r="N9" i="3"/>
  <c r="N36" i="3"/>
  <c r="O41" i="3"/>
  <c r="CK25" i="3" s="1"/>
  <c r="O4" i="3"/>
  <c r="O69" i="3"/>
  <c r="CK40" i="3" s="1"/>
  <c r="CI35" i="3"/>
  <c r="N72" i="3"/>
  <c r="CK21" i="3"/>
  <c r="O30" i="3"/>
  <c r="CI18" i="3" s="1"/>
  <c r="N32" i="3"/>
  <c r="CJ18" i="3" s="1"/>
  <c r="N7" i="3"/>
  <c r="O29" i="3"/>
  <c r="CI20" i="3" s="1"/>
  <c r="N49" i="3"/>
  <c r="N52" i="3"/>
  <c r="CK31" i="3" s="1"/>
  <c r="CK24" i="3"/>
  <c r="N54" i="3"/>
  <c r="CK32" i="3" s="1"/>
  <c r="N37" i="3"/>
  <c r="N8" i="3"/>
  <c r="CK22" i="3"/>
  <c r="O52" i="3"/>
  <c r="CI30" i="3" s="1"/>
  <c r="N97" i="3"/>
  <c r="O77" i="3"/>
  <c r="CI44" i="3" s="1"/>
  <c r="N80" i="3"/>
  <c r="N55" i="3"/>
  <c r="CI31" i="3" s="1"/>
  <c r="N81" i="3"/>
  <c r="N84" i="3"/>
  <c r="CI45" i="3"/>
  <c r="O5" i="3"/>
  <c r="CI8" i="3" s="1"/>
  <c r="N47" i="3"/>
  <c r="CI27" i="3" s="1"/>
  <c r="CK46" i="3"/>
  <c r="CI33" i="3"/>
  <c r="O53" i="3"/>
  <c r="CI32" i="3" s="1"/>
  <c r="O79" i="3"/>
  <c r="N6" i="3"/>
  <c r="N86" i="3"/>
  <c r="CK48" i="3" s="1"/>
  <c r="O32" i="3"/>
  <c r="CI12" i="3"/>
  <c r="CI43" i="3"/>
  <c r="N88" i="3"/>
  <c r="N30" i="3"/>
  <c r="CI25" i="3"/>
  <c r="CK6" i="3"/>
  <c r="CK18" i="3"/>
  <c r="N73" i="3"/>
  <c r="N15" i="3"/>
  <c r="CI11" i="3"/>
  <c r="O96" i="3"/>
  <c r="CJ53" i="3" s="1"/>
  <c r="CL53" i="3" s="1"/>
  <c r="CK34" i="3"/>
  <c r="CK8" i="3"/>
  <c r="CK30" i="3"/>
  <c r="N68" i="3"/>
  <c r="CK39" i="3" s="1"/>
  <c r="CK50" i="3"/>
  <c r="O40" i="3"/>
  <c r="O15" i="3"/>
  <c r="CI10" i="3" s="1"/>
  <c r="N65" i="3"/>
  <c r="O9" i="3"/>
  <c r="CI7" i="3" s="1"/>
  <c r="CI23" i="3"/>
  <c r="O36" i="3"/>
  <c r="CJ22" i="3" s="1"/>
  <c r="CK23" i="3"/>
  <c r="O61" i="3"/>
  <c r="CJ36" i="3" s="1"/>
  <c r="CI47" i="3"/>
  <c r="CK37" i="3"/>
  <c r="N13" i="3"/>
  <c r="O68" i="3"/>
  <c r="O57" i="3"/>
  <c r="O65" i="3"/>
  <c r="N40" i="3"/>
  <c r="O31" i="3"/>
  <c r="N92" i="3"/>
  <c r="CK51" i="3" s="1"/>
  <c r="CK12" i="3"/>
  <c r="N77" i="3"/>
  <c r="CK45" i="3" s="1"/>
  <c r="CI50" i="3"/>
  <c r="O25" i="3"/>
  <c r="O37" i="3"/>
  <c r="N5" i="3"/>
  <c r="CJ9" i="3" s="1"/>
  <c r="O72" i="3"/>
  <c r="CK41" i="3" s="1"/>
  <c r="O84" i="3"/>
  <c r="CI46" i="3" s="1"/>
  <c r="O87" i="3"/>
  <c r="N60" i="3"/>
  <c r="CK35" i="3" s="1"/>
  <c r="O78" i="3"/>
  <c r="O23" i="3"/>
  <c r="N94" i="3"/>
  <c r="CK52" i="3" s="1"/>
  <c r="N39" i="3"/>
  <c r="CK38" i="3"/>
  <c r="N4" i="3"/>
  <c r="CK7" i="3" s="1"/>
  <c r="CK19" i="3"/>
  <c r="N87" i="3"/>
  <c r="N25" i="3"/>
  <c r="O22" i="3"/>
  <c r="N76" i="3"/>
  <c r="CJ43" i="3" s="1"/>
  <c r="O49" i="3"/>
  <c r="CI29" i="3" s="1"/>
  <c r="N46" i="3"/>
  <c r="CJ28" i="3" s="1"/>
  <c r="N53" i="3"/>
  <c r="N85" i="3"/>
  <c r="N44" i="3"/>
  <c r="CK27" i="3" s="1"/>
  <c r="N12" i="3"/>
  <c r="O54" i="3"/>
  <c r="O89" i="3"/>
  <c r="O56" i="3"/>
  <c r="N24" i="3"/>
  <c r="O46" i="3"/>
  <c r="CI28" i="3"/>
  <c r="O21" i="3"/>
  <c r="CI16" i="3" s="1"/>
  <c r="N45" i="3"/>
  <c r="CK29" i="3" s="1"/>
  <c r="N16" i="3"/>
  <c r="CI48" i="3"/>
  <c r="CK26" i="3"/>
  <c r="CJ48" i="3"/>
  <c r="O20" i="3"/>
  <c r="N33" i="3"/>
  <c r="CK10" i="3"/>
  <c r="N69" i="3"/>
  <c r="O73" i="3"/>
  <c r="CI39" i="3" s="1"/>
  <c r="O60" i="3"/>
  <c r="CI34" i="3" s="1"/>
  <c r="O63" i="3"/>
  <c r="CI37" i="3" s="1"/>
  <c r="CI40" i="3"/>
  <c r="CK11" i="3"/>
  <c r="O70" i="3"/>
  <c r="N22" i="3"/>
  <c r="CK42" i="3"/>
  <c r="N78" i="3"/>
  <c r="CK44" i="3" s="1"/>
  <c r="O81" i="3"/>
  <c r="N14" i="3"/>
  <c r="CK13" i="3"/>
  <c r="N23" i="3"/>
  <c r="N20" i="3"/>
  <c r="CK15" i="3" s="1"/>
  <c r="O24" i="3"/>
  <c r="CK17" i="3" s="1"/>
  <c r="N17" i="3"/>
  <c r="O14" i="3"/>
  <c r="CK33" i="3"/>
  <c r="CK53" i="3"/>
  <c r="CK14" i="3"/>
  <c r="CK49" i="3"/>
  <c r="CJ21" i="3" l="1"/>
  <c r="CI19" i="3"/>
  <c r="CL19" i="3" s="1"/>
  <c r="CI13" i="3"/>
  <c r="CI26" i="3"/>
  <c r="CK47" i="3"/>
  <c r="CI49" i="3"/>
  <c r="CI6" i="3"/>
  <c r="CK43" i="3"/>
  <c r="CI38" i="3"/>
  <c r="CI41" i="3"/>
  <c r="CK36" i="3"/>
  <c r="CL36" i="3"/>
  <c r="CK28" i="3"/>
  <c r="CI24" i="3"/>
  <c r="CI22" i="3"/>
  <c r="CL22" i="3" s="1"/>
  <c r="CI21" i="3"/>
  <c r="CI14" i="3"/>
  <c r="CK20" i="3"/>
  <c r="CI15" i="3"/>
  <c r="CK16" i="3"/>
  <c r="CL50" i="3"/>
  <c r="CJ30" i="3"/>
  <c r="CL30" i="3" s="1"/>
  <c r="CJ32" i="3"/>
  <c r="CL32" i="3" s="1"/>
  <c r="CJ52" i="3"/>
  <c r="CL52" i="3" s="1"/>
  <c r="CJ40" i="3"/>
  <c r="CL40" i="3" s="1"/>
  <c r="CL9" i="3"/>
  <c r="CJ26" i="3"/>
  <c r="CJ51" i="3"/>
  <c r="CL51" i="3" s="1"/>
  <c r="CJ45" i="3"/>
  <c r="CL45" i="3" s="1"/>
  <c r="CJ42" i="3"/>
  <c r="CL42" i="3" s="1"/>
  <c r="CL48" i="3"/>
  <c r="CJ47" i="3"/>
  <c r="CL47" i="3" s="1"/>
  <c r="CJ13" i="3"/>
  <c r="CJ44" i="3"/>
  <c r="CL44" i="3" s="1"/>
  <c r="CJ49" i="3"/>
  <c r="CL43" i="3"/>
  <c r="CJ46" i="3"/>
  <c r="CL46" i="3" s="1"/>
  <c r="CJ38" i="3"/>
  <c r="CJ33" i="3"/>
  <c r="CL33" i="3" s="1"/>
  <c r="CJ35" i="3"/>
  <c r="CL35" i="3" s="1"/>
  <c r="CJ31" i="3"/>
  <c r="CL31" i="3" s="1"/>
  <c r="CJ34" i="3"/>
  <c r="CL34" i="3" s="1"/>
  <c r="CL28" i="3"/>
  <c r="CJ17" i="3"/>
  <c r="CL17" i="3" s="1"/>
  <c r="CJ24" i="3"/>
  <c r="CJ11" i="3"/>
  <c r="CL11" i="3" s="1"/>
  <c r="CJ20" i="3"/>
  <c r="CL20" i="3" s="1"/>
  <c r="CJ15" i="3"/>
  <c r="CJ14" i="3"/>
  <c r="CJ16" i="3"/>
  <c r="CL16" i="3" s="1"/>
  <c r="CL18" i="3"/>
  <c r="CK9" i="3"/>
  <c r="CJ10" i="3"/>
  <c r="CL10" i="3" s="1"/>
  <c r="CJ12" i="3"/>
  <c r="CL12" i="3" s="1"/>
  <c r="CJ25" i="3"/>
  <c r="CL25" i="3" s="1"/>
  <c r="CJ8" i="3"/>
  <c r="CL8" i="3" s="1"/>
  <c r="CJ6" i="3"/>
  <c r="CJ7" i="3"/>
  <c r="CL7" i="3" s="1"/>
  <c r="CJ23" i="3"/>
  <c r="CL23" i="3" s="1"/>
  <c r="CJ37" i="3"/>
  <c r="CL37" i="3" s="1"/>
  <c r="CJ39" i="3"/>
  <c r="CL39" i="3" s="1"/>
  <c r="CJ41" i="3"/>
  <c r="CJ29" i="3"/>
  <c r="CL29" i="3" s="1"/>
  <c r="CJ27" i="3"/>
  <c r="CL27" i="3" s="1"/>
  <c r="CL49" i="3" l="1"/>
  <c r="CL21" i="3"/>
  <c r="CL13" i="3"/>
  <c r="CL41" i="3"/>
  <c r="CL38" i="3"/>
  <c r="CL26" i="3"/>
  <c r="CL14" i="3"/>
  <c r="CL6" i="3"/>
  <c r="CL24" i="3"/>
  <c r="CL15" i="3"/>
  <c r="CM44" i="3" l="1"/>
  <c r="CM10" i="3"/>
  <c r="CM13" i="3"/>
  <c r="CM9" i="3"/>
  <c r="CM32" i="3"/>
  <c r="CM28" i="3"/>
  <c r="CM52" i="3"/>
  <c r="CM43" i="3"/>
  <c r="CM27" i="3"/>
  <c r="CM31" i="3"/>
  <c r="CM37" i="3"/>
  <c r="CM20" i="3"/>
  <c r="CM19" i="3"/>
  <c r="CM42" i="3"/>
  <c r="CM29" i="3"/>
  <c r="CM39" i="3"/>
  <c r="CM6" i="3"/>
  <c r="CM7" i="3"/>
  <c r="CM8" i="3"/>
  <c r="CM17" i="3"/>
  <c r="CM30" i="3"/>
  <c r="CM40" i="3"/>
  <c r="CM16" i="3"/>
  <c r="CM48" i="3"/>
  <c r="CM38" i="3"/>
  <c r="CM51" i="3"/>
  <c r="CM26" i="3"/>
  <c r="CM49" i="3"/>
  <c r="CM53" i="3"/>
  <c r="CM23" i="3"/>
  <c r="CM18" i="3"/>
  <c r="CM46" i="3"/>
  <c r="CM25" i="3"/>
  <c r="CM35" i="3"/>
  <c r="CM50" i="3"/>
  <c r="CM12" i="3"/>
  <c r="CM21" i="3"/>
  <c r="CM36" i="3"/>
  <c r="CM11" i="3"/>
  <c r="CM47" i="3"/>
  <c r="CM41" i="3"/>
  <c r="CM34" i="3"/>
  <c r="CM45" i="3"/>
  <c r="CM33" i="3"/>
  <c r="CM24" i="3"/>
  <c r="CM15" i="3"/>
  <c r="CM22" i="3"/>
  <c r="CM14" i="3"/>
  <c r="CN11" i="3" l="1"/>
  <c r="Q17" i="3" s="1"/>
  <c r="CN29" i="3"/>
  <c r="Q47" i="3" s="1"/>
  <c r="CN6" i="3"/>
  <c r="Q7" i="3" s="1"/>
  <c r="CN15" i="3"/>
  <c r="Q25" i="3" s="1"/>
  <c r="CN39" i="3"/>
  <c r="R71" i="3" s="1"/>
  <c r="CN27" i="3"/>
  <c r="R47" i="3" s="1"/>
  <c r="CN31" i="3"/>
  <c r="R52" i="3" s="1"/>
  <c r="CN35" i="3"/>
  <c r="R63" i="3" s="1"/>
  <c r="CN40" i="3"/>
  <c r="R73" i="3" s="1"/>
  <c r="CN53" i="3"/>
  <c r="Q95" i="3" s="1"/>
  <c r="CN45" i="3"/>
  <c r="Q79" i="3" s="1"/>
  <c r="CN34" i="3"/>
  <c r="R65" i="3" s="1"/>
  <c r="CN30" i="3"/>
  <c r="R57" i="3" s="1"/>
  <c r="CN9" i="3"/>
  <c r="Q6" i="3" s="1"/>
  <c r="CN12" i="3"/>
  <c r="R15" i="3" s="1"/>
  <c r="CN41" i="3"/>
  <c r="Q71" i="3" s="1"/>
  <c r="CN42" i="3"/>
  <c r="Q76" i="3" s="1"/>
  <c r="CN22" i="3"/>
  <c r="Q36" i="3" s="1"/>
  <c r="CN24" i="3"/>
  <c r="Q37" i="3" s="1"/>
  <c r="CN20" i="3"/>
  <c r="R33" i="3" s="1"/>
  <c r="CN8" i="3"/>
  <c r="Q5" i="3" s="1"/>
  <c r="CN16" i="3"/>
  <c r="R25" i="3" s="1"/>
  <c r="CN46" i="3"/>
  <c r="Q84" i="3" s="1"/>
  <c r="CN28" i="3"/>
  <c r="R46" i="3" s="1"/>
  <c r="CN52" i="3"/>
  <c r="R97" i="3" s="1"/>
  <c r="CN17" i="3"/>
  <c r="Q24" i="3" s="1"/>
  <c r="CN10" i="3"/>
  <c r="Q15" i="3" s="1"/>
  <c r="CN19" i="3"/>
  <c r="Q33" i="3" s="1"/>
  <c r="CN44" i="3"/>
  <c r="Q77" i="3" s="1"/>
  <c r="CN50" i="3"/>
  <c r="Q94" i="3" s="1"/>
  <c r="CN37" i="3"/>
  <c r="R61" i="3" s="1"/>
  <c r="CN51" i="3"/>
  <c r="R92" i="3" s="1"/>
  <c r="CN23" i="3"/>
  <c r="R36" i="3" s="1"/>
  <c r="CN13" i="3"/>
  <c r="R13" i="3" s="1"/>
  <c r="CN21" i="3"/>
  <c r="Q32" i="3" s="1"/>
  <c r="CN18" i="3"/>
  <c r="Q28" i="3" s="1"/>
  <c r="CN49" i="3"/>
  <c r="Q87" i="3" s="1"/>
  <c r="CN14" i="3"/>
  <c r="Q20" i="3" s="1"/>
  <c r="CN43" i="3"/>
  <c r="R76" i="3" s="1"/>
  <c r="CN26" i="3"/>
  <c r="Q44" i="3" s="1"/>
  <c r="CN32" i="3"/>
  <c r="Q53" i="3" s="1"/>
  <c r="CN38" i="3"/>
  <c r="Q70" i="3" s="1"/>
  <c r="CN48" i="3"/>
  <c r="R89" i="3" s="1"/>
  <c r="CN7" i="3"/>
  <c r="R4" i="3" s="1"/>
  <c r="CN47" i="3"/>
  <c r="Q89" i="3" s="1"/>
  <c r="CN25" i="3"/>
  <c r="CN36" i="3"/>
  <c r="R64" i="3" s="1"/>
  <c r="CN33" i="3"/>
  <c r="Q57" i="3" s="1"/>
  <c r="Q49" i="3" l="1"/>
  <c r="R93" i="3"/>
  <c r="Q48" i="3"/>
  <c r="Q92" i="3"/>
  <c r="CO51" i="3" s="1"/>
  <c r="R23" i="3"/>
  <c r="R45" i="3"/>
  <c r="R44" i="3"/>
  <c r="R12" i="3"/>
  <c r="CP45" i="3"/>
  <c r="Q60" i="3"/>
  <c r="R14" i="3"/>
  <c r="Q31" i="3"/>
  <c r="CP19" i="3" s="1"/>
  <c r="Q63" i="3"/>
  <c r="R88" i="3"/>
  <c r="Q4" i="3"/>
  <c r="CP12" i="3"/>
  <c r="R96" i="3"/>
  <c r="Q96" i="3"/>
  <c r="R8" i="3"/>
  <c r="Q81" i="3"/>
  <c r="R77" i="3"/>
  <c r="R55" i="3"/>
  <c r="Q56" i="3"/>
  <c r="Q97" i="3"/>
  <c r="Q62" i="3"/>
  <c r="R94" i="3"/>
  <c r="Q64" i="3"/>
  <c r="R22" i="3"/>
  <c r="R95" i="3"/>
  <c r="R68" i="3"/>
  <c r="Q93" i="3"/>
  <c r="R60" i="3"/>
  <c r="R20" i="3"/>
  <c r="Q72" i="3"/>
  <c r="Q29" i="3"/>
  <c r="R48" i="3"/>
  <c r="CO27" i="3" s="1"/>
  <c r="Q54" i="3"/>
  <c r="R30" i="3"/>
  <c r="Q45" i="3"/>
  <c r="R69" i="3"/>
  <c r="R70" i="3"/>
  <c r="Q73" i="3"/>
  <c r="Q88" i="3"/>
  <c r="Q69" i="3"/>
  <c r="CP53" i="3"/>
  <c r="R5" i="3"/>
  <c r="Q22" i="3"/>
  <c r="CP15" i="3" s="1"/>
  <c r="R21" i="3"/>
  <c r="CO53" i="3"/>
  <c r="R7" i="3"/>
  <c r="R87" i="3"/>
  <c r="R9" i="3"/>
  <c r="Q52" i="3"/>
  <c r="R85" i="3"/>
  <c r="CP23" i="3"/>
  <c r="CP30" i="3"/>
  <c r="CO30" i="3"/>
  <c r="CP42" i="3"/>
  <c r="Q78" i="3"/>
  <c r="R81" i="3"/>
  <c r="CO12" i="3"/>
  <c r="R17" i="3"/>
  <c r="Q86" i="3"/>
  <c r="CP48" i="3" s="1"/>
  <c r="R41" i="3"/>
  <c r="R40" i="3"/>
  <c r="CP50" i="3"/>
  <c r="Q8" i="3"/>
  <c r="Q21" i="3"/>
  <c r="CO17" i="3" s="1"/>
  <c r="R38" i="3"/>
  <c r="R80" i="3"/>
  <c r="CO43" i="3" s="1"/>
  <c r="Q85" i="3"/>
  <c r="R86" i="3"/>
  <c r="Q13" i="3"/>
  <c r="Q38" i="3"/>
  <c r="R31" i="3"/>
  <c r="R16" i="3"/>
  <c r="CP36" i="3"/>
  <c r="Q65" i="3"/>
  <c r="Q61" i="3"/>
  <c r="CP37" i="3" s="1"/>
  <c r="CP33" i="3"/>
  <c r="Q12" i="3"/>
  <c r="R28" i="3"/>
  <c r="Q40" i="3"/>
  <c r="R78" i="3"/>
  <c r="R54" i="3"/>
  <c r="CO47" i="3"/>
  <c r="R39" i="3"/>
  <c r="Q30" i="3"/>
  <c r="CP20" i="3" s="1"/>
  <c r="CP47" i="3"/>
  <c r="CO23" i="3"/>
  <c r="R84" i="3"/>
  <c r="R49" i="3"/>
  <c r="R56" i="3"/>
  <c r="Q14" i="3"/>
  <c r="Q16" i="3"/>
  <c r="R32" i="3"/>
  <c r="R6" i="3"/>
  <c r="Q80" i="3"/>
  <c r="Q55" i="3"/>
  <c r="R62" i="3"/>
  <c r="Q9" i="3"/>
  <c r="R79" i="3"/>
  <c r="CO45" i="3" s="1"/>
  <c r="Q46" i="3"/>
  <c r="R29" i="3"/>
  <c r="Q68" i="3"/>
  <c r="CP39" i="3" s="1"/>
  <c r="R72" i="3"/>
  <c r="Q23" i="3"/>
  <c r="R24" i="3"/>
  <c r="Q39" i="3"/>
  <c r="R37" i="3"/>
  <c r="Q41" i="3"/>
  <c r="R53" i="3"/>
  <c r="CO35" i="3"/>
  <c r="CP35" i="3"/>
  <c r="CQ35" i="3" s="1"/>
  <c r="CP34" i="3"/>
  <c r="CO37" i="3"/>
  <c r="CQ37" i="3" s="1"/>
  <c r="CO34" i="3"/>
  <c r="CO50" i="3"/>
  <c r="CP40" i="3"/>
  <c r="CO40" i="3"/>
  <c r="CO48" i="3"/>
  <c r="CO11" i="3"/>
  <c r="CP16" i="3"/>
  <c r="CO42" i="3"/>
  <c r="CQ42" i="3" s="1"/>
  <c r="CQ30" i="3"/>
  <c r="CP17" i="3"/>
  <c r="CO16" i="3"/>
  <c r="CO20" i="3"/>
  <c r="CQ20" i="3" s="1"/>
  <c r="CP11" i="3"/>
  <c r="CQ12" i="3"/>
  <c r="CO7" i="3"/>
  <c r="CP7" i="3"/>
  <c r="CO29" i="3"/>
  <c r="CQ23" i="3"/>
  <c r="CP29" i="3"/>
  <c r="CO33" i="3"/>
  <c r="CQ33" i="3" s="1"/>
  <c r="CO39" i="3"/>
  <c r="CQ39" i="3" s="1"/>
  <c r="CO36" i="3"/>
  <c r="CQ36" i="3" s="1"/>
  <c r="CQ45" i="3"/>
  <c r="CQ53" i="3"/>
  <c r="CO25" i="3" l="1"/>
  <c r="CP51" i="3"/>
  <c r="CQ51" i="3" s="1"/>
  <c r="CP49" i="3"/>
  <c r="CO49" i="3"/>
  <c r="CO46" i="3"/>
  <c r="CP41" i="3"/>
  <c r="CP38" i="3"/>
  <c r="CP21" i="3"/>
  <c r="CP25" i="3"/>
  <c r="CP18" i="3"/>
  <c r="CO19" i="3"/>
  <c r="CQ19" i="3" s="1"/>
  <c r="CO21" i="3"/>
  <c r="CO18" i="3"/>
  <c r="CP8" i="3"/>
  <c r="CO8" i="3"/>
  <c r="CP26" i="3"/>
  <c r="CO41" i="3"/>
  <c r="CO38" i="3"/>
  <c r="CO26" i="3"/>
  <c r="CP10" i="3"/>
  <c r="CO10" i="3"/>
  <c r="CP52" i="3"/>
  <c r="CO13" i="3"/>
  <c r="CP13" i="3"/>
  <c r="CO14" i="3"/>
  <c r="CO28" i="3"/>
  <c r="CO52" i="3"/>
  <c r="CO9" i="3"/>
  <c r="CP14" i="3"/>
  <c r="CO32" i="3"/>
  <c r="CP27" i="3"/>
  <c r="CQ27" i="3" s="1"/>
  <c r="CO44" i="3"/>
  <c r="CP6" i="3"/>
  <c r="CP22" i="3"/>
  <c r="CO6" i="3"/>
  <c r="CP28" i="3"/>
  <c r="CO22" i="3"/>
  <c r="CP44" i="3"/>
  <c r="CP43" i="3"/>
  <c r="CQ43" i="3" s="1"/>
  <c r="CO15" i="3"/>
  <c r="CQ15" i="3" s="1"/>
  <c r="CQ50" i="3"/>
  <c r="CP32" i="3"/>
  <c r="CP24" i="3"/>
  <c r="CP46" i="3"/>
  <c r="CP9" i="3"/>
  <c r="CO24" i="3"/>
  <c r="CQ47" i="3"/>
  <c r="CO31" i="3"/>
  <c r="CP31" i="3"/>
  <c r="CQ48" i="3"/>
  <c r="CQ34" i="3"/>
  <c r="CQ16" i="3"/>
  <c r="CQ40" i="3"/>
  <c r="CQ11" i="3"/>
  <c r="CQ17" i="3"/>
  <c r="CQ7" i="3"/>
  <c r="CQ29" i="3"/>
  <c r="CQ25" i="3" l="1"/>
  <c r="CQ49" i="3"/>
  <c r="CQ46" i="3"/>
  <c r="CQ38" i="3"/>
  <c r="CQ41" i="3"/>
  <c r="CQ21" i="3"/>
  <c r="CQ18" i="3"/>
  <c r="CQ8" i="3"/>
  <c r="CQ26" i="3"/>
  <c r="CQ10" i="3"/>
  <c r="CQ52" i="3"/>
  <c r="CQ13" i="3"/>
  <c r="CQ14" i="3"/>
  <c r="CQ28" i="3"/>
  <c r="CQ9" i="3"/>
  <c r="CQ32" i="3"/>
  <c r="CQ44" i="3"/>
  <c r="CQ6" i="3"/>
  <c r="CQ22" i="3"/>
  <c r="CQ31" i="3"/>
  <c r="CQ24" i="3"/>
  <c r="CR12" i="3" l="1"/>
  <c r="CR29" i="3"/>
  <c r="CR41" i="3"/>
  <c r="CR47" i="3"/>
  <c r="CR25" i="3"/>
  <c r="CR34" i="3"/>
  <c r="CR49" i="3"/>
  <c r="CR37" i="3"/>
  <c r="CR18" i="3"/>
  <c r="CR40" i="3"/>
  <c r="CR33" i="3"/>
  <c r="CR50" i="3"/>
  <c r="CR23" i="3"/>
  <c r="CR35" i="3"/>
  <c r="CR39" i="3"/>
  <c r="CR38" i="3"/>
  <c r="CR11" i="3"/>
  <c r="CR42" i="3"/>
  <c r="CR17" i="3"/>
  <c r="CR8" i="3"/>
  <c r="CR46" i="3"/>
  <c r="CR30" i="3"/>
  <c r="CR7" i="3"/>
  <c r="CR45" i="3"/>
  <c r="CR16" i="3"/>
  <c r="CR21" i="3"/>
  <c r="CR20" i="3"/>
  <c r="CR48" i="3"/>
  <c r="CR13" i="3"/>
  <c r="CR53" i="3"/>
  <c r="CR36" i="3"/>
  <c r="CR26" i="3"/>
  <c r="CR19" i="3"/>
  <c r="CR10" i="3"/>
  <c r="CR22" i="3"/>
  <c r="CR28" i="3"/>
  <c r="CR6" i="3"/>
  <c r="CR44" i="3"/>
  <c r="CR43" i="3"/>
  <c r="CR9" i="3"/>
  <c r="CR31" i="3"/>
  <c r="CR32" i="3"/>
  <c r="CR52" i="3"/>
  <c r="CR27" i="3"/>
  <c r="CR51" i="3"/>
  <c r="CR15" i="3"/>
  <c r="CR14" i="3"/>
  <c r="CR24" i="3"/>
  <c r="CS53" i="3" l="1"/>
  <c r="T95" i="3" s="1"/>
  <c r="CS15" i="3"/>
  <c r="U22" i="3" s="1"/>
  <c r="CS44" i="3"/>
  <c r="U80" i="3" s="1"/>
  <c r="CS10" i="3"/>
  <c r="T15" i="3" s="1"/>
  <c r="CS23" i="3"/>
  <c r="T40" i="3" s="1"/>
  <c r="CS19" i="3"/>
  <c r="U31" i="3" s="1"/>
  <c r="CS40" i="3"/>
  <c r="U70" i="3" s="1"/>
  <c r="CS43" i="3"/>
  <c r="T80" i="3" s="1"/>
  <c r="CS52" i="3"/>
  <c r="T93" i="3" s="1"/>
  <c r="CS42" i="3"/>
  <c r="T78" i="3" s="1"/>
  <c r="CS50" i="3"/>
  <c r="T92" i="3" s="1"/>
  <c r="CS27" i="3"/>
  <c r="U47" i="3" s="1"/>
  <c r="CS17" i="3"/>
  <c r="T22" i="3" s="1"/>
  <c r="CS51" i="3"/>
  <c r="U92" i="3" s="1"/>
  <c r="CS25" i="3"/>
  <c r="T39" i="3" s="1"/>
  <c r="CS48" i="3"/>
  <c r="U89" i="3" s="1"/>
  <c r="CS28" i="3"/>
  <c r="U48" i="3" s="1"/>
  <c r="CS21" i="3"/>
  <c r="T31" i="3" s="1"/>
  <c r="CS41" i="3"/>
  <c r="T71" i="3" s="1"/>
  <c r="CS32" i="3"/>
  <c r="U56" i="3" s="1"/>
  <c r="CS7" i="3"/>
  <c r="U4" i="3" s="1"/>
  <c r="CS12" i="3"/>
  <c r="T13" i="3" s="1"/>
  <c r="CS18" i="3"/>
  <c r="T30" i="3" s="1"/>
  <c r="CS33" i="3"/>
  <c r="U53" i="3" s="1"/>
  <c r="CS8" i="3"/>
  <c r="U9" i="3" s="1"/>
  <c r="CS37" i="3"/>
  <c r="T63" i="3" s="1"/>
  <c r="CS20" i="3"/>
  <c r="U30" i="3" s="1"/>
  <c r="CS11" i="3"/>
  <c r="T17" i="3" s="1"/>
  <c r="CS16" i="3"/>
  <c r="U23" i="3" s="1"/>
  <c r="CS30" i="3"/>
  <c r="T52" i="3" s="1"/>
  <c r="CS22" i="3"/>
  <c r="T38" i="3" s="1"/>
  <c r="CS47" i="3"/>
  <c r="U84" i="3" s="1"/>
  <c r="CS29" i="3"/>
  <c r="U45" i="3" s="1"/>
  <c r="CS14" i="3"/>
  <c r="U24" i="3" s="1"/>
  <c r="CS34" i="3"/>
  <c r="U65" i="3" s="1"/>
  <c r="CS26" i="3"/>
  <c r="T46" i="3" s="1"/>
  <c r="CS6" i="3"/>
  <c r="U8" i="3" s="1"/>
  <c r="CS38" i="3"/>
  <c r="T70" i="3" s="1"/>
  <c r="CS9" i="3"/>
  <c r="U5" i="3" s="1"/>
  <c r="CS31" i="3"/>
  <c r="U55" i="3" s="1"/>
  <c r="CS45" i="3"/>
  <c r="T79" i="3" s="1"/>
  <c r="CS49" i="3"/>
  <c r="U85" i="3" s="1"/>
  <c r="CS39" i="3"/>
  <c r="U71" i="3" s="1"/>
  <c r="CS24" i="3"/>
  <c r="U38" i="3" s="1"/>
  <c r="CS13" i="3"/>
  <c r="T14" i="3" s="1"/>
  <c r="CS46" i="3"/>
  <c r="U88" i="3" s="1"/>
  <c r="CS36" i="3"/>
  <c r="U62" i="3" s="1"/>
  <c r="CS35" i="3"/>
  <c r="U63" i="3" s="1"/>
  <c r="T25" i="3" l="1"/>
  <c r="T96" i="3"/>
  <c r="T76" i="3"/>
  <c r="CT43" i="3" s="1"/>
  <c r="U20" i="3"/>
  <c r="U81" i="3"/>
  <c r="T33" i="3"/>
  <c r="T65" i="3"/>
  <c r="T97" i="3"/>
  <c r="U29" i="3"/>
  <c r="U93" i="3"/>
  <c r="U28" i="3"/>
  <c r="T32" i="3"/>
  <c r="U95" i="3"/>
  <c r="U25" i="3"/>
  <c r="T5" i="3"/>
  <c r="U97" i="3"/>
  <c r="CT51" i="3" s="1"/>
  <c r="T68" i="3"/>
  <c r="T16" i="3"/>
  <c r="U73" i="3"/>
  <c r="CT39" i="3" s="1"/>
  <c r="T69" i="3"/>
  <c r="T72" i="3"/>
  <c r="U94" i="3"/>
  <c r="T47" i="3"/>
  <c r="T24" i="3"/>
  <c r="U78" i="3"/>
  <c r="T29" i="3"/>
  <c r="CT50" i="3"/>
  <c r="U77" i="3"/>
  <c r="CT44" i="3" s="1"/>
  <c r="U69" i="3"/>
  <c r="CT40" i="3" s="1"/>
  <c r="T36" i="3"/>
  <c r="U33" i="3"/>
  <c r="T62" i="3"/>
  <c r="T94" i="3"/>
  <c r="CT34" i="3"/>
  <c r="U96" i="3"/>
  <c r="CT53" i="3" s="1"/>
  <c r="T77" i="3"/>
  <c r="U37" i="3"/>
  <c r="CT24" i="3" s="1"/>
  <c r="U87" i="3"/>
  <c r="U68" i="3"/>
  <c r="T73" i="3"/>
  <c r="U64" i="3"/>
  <c r="T12" i="3"/>
  <c r="U54" i="3"/>
  <c r="U40" i="3"/>
  <c r="T44" i="3"/>
  <c r="U14" i="3"/>
  <c r="T53" i="3"/>
  <c r="CT33" i="3" s="1"/>
  <c r="U86" i="3"/>
  <c r="T8" i="3"/>
  <c r="T6" i="3"/>
  <c r="U32" i="3"/>
  <c r="T41" i="3"/>
  <c r="U76" i="3"/>
  <c r="U49" i="3"/>
  <c r="T89" i="3"/>
  <c r="U44" i="3"/>
  <c r="T60" i="3"/>
  <c r="T48" i="3"/>
  <c r="CT28" i="3" s="1"/>
  <c r="U79" i="3"/>
  <c r="T55" i="3"/>
  <c r="CT31" i="3" s="1"/>
  <c r="T57" i="3"/>
  <c r="U12" i="3"/>
  <c r="U52" i="3"/>
  <c r="T56" i="3"/>
  <c r="T85" i="3"/>
  <c r="U16" i="3"/>
  <c r="U41" i="3"/>
  <c r="T28" i="3"/>
  <c r="T61" i="3"/>
  <c r="T45" i="3"/>
  <c r="T4" i="3"/>
  <c r="CT7" i="3" s="1"/>
  <c r="CT17" i="3"/>
  <c r="T49" i="3"/>
  <c r="U46" i="3"/>
  <c r="CT35" i="3"/>
  <c r="U6" i="3"/>
  <c r="U13" i="3"/>
  <c r="T81" i="3"/>
  <c r="T9" i="3"/>
  <c r="T7" i="3"/>
  <c r="U36" i="3"/>
  <c r="U39" i="3"/>
  <c r="U21" i="3"/>
  <c r="CT23" i="3"/>
  <c r="U7" i="3"/>
  <c r="T21" i="3"/>
  <c r="T37" i="3"/>
  <c r="T23" i="3"/>
  <c r="U72" i="3"/>
  <c r="T88" i="3"/>
  <c r="T86" i="3"/>
  <c r="T54" i="3"/>
  <c r="U17" i="3"/>
  <c r="CT11" i="3" s="1"/>
  <c r="CT12" i="3"/>
  <c r="T87" i="3"/>
  <c r="CT47" i="3" s="1"/>
  <c r="U15" i="3"/>
  <c r="CT37" i="3"/>
  <c r="T84" i="3"/>
  <c r="U57" i="3"/>
  <c r="U61" i="3"/>
  <c r="T20" i="3"/>
  <c r="U60" i="3"/>
  <c r="T64" i="3"/>
  <c r="CT48" i="3"/>
  <c r="CT42" i="3"/>
  <c r="CT45" i="3"/>
  <c r="CT20" i="3"/>
  <c r="CT30" i="3"/>
  <c r="CT16" i="3"/>
  <c r="CT29" i="3"/>
  <c r="CT36" i="3"/>
  <c r="CT46" i="3" l="1"/>
  <c r="CT49" i="3"/>
  <c r="CT38" i="3"/>
  <c r="CT41" i="3"/>
  <c r="CT21" i="3"/>
  <c r="CT18" i="3"/>
  <c r="CT25" i="3"/>
  <c r="CT19" i="3"/>
  <c r="CT8" i="3"/>
  <c r="CT26" i="3"/>
  <c r="CT10" i="3"/>
  <c r="CT13" i="3"/>
  <c r="CT14" i="3"/>
  <c r="CT52" i="3"/>
  <c r="CT15" i="3"/>
  <c r="CT9" i="3"/>
  <c r="CT32" i="3"/>
  <c r="CT22" i="3"/>
  <c r="CT27" i="3"/>
  <c r="CT6" i="3"/>
  <c r="CU21" i="3" l="1"/>
  <c r="CU40" i="3"/>
  <c r="CU47" i="3"/>
  <c r="CU16" i="3"/>
  <c r="CU29" i="3"/>
  <c r="CU50" i="3"/>
  <c r="CU35" i="3"/>
  <c r="CU20" i="3"/>
  <c r="CU37" i="3"/>
  <c r="CU41" i="3"/>
  <c r="CU19" i="3"/>
  <c r="CU8" i="3"/>
  <c r="CU11" i="3"/>
  <c r="CU48" i="3"/>
  <c r="CU12" i="3"/>
  <c r="CU46" i="3"/>
  <c r="CU25" i="3"/>
  <c r="CU45" i="3"/>
  <c r="CU39" i="3"/>
  <c r="CU18" i="3"/>
  <c r="CU49" i="3"/>
  <c r="CU53" i="3"/>
  <c r="CU36" i="3"/>
  <c r="CU10" i="3"/>
  <c r="CU34" i="3"/>
  <c r="CU7" i="3"/>
  <c r="CU42" i="3"/>
  <c r="CU38" i="3"/>
  <c r="CU26" i="3"/>
  <c r="CU17" i="3"/>
  <c r="CU13" i="3"/>
  <c r="CU30" i="3"/>
  <c r="CU23" i="3"/>
  <c r="CU33" i="3"/>
  <c r="CU14" i="3"/>
  <c r="CU24" i="3"/>
  <c r="CU15" i="3"/>
  <c r="CU32" i="3"/>
  <c r="CU6" i="3"/>
  <c r="CU22" i="3"/>
  <c r="CU43" i="3"/>
  <c r="CU51" i="3"/>
  <c r="CU52" i="3"/>
  <c r="CU9" i="3"/>
  <c r="CU28" i="3"/>
  <c r="CU31" i="3"/>
  <c r="CU27" i="3"/>
  <c r="CU44" i="3"/>
  <c r="CV42" i="3" l="1"/>
  <c r="CW42" i="3" s="1"/>
  <c r="CV21" i="3"/>
  <c r="CW21" i="3" s="1"/>
  <c r="CV34" i="3"/>
  <c r="CW34" i="3" s="1"/>
  <c r="CV22" i="3"/>
  <c r="CW22" i="3" s="1"/>
  <c r="CV43" i="3"/>
  <c r="CW43" i="3" s="1"/>
  <c r="CV17" i="3"/>
  <c r="CW17" i="3" s="1"/>
  <c r="CV38" i="3"/>
  <c r="CW38" i="3" s="1"/>
  <c r="CV14" i="3"/>
  <c r="CW14" i="3" s="1"/>
  <c r="CV27" i="3"/>
  <c r="CW27" i="3" s="1"/>
  <c r="CV50" i="3"/>
  <c r="CW50" i="3" s="1"/>
  <c r="CV23" i="3"/>
  <c r="CW23" i="3" s="1"/>
  <c r="CV31" i="3"/>
  <c r="CW31" i="3" s="1"/>
  <c r="CV40" i="3"/>
  <c r="CW40" i="3" s="1"/>
  <c r="CV26" i="3"/>
  <c r="CW26" i="3" s="1"/>
  <c r="CV52" i="3"/>
  <c r="CW52" i="3" s="1"/>
  <c r="CV32" i="3"/>
  <c r="CW32" i="3" s="1"/>
  <c r="CV29" i="3"/>
  <c r="CW29" i="3" s="1"/>
  <c r="CV53" i="3"/>
  <c r="CW53" i="3" s="1"/>
  <c r="CV46" i="3"/>
  <c r="CW46" i="3" s="1"/>
  <c r="CV11" i="3"/>
  <c r="CW11" i="3" s="1"/>
  <c r="CV15" i="3"/>
  <c r="CW15" i="3" s="1"/>
  <c r="CV7" i="3"/>
  <c r="CW7" i="3" s="1"/>
  <c r="CV9" i="3"/>
  <c r="CW9" i="3" s="1"/>
  <c r="CV20" i="3"/>
  <c r="CW20" i="3" s="1"/>
  <c r="CV24" i="3"/>
  <c r="CW24" i="3" s="1"/>
  <c r="CV30" i="3"/>
  <c r="CW30" i="3" s="1"/>
  <c r="CV6" i="3"/>
  <c r="CW6" i="3" s="1"/>
  <c r="CV39" i="3"/>
  <c r="CW39" i="3" s="1"/>
  <c r="CV44" i="3"/>
  <c r="CW44" i="3" s="1"/>
  <c r="CV33" i="3"/>
  <c r="CW33" i="3" s="1"/>
  <c r="CV19" i="3"/>
  <c r="CW19" i="3" s="1"/>
  <c r="CV37" i="3"/>
  <c r="CW37" i="3" s="1"/>
  <c r="CV12" i="3"/>
  <c r="CW12" i="3" s="1"/>
  <c r="CV16" i="3"/>
  <c r="CW16" i="3" s="1"/>
  <c r="CV48" i="3"/>
  <c r="CW48" i="3" s="1"/>
  <c r="CV47" i="3"/>
  <c r="CW47" i="3" s="1"/>
  <c r="CV13" i="3"/>
  <c r="CW13" i="3" s="1"/>
  <c r="CV18" i="3"/>
  <c r="CW18" i="3" s="1"/>
  <c r="CV45" i="3"/>
  <c r="CW45" i="3" s="1"/>
  <c r="CV51" i="3"/>
  <c r="CW51" i="3" s="1"/>
  <c r="CV35" i="3"/>
  <c r="CW35" i="3" s="1"/>
  <c r="CV8" i="3"/>
  <c r="CW8" i="3" s="1"/>
  <c r="CV49" i="3"/>
  <c r="CW49" i="3" s="1"/>
  <c r="CV28" i="3"/>
  <c r="CW28" i="3" s="1"/>
  <c r="CV36" i="3"/>
  <c r="CW36" i="3" s="1"/>
  <c r="CV10" i="3"/>
  <c r="CW10" i="3" s="1"/>
  <c r="CV41" i="3"/>
  <c r="CW41" i="3" s="1"/>
  <c r="CV25" i="3"/>
  <c r="CW25" i="3" s="1"/>
  <c r="CX45" i="3" l="1"/>
  <c r="CX23" i="3"/>
  <c r="CX40" i="3"/>
  <c r="CX11" i="3"/>
  <c r="CX39" i="3"/>
  <c r="CX27" i="3"/>
  <c r="CX10" i="3"/>
  <c r="CX35" i="3"/>
  <c r="CX26" i="3"/>
  <c r="CX49" i="3"/>
  <c r="CX36" i="3"/>
  <c r="CX46" i="3"/>
  <c r="CX18" i="3"/>
  <c r="CX30" i="3"/>
  <c r="CX53" i="3"/>
  <c r="CX32" i="3"/>
  <c r="CX50" i="3"/>
  <c r="CX51" i="3"/>
  <c r="CX31" i="3"/>
  <c r="CX20" i="3"/>
  <c r="CX33" i="3"/>
  <c r="CX42" i="3"/>
  <c r="CX9" i="3"/>
  <c r="CX29" i="3"/>
  <c r="CX21" i="3"/>
  <c r="CX12" i="3"/>
  <c r="CX48" i="3"/>
  <c r="CX7" i="3"/>
  <c r="CX24" i="3"/>
  <c r="CX43" i="3"/>
  <c r="CX6" i="3"/>
  <c r="CX47" i="3"/>
  <c r="CX28" i="3"/>
  <c r="CX22" i="3"/>
  <c r="CX17" i="3"/>
  <c r="CX16" i="3"/>
  <c r="CX38" i="3"/>
  <c r="CX25" i="3"/>
  <c r="CX8" i="3"/>
  <c r="CX34" i="3"/>
  <c r="CX19" i="3"/>
  <c r="CX13" i="3"/>
  <c r="CX15" i="3"/>
  <c r="CX41" i="3"/>
  <c r="CX37" i="3"/>
  <c r="CX52" i="3"/>
  <c r="CX14" i="3"/>
  <c r="CX44" i="3"/>
  <c r="CY34" i="3" l="1"/>
  <c r="CZ34" i="3" s="1"/>
  <c r="CY14" i="3"/>
  <c r="CZ14" i="3" s="1"/>
  <c r="CY19" i="3"/>
  <c r="CZ19" i="3" s="1"/>
  <c r="CY39" i="3"/>
  <c r="CZ39" i="3" s="1"/>
  <c r="CY13" i="3"/>
  <c r="CZ13" i="3" s="1"/>
  <c r="CY7" i="3"/>
  <c r="CZ7" i="3" s="1"/>
  <c r="CY36" i="3"/>
  <c r="CZ36" i="3" s="1"/>
  <c r="CY42" i="3"/>
  <c r="CZ42" i="3" s="1"/>
  <c r="CY29" i="3"/>
  <c r="CZ29" i="3" s="1"/>
  <c r="CY30" i="3"/>
  <c r="CZ30" i="3" s="1"/>
  <c r="CY44" i="3"/>
  <c r="CZ44" i="3" s="1"/>
  <c r="CY21" i="3"/>
  <c r="CZ21" i="3" s="1"/>
  <c r="CY16" i="3"/>
  <c r="CZ16" i="3" s="1"/>
  <c r="CY47" i="3"/>
  <c r="CZ47" i="3" s="1"/>
  <c r="CY18" i="3"/>
  <c r="CZ18" i="3" s="1"/>
  <c r="CY20" i="3"/>
  <c r="CZ20" i="3" s="1"/>
  <c r="CY15" i="3"/>
  <c r="CZ15" i="3" s="1"/>
  <c r="CY51" i="3"/>
  <c r="CZ51" i="3" s="1"/>
  <c r="CY8" i="3"/>
  <c r="CZ8" i="3" s="1"/>
  <c r="CY33" i="3"/>
  <c r="CZ33" i="3" s="1"/>
  <c r="CY25" i="3"/>
  <c r="CZ25" i="3" s="1"/>
  <c r="CY6" i="3"/>
  <c r="CZ6" i="3" s="1"/>
  <c r="CY45" i="3"/>
  <c r="CZ45" i="3" s="1"/>
  <c r="CY52" i="3"/>
  <c r="CZ52" i="3" s="1"/>
  <c r="CY11" i="3"/>
  <c r="CZ11" i="3" s="1"/>
  <c r="CY27" i="3"/>
  <c r="CZ27" i="3" s="1"/>
  <c r="CY41" i="3"/>
  <c r="CZ41" i="3" s="1"/>
  <c r="CY12" i="3"/>
  <c r="CZ12" i="3" s="1"/>
  <c r="CY32" i="3"/>
  <c r="CZ32" i="3" s="1"/>
  <c r="CY50" i="3"/>
  <c r="CZ50" i="3" s="1"/>
  <c r="CY23" i="3"/>
  <c r="CZ23" i="3" s="1"/>
  <c r="CY38" i="3"/>
  <c r="CZ38" i="3" s="1"/>
  <c r="CY48" i="3"/>
  <c r="CZ48" i="3" s="1"/>
  <c r="CY37" i="3"/>
  <c r="CZ37" i="3" s="1"/>
  <c r="CY46" i="3"/>
  <c r="CZ46" i="3" s="1"/>
  <c r="CY24" i="3"/>
  <c r="CZ24" i="3" s="1"/>
  <c r="CY43" i="3"/>
  <c r="CZ43" i="3" s="1"/>
  <c r="CY26" i="3"/>
  <c r="CZ26" i="3" s="1"/>
  <c r="CY28" i="3"/>
  <c r="CZ28" i="3" s="1"/>
  <c r="CY40" i="3"/>
  <c r="CZ40" i="3" s="1"/>
  <c r="CY22" i="3"/>
  <c r="CZ22" i="3" s="1"/>
  <c r="CY31" i="3"/>
  <c r="CZ31" i="3" s="1"/>
  <c r="CY10" i="3"/>
  <c r="CZ10" i="3" s="1"/>
  <c r="CY49" i="3"/>
  <c r="CZ49" i="3" s="1"/>
  <c r="CY17" i="3"/>
  <c r="CZ17" i="3" s="1"/>
  <c r="CY9" i="3"/>
  <c r="CZ9" i="3" s="1"/>
  <c r="CY53" i="3"/>
  <c r="CZ53" i="3" s="1"/>
  <c r="CY35" i="3"/>
  <c r="CZ35" i="3" s="1"/>
  <c r="DA14" i="3" l="1"/>
  <c r="DA11" i="3"/>
  <c r="DA28" i="3"/>
  <c r="DA33" i="3"/>
  <c r="DA53" i="3"/>
  <c r="DA6" i="3"/>
  <c r="DA9" i="3"/>
  <c r="DA22" i="3"/>
  <c r="DA37" i="3"/>
  <c r="DA42" i="3"/>
  <c r="DA26" i="3"/>
  <c r="DA23" i="3"/>
  <c r="DA24" i="3"/>
  <c r="DA20" i="3"/>
  <c r="DA17" i="3"/>
  <c r="DA18" i="3"/>
  <c r="DA50" i="3"/>
  <c r="DA7" i="3"/>
  <c r="DA8" i="3"/>
  <c r="DA45" i="3"/>
  <c r="DA38" i="3"/>
  <c r="DA44" i="3"/>
  <c r="DA36" i="3"/>
  <c r="DA25" i="3"/>
  <c r="DA10" i="3"/>
  <c r="DA15" i="3"/>
  <c r="DA31" i="3"/>
  <c r="DA16" i="3"/>
  <c r="DA13" i="3"/>
  <c r="DA52" i="3"/>
  <c r="DA12" i="3"/>
  <c r="DA41" i="3"/>
  <c r="DA35" i="3"/>
  <c r="DA34" i="3"/>
  <c r="DA29" i="3"/>
  <c r="DA21" i="3"/>
  <c r="DA48" i="3"/>
  <c r="DA30" i="3"/>
  <c r="DA32" i="3"/>
  <c r="DA43" i="3"/>
  <c r="DA19" i="3"/>
  <c r="DA49" i="3"/>
  <c r="DA46" i="3"/>
  <c r="DA40" i="3"/>
  <c r="DA39" i="3"/>
  <c r="DA47" i="3"/>
  <c r="DA51" i="3"/>
  <c r="DA27" i="3"/>
  <c r="DB39" i="3" l="1"/>
  <c r="DC39" i="3" s="1"/>
  <c r="DB25" i="3"/>
  <c r="DC25" i="3" s="1"/>
  <c r="DB27" i="3"/>
  <c r="DC27" i="3" s="1"/>
  <c r="DB40" i="3"/>
  <c r="DC40" i="3" s="1"/>
  <c r="DB38" i="3"/>
  <c r="DC38" i="3" s="1"/>
  <c r="DB49" i="3"/>
  <c r="DC49" i="3" s="1"/>
  <c r="DB43" i="3"/>
  <c r="DC43" i="3" s="1"/>
  <c r="DB18" i="3"/>
  <c r="DC18" i="3" s="1"/>
  <c r="DB46" i="3"/>
  <c r="DC46" i="3" s="1"/>
  <c r="DB22" i="3"/>
  <c r="DC22" i="3" s="1"/>
  <c r="DB44" i="3"/>
  <c r="DC44" i="3" s="1"/>
  <c r="DB14" i="3"/>
  <c r="DC14" i="3" s="1"/>
  <c r="DB23" i="3"/>
  <c r="DC23" i="3" s="1"/>
  <c r="DB12" i="3"/>
  <c r="DC12" i="3" s="1"/>
  <c r="DB26" i="3"/>
  <c r="DC26" i="3" s="1"/>
  <c r="DB19" i="3"/>
  <c r="DC19" i="3" s="1"/>
  <c r="DB51" i="3"/>
  <c r="DC51" i="3" s="1"/>
  <c r="DB29" i="3"/>
  <c r="DC29" i="3" s="1"/>
  <c r="DB30" i="3"/>
  <c r="DC30" i="3" s="1"/>
  <c r="DB33" i="3"/>
  <c r="DC33" i="3" s="1"/>
  <c r="DB36" i="3"/>
  <c r="DC36" i="3" s="1"/>
  <c r="DB34" i="3"/>
  <c r="DC34" i="3" s="1"/>
  <c r="DB28" i="3"/>
  <c r="DC28" i="3" s="1"/>
  <c r="DB6" i="3"/>
  <c r="DC6" i="3" s="1"/>
  <c r="DB15" i="3"/>
  <c r="DC15" i="3" s="1"/>
  <c r="DB35" i="3"/>
  <c r="DC35" i="3" s="1"/>
  <c r="DB9" i="3"/>
  <c r="DC9" i="3" s="1"/>
  <c r="DB32" i="3"/>
  <c r="DC32" i="3" s="1"/>
  <c r="DB41" i="3"/>
  <c r="DC41" i="3" s="1"/>
  <c r="DB42" i="3"/>
  <c r="DC42" i="3" s="1"/>
  <c r="DB45" i="3"/>
  <c r="DC45" i="3" s="1"/>
  <c r="DB53" i="3"/>
  <c r="DC53" i="3" s="1"/>
  <c r="DB24" i="3"/>
  <c r="DC24" i="3" s="1"/>
  <c r="DB11" i="3"/>
  <c r="DC11" i="3" s="1"/>
  <c r="DB10" i="3"/>
  <c r="DC10" i="3" s="1"/>
  <c r="DB48" i="3"/>
  <c r="DC48" i="3" s="1"/>
  <c r="DB7" i="3"/>
  <c r="DC7" i="3" s="1"/>
  <c r="DB16" i="3"/>
  <c r="DC16" i="3" s="1"/>
  <c r="DB13" i="3"/>
  <c r="DC13" i="3" s="1"/>
  <c r="DB47" i="3"/>
  <c r="DC47" i="3" s="1"/>
  <c r="DB20" i="3"/>
  <c r="DC20" i="3" s="1"/>
  <c r="DB21" i="3"/>
  <c r="DC21" i="3" s="1"/>
  <c r="DB17" i="3"/>
  <c r="DC17" i="3" s="1"/>
  <c r="DB31" i="3"/>
  <c r="DC31" i="3" s="1"/>
  <c r="DB52" i="3"/>
  <c r="DC52" i="3" s="1"/>
  <c r="DB8" i="3"/>
  <c r="DC8" i="3" s="1"/>
  <c r="DB50" i="3"/>
  <c r="DC50" i="3" s="1"/>
  <c r="DB37" i="3"/>
  <c r="DC37" i="3" s="1"/>
  <c r="DD53" i="3" l="1"/>
  <c r="BM53" i="3" s="1"/>
  <c r="DD44" i="3"/>
  <c r="BM44" i="3" s="1"/>
  <c r="DD9" i="3"/>
  <c r="BM9" i="3" s="1"/>
  <c r="DD48" i="3"/>
  <c r="BM48" i="3" s="1"/>
  <c r="DD52" i="3"/>
  <c r="BM52" i="3" s="1"/>
  <c r="DD30" i="3"/>
  <c r="BM30" i="3" s="1"/>
  <c r="DD8" i="3"/>
  <c r="BM8" i="3" s="1"/>
  <c r="DD12" i="3"/>
  <c r="BM12" i="3" s="1"/>
  <c r="DD22" i="3"/>
  <c r="BM22" i="3" s="1"/>
  <c r="DD11" i="3"/>
  <c r="BM11" i="3" s="1"/>
  <c r="DD13" i="3"/>
  <c r="BM13" i="3" s="1"/>
  <c r="DD33" i="3"/>
  <c r="BM33" i="3" s="1"/>
  <c r="DD7" i="3"/>
  <c r="BM7" i="3" s="1"/>
  <c r="DD36" i="3"/>
  <c r="BM36" i="3" s="1"/>
  <c r="DD26" i="3"/>
  <c r="BM26" i="3" s="1"/>
  <c r="DD21" i="3"/>
  <c r="BM21" i="3" s="1"/>
  <c r="DD14" i="3"/>
  <c r="BM14" i="3" s="1"/>
  <c r="DD34" i="3"/>
  <c r="BM34" i="3" s="1"/>
  <c r="DD27" i="3"/>
  <c r="BM27" i="3" s="1"/>
  <c r="DD18" i="3"/>
  <c r="BM18" i="3" s="1"/>
  <c r="DD40" i="3"/>
  <c r="BM40" i="3" s="1"/>
  <c r="DD42" i="3"/>
  <c r="BM42" i="3" s="1"/>
  <c r="DD47" i="3"/>
  <c r="BM47" i="3" s="1"/>
  <c r="DD31" i="3"/>
  <c r="BM31" i="3" s="1"/>
  <c r="DD50" i="3"/>
  <c r="BM50" i="3" s="1"/>
  <c r="DD45" i="3"/>
  <c r="BM45" i="3" s="1"/>
  <c r="DD49" i="3"/>
  <c r="BM49" i="3" s="1"/>
  <c r="DD25" i="3"/>
  <c r="BM25" i="3" s="1"/>
  <c r="DD38" i="3"/>
  <c r="BM38" i="3" s="1"/>
  <c r="DD19" i="3"/>
  <c r="BM19" i="3" s="1"/>
  <c r="DD20" i="3"/>
  <c r="BM20" i="3" s="1"/>
  <c r="DD41" i="3"/>
  <c r="BM41" i="3" s="1"/>
  <c r="DD15" i="3"/>
  <c r="BM15" i="3" s="1"/>
  <c r="DD43" i="3"/>
  <c r="BM43" i="3" s="1"/>
  <c r="DD24" i="3"/>
  <c r="BM24" i="3" s="1"/>
  <c r="DD32" i="3"/>
  <c r="BM32" i="3" s="1"/>
  <c r="DD10" i="3"/>
  <c r="BM10" i="3" s="1"/>
  <c r="DD16" i="3"/>
  <c r="BM16" i="3" s="1"/>
  <c r="DD46" i="3"/>
  <c r="BM46" i="3" s="1"/>
  <c r="DD23" i="3"/>
  <c r="BM23" i="3" s="1"/>
  <c r="DD29" i="3"/>
  <c r="BM29" i="3" s="1"/>
  <c r="DD37" i="3"/>
  <c r="BM37" i="3" s="1"/>
  <c r="DD39" i="3"/>
  <c r="BM39" i="3" s="1"/>
  <c r="DD17" i="3"/>
  <c r="BM17" i="3" s="1"/>
  <c r="DD6" i="3"/>
  <c r="BM6" i="3" s="1"/>
  <c r="DD28" i="3"/>
  <c r="BM28" i="3" s="1"/>
  <c r="DD51" i="3"/>
  <c r="BM51" i="3" s="1"/>
  <c r="DD35" i="3"/>
  <c r="BM35" i="3" s="1"/>
  <c r="DQ12" i="3" l="1"/>
  <c r="DJ12" i="3" s="1"/>
  <c r="AV9" i="3"/>
  <c r="DQ11" i="3"/>
  <c r="DJ11" i="3" s="1"/>
  <c r="AV16" i="3"/>
  <c r="AV23" i="3"/>
  <c r="AV25" i="3"/>
  <c r="AV15" i="3"/>
  <c r="DQ8" i="3"/>
  <c r="DJ8" i="3" s="1"/>
  <c r="AV8" i="3"/>
  <c r="DQ9" i="3"/>
  <c r="DJ9" i="3" s="1"/>
  <c r="AV6" i="3"/>
  <c r="DQ15" i="3"/>
  <c r="DJ15" i="3" s="1"/>
  <c r="DQ19" i="3"/>
  <c r="DJ19" i="3" s="1"/>
  <c r="AV71" i="3"/>
  <c r="DQ17" i="3"/>
  <c r="DJ17" i="3" s="1"/>
  <c r="DQ7" i="3"/>
  <c r="DJ7" i="3" s="1"/>
  <c r="DQ46" i="3"/>
  <c r="DJ46" i="3" s="1"/>
  <c r="AV73" i="3"/>
  <c r="DQ39" i="3"/>
  <c r="DJ39" i="3" s="1"/>
  <c r="DQ21" i="3"/>
  <c r="DJ21" i="3" s="1"/>
  <c r="DQ41" i="3"/>
  <c r="DJ41" i="3" s="1"/>
  <c r="AV22" i="3"/>
  <c r="AV7" i="3"/>
  <c r="DQ29" i="3"/>
  <c r="DJ29" i="3" s="1"/>
  <c r="DQ40" i="3"/>
  <c r="DJ40" i="3" s="1"/>
  <c r="AV87" i="3"/>
  <c r="DQ14" i="3"/>
  <c r="DJ14" i="3" s="1"/>
  <c r="DQ6" i="3"/>
  <c r="DJ6" i="3" s="1"/>
  <c r="DQ13" i="3"/>
  <c r="DJ13" i="3" s="1"/>
  <c r="DQ10" i="3"/>
  <c r="DJ10" i="3" s="1"/>
  <c r="AV64" i="3"/>
  <c r="DQ28" i="3"/>
  <c r="DJ28" i="3" s="1"/>
  <c r="AV17" i="3"/>
  <c r="AV14" i="3"/>
  <c r="DQ51" i="3"/>
  <c r="DJ51" i="3" s="1"/>
  <c r="AV31" i="3"/>
  <c r="DQ23" i="3"/>
  <c r="DJ23" i="3" s="1"/>
  <c r="DQ26" i="3"/>
  <c r="DJ26" i="3" s="1"/>
  <c r="AV32" i="3"/>
  <c r="DQ35" i="3"/>
  <c r="DJ35" i="3" s="1"/>
  <c r="AV46" i="3"/>
  <c r="AV80" i="3"/>
  <c r="AV81" i="3"/>
  <c r="DQ24" i="3"/>
  <c r="DJ24" i="3" s="1"/>
  <c r="DQ31" i="3"/>
  <c r="DJ31" i="3" s="1"/>
  <c r="DQ48" i="3"/>
  <c r="DJ48" i="3" s="1"/>
  <c r="AV62" i="3"/>
  <c r="DQ27" i="3"/>
  <c r="DJ27" i="3" s="1"/>
  <c r="DQ42" i="3"/>
  <c r="DJ42" i="3" s="1"/>
  <c r="AV63" i="3"/>
  <c r="DQ34" i="3"/>
  <c r="DJ34" i="3" s="1"/>
  <c r="AV39" i="3"/>
  <c r="AV55" i="3"/>
  <c r="DQ44" i="3"/>
  <c r="DJ44" i="3" s="1"/>
  <c r="DQ38" i="3"/>
  <c r="DJ38" i="3" s="1"/>
  <c r="DQ25" i="3"/>
  <c r="DJ25" i="3" s="1"/>
  <c r="AV86" i="3"/>
  <c r="AV72" i="3"/>
  <c r="DQ30" i="3"/>
  <c r="DJ30" i="3" s="1"/>
  <c r="AV79" i="3"/>
  <c r="AV56" i="3"/>
  <c r="AV54" i="3"/>
  <c r="AV49" i="3"/>
  <c r="DQ18" i="3"/>
  <c r="DJ18" i="3" s="1"/>
  <c r="AV24" i="3"/>
  <c r="AV88" i="3"/>
  <c r="AV40" i="3"/>
  <c r="AV94" i="3"/>
  <c r="AV97" i="3"/>
  <c r="AV33" i="3"/>
  <c r="AV38" i="3"/>
  <c r="DQ22" i="3"/>
  <c r="DJ22" i="3" s="1"/>
  <c r="DQ45" i="3"/>
  <c r="DJ45" i="3" s="1"/>
  <c r="DQ53" i="3"/>
  <c r="DJ53" i="3" s="1"/>
  <c r="DQ52" i="3"/>
  <c r="DJ52" i="3" s="1"/>
  <c r="AV96" i="3"/>
  <c r="AV48" i="3"/>
  <c r="AV30" i="3"/>
  <c r="DQ37" i="3"/>
  <c r="DJ37" i="3" s="1"/>
  <c r="DQ43" i="3"/>
  <c r="DJ43" i="3" s="1"/>
  <c r="DQ36" i="3"/>
  <c r="DJ36" i="3" s="1"/>
  <c r="AV41" i="3"/>
  <c r="DQ20" i="3"/>
  <c r="DJ20" i="3" s="1"/>
  <c r="DQ47" i="3"/>
  <c r="DJ47" i="3" s="1"/>
  <c r="DQ49" i="3"/>
  <c r="DJ49" i="3" s="1"/>
  <c r="AV65" i="3"/>
  <c r="AV47" i="3"/>
  <c r="DQ50" i="3"/>
  <c r="DJ50" i="3" s="1"/>
  <c r="DQ32" i="3"/>
  <c r="DJ32" i="3" s="1"/>
  <c r="DQ16" i="3"/>
  <c r="DJ16" i="3" s="1"/>
  <c r="AV95" i="3"/>
  <c r="AV57" i="3"/>
  <c r="DQ33" i="3"/>
  <c r="DJ33" i="3" s="1"/>
  <c r="AV89" i="3"/>
  <c r="AV78" i="3"/>
  <c r="AV70" i="3"/>
  <c r="DF8" i="3" l="1"/>
  <c r="DL18" i="3"/>
  <c r="AU30" i="3" s="1"/>
  <c r="DF7" i="3"/>
  <c r="DL35" i="3"/>
  <c r="AU63" i="3" s="1"/>
  <c r="DL49" i="3"/>
  <c r="AU89" i="3" s="1"/>
  <c r="DL38" i="3"/>
  <c r="AU70" i="3" s="1"/>
  <c r="DL8" i="3"/>
  <c r="AU8" i="3" s="1"/>
  <c r="DL15" i="3"/>
  <c r="AU23" i="3" s="1"/>
  <c r="DL33" i="3"/>
  <c r="AU57" i="3" s="1"/>
  <c r="DL36" i="3"/>
  <c r="AU64" i="3" s="1"/>
  <c r="DL31" i="3"/>
  <c r="AU55" i="3" s="1"/>
  <c r="DL23" i="3"/>
  <c r="AU39" i="3" s="1"/>
  <c r="DL30" i="3"/>
  <c r="AU54" i="3" s="1"/>
  <c r="DL22" i="3"/>
  <c r="AU38" i="3" s="1"/>
  <c r="DL47" i="3"/>
  <c r="AU87" i="3" s="1"/>
  <c r="DL43" i="3"/>
  <c r="AU79" i="3" s="1"/>
  <c r="DL24" i="3"/>
  <c r="AU40" i="3" s="1"/>
  <c r="DL11" i="3"/>
  <c r="DM11" i="3" s="1"/>
  <c r="DL29" i="3"/>
  <c r="DN29" i="3" s="1" a="1"/>
  <c r="DN29" i="3" s="1"/>
  <c r="DL21" i="3"/>
  <c r="AU33" i="3" s="1"/>
  <c r="DL42" i="3"/>
  <c r="AU78" i="3" s="1"/>
  <c r="DL40" i="3"/>
  <c r="AU72" i="3" s="1"/>
  <c r="DL13" i="3"/>
  <c r="AU17" i="3" s="1"/>
  <c r="DL25" i="3"/>
  <c r="AU41" i="3" s="1"/>
  <c r="DL32" i="3"/>
  <c r="AU56" i="3" s="1"/>
  <c r="DL45" i="3"/>
  <c r="DN45" i="3" s="1" a="1"/>
  <c r="DN45" i="3" s="1"/>
  <c r="DL41" i="3"/>
  <c r="DM41" i="3" s="1"/>
  <c r="DL34" i="3"/>
  <c r="AU62" i="3" s="1"/>
  <c r="DL26" i="3"/>
  <c r="AU46" i="3" s="1"/>
  <c r="DL46" i="3"/>
  <c r="AU86" i="3" s="1"/>
  <c r="DL39" i="3"/>
  <c r="AU71" i="3" s="1"/>
  <c r="DL20" i="3"/>
  <c r="DN20" i="3" s="1" a="1"/>
  <c r="DN20" i="3" s="1"/>
  <c r="DL16" i="3"/>
  <c r="AU24" i="3" s="1"/>
  <c r="DL27" i="3"/>
  <c r="AU47" i="3" s="1"/>
  <c r="DL12" i="3"/>
  <c r="AU16" i="3" s="1"/>
  <c r="DL28" i="3"/>
  <c r="AU48" i="3" s="1"/>
  <c r="DL7" i="3"/>
  <c r="DN7" i="3" s="1" a="1"/>
  <c r="DN7" i="3" s="1"/>
  <c r="DL50" i="3"/>
  <c r="DN50" i="3" s="1" a="1"/>
  <c r="DN50" i="3" s="1"/>
  <c r="DL37" i="3"/>
  <c r="AU65" i="3" s="1"/>
  <c r="DL44" i="3"/>
  <c r="AU80" i="3" s="1"/>
  <c r="DL19" i="3"/>
  <c r="AU31" i="3" s="1"/>
  <c r="DL51" i="3"/>
  <c r="AU95" i="3" s="1"/>
  <c r="DL9" i="3"/>
  <c r="AU9" i="3" s="1"/>
  <c r="DL14" i="3"/>
  <c r="DM14" i="3" s="1"/>
  <c r="DL52" i="3"/>
  <c r="AU96" i="3" s="1"/>
  <c r="DL17" i="3"/>
  <c r="AU25" i="3" s="1"/>
  <c r="DL53" i="3"/>
  <c r="AU97" i="3" s="1"/>
  <c r="DL48" i="3"/>
  <c r="AU88" i="3" s="1"/>
  <c r="DL6" i="3"/>
  <c r="AU6" i="3" s="1"/>
  <c r="DL10" i="3"/>
  <c r="AU14" i="3" s="1"/>
  <c r="DM15" i="3" l="1"/>
  <c r="DM18" i="3"/>
  <c r="DN18" i="3" a="1"/>
  <c r="DN18" i="3" s="1"/>
  <c r="DM47" i="3"/>
  <c r="AU53" i="3"/>
  <c r="AV52" i="3" s="1"/>
  <c r="AU22" i="3"/>
  <c r="AU21" i="3" s="1"/>
  <c r="AV20" i="3" s="1"/>
  <c r="DM30" i="3"/>
  <c r="DN42" i="3" a="1"/>
  <c r="DN42" i="3" s="1"/>
  <c r="DM26" i="3"/>
  <c r="DN32" i="3" a="1"/>
  <c r="DN32" i="3" s="1"/>
  <c r="DN26" i="3" a="1"/>
  <c r="DN26" i="3" s="1"/>
  <c r="DM49" i="3"/>
  <c r="DN49" i="3" a="1"/>
  <c r="DN49" i="3" s="1"/>
  <c r="DM42" i="3"/>
  <c r="DM7" i="3"/>
  <c r="DN16" i="3" a="1"/>
  <c r="DN16" i="3" s="1"/>
  <c r="DM52" i="3"/>
  <c r="DM32" i="3"/>
  <c r="DN33" i="3" a="1"/>
  <c r="DN33" i="3" s="1"/>
  <c r="AU7" i="3"/>
  <c r="AU5" i="3" s="1"/>
  <c r="AV4" i="3" s="1"/>
  <c r="DN24" i="3" a="1"/>
  <c r="DN24" i="3" s="1"/>
  <c r="DM24" i="3"/>
  <c r="DM16" i="3"/>
  <c r="DM19" i="3"/>
  <c r="DN30" i="3" a="1"/>
  <c r="DN30" i="3" s="1"/>
  <c r="DM33" i="3"/>
  <c r="DM31" i="3"/>
  <c r="DN8" i="3" a="1"/>
  <c r="DN8" i="3" s="1"/>
  <c r="DN48" i="3" a="1"/>
  <c r="DN48" i="3" s="1"/>
  <c r="DM6" i="3"/>
  <c r="DM38" i="3"/>
  <c r="DM40" i="3"/>
  <c r="DN40" i="3" a="1"/>
  <c r="DN40" i="3" s="1"/>
  <c r="DN44" i="3" a="1"/>
  <c r="DN44" i="3" s="1"/>
  <c r="DM23" i="3"/>
  <c r="DN15" i="3" a="1"/>
  <c r="DN15" i="3" s="1"/>
  <c r="DN14" i="3" a="1"/>
  <c r="DN14" i="3" s="1"/>
  <c r="DM44" i="3"/>
  <c r="DN35" i="3" a="1"/>
  <c r="DN35" i="3" s="1"/>
  <c r="DM48" i="3"/>
  <c r="DN21" i="3" a="1"/>
  <c r="DN21" i="3" s="1"/>
  <c r="DM35" i="3"/>
  <c r="DM25" i="3"/>
  <c r="DN27" i="3" a="1"/>
  <c r="DN27" i="3" s="1"/>
  <c r="DM45" i="3"/>
  <c r="DN22" i="3" a="1"/>
  <c r="DN22" i="3" s="1"/>
  <c r="DN36" i="3" a="1"/>
  <c r="DN36" i="3" s="1"/>
  <c r="DM46" i="3"/>
  <c r="DN11" i="3" a="1"/>
  <c r="DN11" i="3" s="1"/>
  <c r="AU81" i="3"/>
  <c r="AU77" i="3" s="1"/>
  <c r="AV76" i="3" s="1"/>
  <c r="DM27" i="3"/>
  <c r="DN38" i="3" a="1"/>
  <c r="DN38" i="3" s="1"/>
  <c r="DM36" i="3"/>
  <c r="DM22" i="3"/>
  <c r="DN46" i="3" a="1"/>
  <c r="DN46" i="3" s="1"/>
  <c r="AU94" i="3"/>
  <c r="AU93" i="3" s="1"/>
  <c r="AV92" i="3" s="1"/>
  <c r="DM50" i="3"/>
  <c r="AU15" i="3"/>
  <c r="AU13" i="3" s="1"/>
  <c r="AV12" i="3" s="1"/>
  <c r="DF10" i="3" s="1"/>
  <c r="AU61" i="3"/>
  <c r="AV60" i="3" s="1"/>
  <c r="DN17" i="3" a="1"/>
  <c r="DN17" i="3" s="1"/>
  <c r="AU73" i="3"/>
  <c r="AU69" i="3" s="1"/>
  <c r="AV68" i="3" s="1"/>
  <c r="DM8" i="3"/>
  <c r="DM51" i="3"/>
  <c r="DM39" i="3"/>
  <c r="AU49" i="3"/>
  <c r="AU45" i="3" s="1"/>
  <c r="AV44" i="3" s="1"/>
  <c r="DN12" i="3" a="1"/>
  <c r="DN12" i="3" s="1"/>
  <c r="DN47" i="3" a="1"/>
  <c r="DN47" i="3" s="1"/>
  <c r="DN31" i="3" a="1"/>
  <c r="DN31" i="3" s="1"/>
  <c r="AU37" i="3"/>
  <c r="AV36" i="3" s="1"/>
  <c r="AU85" i="3"/>
  <c r="AV84" i="3" s="1"/>
  <c r="DN23" i="3" a="1"/>
  <c r="DN23" i="3" s="1"/>
  <c r="DN34" i="3" a="1"/>
  <c r="DN34" i="3" s="1"/>
  <c r="DN41" i="3" a="1"/>
  <c r="DN41" i="3" s="1"/>
  <c r="DM29" i="3"/>
  <c r="DN39" i="3" a="1"/>
  <c r="DN39" i="3" s="1"/>
  <c r="DN13" i="3" a="1"/>
  <c r="DN13" i="3" s="1"/>
  <c r="DM34" i="3"/>
  <c r="DM13" i="3"/>
  <c r="DN43" i="3" a="1"/>
  <c r="DN43" i="3" s="1"/>
  <c r="DM12" i="3"/>
  <c r="DM43" i="3"/>
  <c r="DM21" i="3"/>
  <c r="DN6" i="3" a="1"/>
  <c r="DN6" i="3" s="1"/>
  <c r="DN51" i="3" a="1"/>
  <c r="DN51" i="3" s="1"/>
  <c r="DN19" i="3" a="1"/>
  <c r="DN19" i="3" s="1"/>
  <c r="DN52" i="3" a="1"/>
  <c r="DN52" i="3" s="1"/>
  <c r="DN25" i="3" a="1"/>
  <c r="DN25" i="3" s="1"/>
  <c r="DN10" i="3" a="1"/>
  <c r="DN10" i="3" s="1"/>
  <c r="DM20" i="3"/>
  <c r="DM28" i="3"/>
  <c r="DM37" i="3"/>
  <c r="DM10" i="3"/>
  <c r="DN53" i="3" a="1"/>
  <c r="DN53" i="3" s="1"/>
  <c r="AU32" i="3"/>
  <c r="AU29" i="3" s="1"/>
  <c r="AV28" i="3" s="1"/>
  <c r="DN9" i="3" a="1"/>
  <c r="DN9" i="3" s="1"/>
  <c r="DM9" i="3"/>
  <c r="DM17" i="3"/>
  <c r="DM53" i="3"/>
  <c r="DN28" i="3" a="1"/>
  <c r="DN28" i="3" s="1"/>
  <c r="DN37" i="3" a="1"/>
  <c r="DN37" i="3" s="1"/>
  <c r="DF9" i="3"/>
  <c r="DF37" i="3" l="1"/>
  <c r="DF24" i="3"/>
  <c r="DF14" i="3"/>
  <c r="DF22" i="3"/>
  <c r="DF23" i="3"/>
  <c r="DF12" i="3"/>
  <c r="DF16" i="3"/>
  <c r="DF19" i="3"/>
  <c r="DF18" i="3"/>
  <c r="DF25" i="3"/>
  <c r="DF21"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H67" i="3"/>
  <c r="BG59" i="3"/>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D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AR39" i="3"/>
  <c r="AM39" i="3"/>
  <c r="I37" i="45" s="1"/>
  <c r="M106" i="3"/>
  <c r="AA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BF59" i="3" l="1"/>
  <c r="BJ59" i="3" s="1"/>
  <c r="D105" i="3"/>
  <c r="N122" i="3" s="1"/>
  <c r="AF122" i="3" s="1"/>
  <c r="BF63" i="3"/>
  <c r="BJ63" i="3" s="1"/>
  <c r="BF65" i="3"/>
  <c r="BJ65"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AG116" i="3"/>
  <c r="N127" i="3"/>
  <c r="AF127" i="3" s="1"/>
  <c r="AG115" i="3"/>
  <c r="M126" i="3"/>
  <c r="AA126" i="3" s="1"/>
  <c r="AG114" i="3"/>
  <c r="N126" i="3"/>
  <c r="AF126" i="3" s="1"/>
  <c r="AG113" i="3"/>
  <c r="M127" i="3"/>
  <c r="AA127" i="3" s="1"/>
  <c r="AG112" i="3"/>
  <c r="M124" i="3"/>
  <c r="AA124" i="3" s="1"/>
  <c r="AG111" i="3"/>
  <c r="N124" i="3"/>
  <c r="AF124" i="3" s="1"/>
  <c r="N125" i="3"/>
  <c r="AF125" i="3" s="1"/>
  <c r="AG109" i="3"/>
  <c r="N120" i="3"/>
  <c r="AF121" i="3" s="1"/>
  <c r="AG106" i="3"/>
  <c r="N123" i="3"/>
  <c r="AF123" i="3" s="1"/>
  <c r="AG108" i="3"/>
  <c r="AG103" i="3"/>
  <c r="M120" i="3"/>
  <c r="AA121" i="3" s="1"/>
  <c r="M122" i="3"/>
  <c r="AA122" i="3" s="1"/>
  <c r="D122" i="3" s="1"/>
  <c r="AG102" i="3"/>
  <c r="C136" i="31"/>
  <c r="AG101" i="3"/>
  <c r="M121" i="3"/>
  <c r="AA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65" i="3" l="1"/>
  <c r="BL59" i="3"/>
  <c r="AG105" i="3"/>
  <c r="D127" i="3"/>
  <c r="AG127" i="3" s="1"/>
  <c r="D124" i="3"/>
  <c r="M132" i="3" s="1"/>
  <c r="AA132" i="3" s="1"/>
  <c r="D132" i="3" s="1"/>
  <c r="D121" i="3"/>
  <c r="AG121" i="3" s="1"/>
  <c r="BL63" i="3"/>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AG122" i="3"/>
  <c r="M133" i="3"/>
  <c r="AA133" i="3" s="1"/>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N134" i="3" l="1"/>
  <c r="AF134" i="3" s="1"/>
  <c r="D134" i="3" s="1"/>
  <c r="M131" i="3"/>
  <c r="AA131" i="3" s="1"/>
  <c r="AG124" i="3"/>
  <c r="D120" i="3"/>
  <c r="BS63" i="3"/>
  <c r="BS68" i="3"/>
  <c r="BS66" i="3"/>
  <c r="BS65" i="3"/>
  <c r="BS58" i="3"/>
  <c r="BS69" i="3"/>
  <c r="BS60" i="3"/>
  <c r="BS64" i="3"/>
  <c r="BS67" i="3"/>
  <c r="BS62" i="3"/>
  <c r="BS61" i="3"/>
  <c r="BS59" i="3"/>
  <c r="C190" i="31"/>
  <c r="AE11" i="45"/>
  <c r="B200" i="31"/>
  <c r="AG126" i="3"/>
  <c r="N138" i="3"/>
  <c r="AF138" i="3" s="1"/>
  <c r="AG132" i="3"/>
  <c r="C211" i="31"/>
  <c r="AI19" i="45"/>
  <c r="C212" i="31"/>
  <c r="AI31" i="45"/>
  <c r="AI43" i="45"/>
  <c r="C213" i="31"/>
  <c r="C210" i="31" l="1"/>
  <c r="AI7" i="45"/>
  <c r="C217" i="31"/>
  <c r="AI44" i="45"/>
  <c r="C223" i="31"/>
  <c r="B223" i="31"/>
  <c r="AG134" i="3"/>
  <c r="N139" i="3"/>
  <c r="AF139" i="3" s="1"/>
  <c r="AF147" i="3" s="1"/>
  <c r="N131" i="3"/>
  <c r="AF131" i="3" s="1"/>
  <c r="D131" i="3" s="1"/>
  <c r="AG120" i="3"/>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C228" i="31"/>
  <c r="AM14" i="45"/>
  <c r="AG131" i="3" l="1"/>
  <c r="M138" i="3"/>
  <c r="AA138" i="3" s="1"/>
  <c r="H138" i="3" s="1"/>
  <c r="D139" i="3"/>
  <c r="N143" i="3" s="1"/>
  <c r="AA143" i="3"/>
  <c r="C229" i="31"/>
  <c r="AM38" i="45" a="1"/>
  <c r="AM38" i="45" s="1"/>
  <c r="AI8" i="45"/>
  <c r="C220" i="31"/>
  <c r="C214" i="31"/>
  <c r="B220" i="31"/>
  <c r="BV61" i="3"/>
  <c r="BV60" i="3"/>
  <c r="BV66" i="3"/>
  <c r="BV69" i="3"/>
  <c r="BV65" i="3"/>
  <c r="BV68" i="3"/>
  <c r="BV62" i="3"/>
  <c r="BV59" i="3"/>
  <c r="BV64" i="3"/>
  <c r="BV58" i="3"/>
  <c r="BV67" i="3"/>
  <c r="BV63" i="3"/>
  <c r="AU26" i="45"/>
  <c r="C241" i="31"/>
  <c r="AM13" i="45" l="1"/>
  <c r="B232" i="31"/>
  <c r="C232" i="31"/>
  <c r="C226" i="31"/>
  <c r="AA147" i="3"/>
  <c r="D138" i="3"/>
  <c r="M147" i="3" s="1"/>
  <c r="C236" i="31"/>
  <c r="AQ31" i="45"/>
  <c r="AG139" i="3"/>
  <c r="N147" i="3"/>
  <c r="BW60" i="3"/>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D147" i="3" l="1"/>
  <c r="AG147" i="3" s="1"/>
  <c r="AA151" i="3"/>
  <c r="H147" i="3"/>
  <c r="B247" i="31"/>
  <c r="AU25" i="45"/>
  <c r="AA150" i="3"/>
  <c r="C250" i="31" s="1"/>
  <c r="BO43" i="45" s="1"/>
  <c r="M143" i="3"/>
  <c r="C247" i="31"/>
  <c r="C240" i="31"/>
  <c r="AG138" i="3"/>
  <c r="BY59" i="3"/>
  <c r="BY63" i="3"/>
  <c r="BY60" i="3"/>
  <c r="BY61" i="3"/>
  <c r="BY68" i="3"/>
  <c r="BY66" i="3"/>
  <c r="BY69" i="3"/>
  <c r="BY64" i="3"/>
  <c r="BY62" i="3"/>
  <c r="BY67" i="3"/>
  <c r="BY58" i="3"/>
  <c r="BY65" i="3"/>
  <c r="AG151" i="3" l="1"/>
  <c r="BB23" i="45"/>
  <c r="C251" i="31"/>
  <c r="BO38" i="45"/>
  <c r="BO5" i="45"/>
  <c r="BO35" i="45"/>
  <c r="BO30" i="45"/>
  <c r="BO8" i="45"/>
  <c r="BO10" i="45"/>
  <c r="BO32" i="45"/>
  <c r="BO14" i="45"/>
  <c r="BO36" i="45"/>
  <c r="BO27" i="45"/>
  <c r="BO49" i="45"/>
  <c r="BO15" i="45"/>
  <c r="BO34" i="45"/>
  <c r="BO19" i="45"/>
  <c r="BO45" i="45"/>
  <c r="BO17" i="45"/>
  <c r="BO41" i="45"/>
  <c r="BO22" i="45"/>
  <c r="BO48" i="45"/>
  <c r="BO33" i="45"/>
  <c r="BO28" i="45"/>
  <c r="BO11" i="45"/>
  <c r="BO24" i="45"/>
  <c r="BO26" i="45"/>
  <c r="BO16" i="45"/>
  <c r="BO42" i="45"/>
  <c r="BO20" i="45"/>
  <c r="BO39" i="45"/>
  <c r="BO50" i="45"/>
  <c r="BO25" i="45"/>
  <c r="BO21" i="45"/>
  <c r="BO7" i="45"/>
  <c r="BO31" i="45"/>
  <c r="BO12" i="45"/>
  <c r="BA21" i="45"/>
  <c r="BO51" i="45"/>
  <c r="BO46" i="45"/>
  <c r="BO4" i="45"/>
  <c r="BO44" i="45"/>
  <c r="AG150" i="3"/>
  <c r="BO18" i="45"/>
  <c r="BO9" i="45"/>
  <c r="BO47" i="45"/>
  <c r="BO40" i="45"/>
  <c r="BO13" i="45"/>
  <c r="BO37" i="45"/>
  <c r="BO6" i="45"/>
  <c r="BO23" i="45"/>
  <c r="BO29" i="45"/>
  <c r="BZ65" i="3"/>
  <c r="CA65" i="3" s="1"/>
  <c r="BZ60" i="3"/>
  <c r="BZ64" i="3"/>
  <c r="BZ58" i="3"/>
  <c r="BZ59" i="3"/>
  <c r="CA59" i="3" s="1"/>
  <c r="BZ61" i="3"/>
  <c r="BZ68" i="3"/>
  <c r="BZ69" i="3"/>
  <c r="BZ67" i="3"/>
  <c r="BZ62" i="3"/>
  <c r="BZ63" i="3"/>
  <c r="BZ66" i="3"/>
  <c r="BN27" i="45" l="1"/>
  <c r="BN39" i="45"/>
  <c r="BN36" i="45"/>
  <c r="BN45" i="45"/>
  <c r="BN6" i="45"/>
  <c r="BN46" i="45"/>
  <c r="BN12" i="45"/>
  <c r="BN15" i="45"/>
  <c r="BN25" i="45"/>
  <c r="BN20" i="45"/>
  <c r="BN41" i="45"/>
  <c r="BN30" i="45"/>
  <c r="BN5" i="45"/>
  <c r="BN14" i="45"/>
  <c r="BN23" i="45"/>
  <c r="BN31" i="45"/>
  <c r="BN8" i="45"/>
  <c r="BN47" i="45"/>
  <c r="BN51" i="45"/>
  <c r="BN38" i="45"/>
  <c r="BN49" i="45"/>
  <c r="BN28" i="45"/>
  <c r="BN16" i="45"/>
  <c r="BN43" i="45"/>
  <c r="BN42" i="45"/>
  <c r="BN33" i="45"/>
  <c r="BN17" i="45"/>
  <c r="BN35" i="45"/>
  <c r="BN37" i="45"/>
  <c r="BN11" i="45"/>
  <c r="BN29" i="45"/>
  <c r="BN18" i="45"/>
  <c r="BN32" i="45"/>
  <c r="BN26" i="45"/>
  <c r="BN34" i="45"/>
  <c r="BN4" i="45"/>
  <c r="BN40" i="45"/>
  <c r="BN19" i="45"/>
  <c r="BN13" i="45"/>
  <c r="BN21" i="45"/>
  <c r="BN50" i="45"/>
  <c r="BN7" i="45"/>
  <c r="BN44" i="45"/>
  <c r="BN48" i="45"/>
  <c r="BN22" i="45"/>
  <c r="BN9" i="45"/>
  <c r="BN10" i="45"/>
  <c r="BN24" i="45"/>
  <c r="CA69" i="3"/>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D133" i="3" s="1"/>
  <c r="AG123" i="3"/>
  <c r="AG133" i="3" l="1"/>
  <c r="M139" i="3"/>
  <c r="AA139" i="3" s="1"/>
  <c r="C221" i="31"/>
  <c r="C215" i="31"/>
  <c r="B221" i="31"/>
  <c r="AI20" i="45"/>
  <c r="B222" i="31"/>
  <c r="C222" i="31"/>
  <c r="AI32" i="45"/>
  <c r="C216" i="31"/>
  <c r="AF143" i="3" l="1"/>
  <c r="H139" i="3"/>
  <c r="C227" i="31"/>
  <c r="B233" i="31"/>
  <c r="AM37" i="45"/>
  <c r="C233" i="31"/>
  <c r="AA152" i="3" l="1"/>
  <c r="D143" i="3"/>
  <c r="AG143" i="3" s="1"/>
  <c r="C244" i="31"/>
  <c r="C237" i="31"/>
  <c r="B244" i="31"/>
  <c r="AQ32" i="45"/>
  <c r="AG152" i="3" l="1"/>
  <c r="AJ151" i="3" s="1"/>
  <c r="C252" i="31"/>
  <c r="AZ25" i="45"/>
  <c r="AJ155" i="3" l="1"/>
  <c r="BM29" i="45"/>
  <c r="BL29" i="45" s="1"/>
  <c r="BK29" i="45" s="1"/>
  <c r="BJ29" i="45" s="1"/>
  <c r="BI29" i="45" s="1"/>
  <c r="BH29" i="45" s="1"/>
  <c r="BM16" i="45"/>
  <c r="BL16" i="45" s="1"/>
  <c r="BK16" i="45" s="1"/>
  <c r="BJ16" i="45" s="1"/>
  <c r="BI16" i="45" s="1"/>
  <c r="BH16" i="45" s="1"/>
  <c r="BM50" i="45"/>
  <c r="BL50" i="45" s="1"/>
  <c r="BK50" i="45" s="1"/>
  <c r="BJ50" i="45" s="1"/>
  <c r="BI50" i="45" s="1"/>
  <c r="BH50" i="45" s="1"/>
  <c r="BM24" i="45"/>
  <c r="BL24" i="45" s="1"/>
  <c r="BK24" i="45" s="1"/>
  <c r="BJ24" i="45" s="1"/>
  <c r="BI24" i="45" s="1"/>
  <c r="BH24" i="45" s="1"/>
  <c r="BM18" i="45"/>
  <c r="BL18" i="45" s="1"/>
  <c r="BK18" i="45" s="1"/>
  <c r="BJ18" i="45" s="1"/>
  <c r="BI18" i="45" s="1"/>
  <c r="BH18" i="45" s="1"/>
  <c r="BM25" i="45"/>
  <c r="BL25" i="45" s="1"/>
  <c r="BK25" i="45" s="1"/>
  <c r="BJ25" i="45" s="1"/>
  <c r="BI25" i="45" s="1"/>
  <c r="BH25" i="45" s="1"/>
  <c r="BM4" i="45"/>
  <c r="BL4" i="45" s="1"/>
  <c r="BK4" i="45" s="1"/>
  <c r="BJ4" i="45" s="1"/>
  <c r="BI4" i="45" s="1"/>
  <c r="BH4" i="45" s="1"/>
  <c r="BM38" i="45"/>
  <c r="BL38" i="45" s="1"/>
  <c r="BK38" i="45" s="1"/>
  <c r="BJ38" i="45" s="1"/>
  <c r="BI38" i="45" s="1"/>
  <c r="BH38" i="45" s="1"/>
  <c r="BM12" i="45"/>
  <c r="BL12" i="45" s="1"/>
  <c r="BK12" i="45" s="1"/>
  <c r="BJ12" i="45" s="1"/>
  <c r="BI12" i="45" s="1"/>
  <c r="BH12" i="45" s="1"/>
  <c r="BM14" i="45"/>
  <c r="BL14" i="45" s="1"/>
  <c r="BK14" i="45" s="1"/>
  <c r="BJ14" i="45" s="1"/>
  <c r="BI14" i="45" s="1"/>
  <c r="BH14" i="45" s="1"/>
  <c r="BM10" i="45"/>
  <c r="BL10" i="45" s="1"/>
  <c r="BK10" i="45" s="1"/>
  <c r="BJ10" i="45" s="1"/>
  <c r="BI10" i="45" s="1"/>
  <c r="BH10" i="45" s="1"/>
  <c r="BM5" i="45"/>
  <c r="BL5" i="45" s="1"/>
  <c r="BK5" i="45" s="1"/>
  <c r="BJ5" i="45" s="1"/>
  <c r="BI5" i="45" s="1"/>
  <c r="BH5" i="45" s="1"/>
  <c r="BM28" i="45"/>
  <c r="BL28" i="45" s="1"/>
  <c r="BK28" i="45" s="1"/>
  <c r="BJ28" i="45" s="1"/>
  <c r="BI28" i="45" s="1"/>
  <c r="BH28" i="45" s="1"/>
  <c r="BM26" i="45"/>
  <c r="BL26" i="45" s="1"/>
  <c r="BK26" i="45" s="1"/>
  <c r="BJ26" i="45" s="1"/>
  <c r="BI26" i="45" s="1"/>
  <c r="BH26" i="45" s="1"/>
  <c r="BM43" i="45"/>
  <c r="BL43" i="45" s="1"/>
  <c r="BK43" i="45" s="1"/>
  <c r="BJ43" i="45" s="1"/>
  <c r="BI43" i="45" s="1"/>
  <c r="BH43" i="45" s="1"/>
  <c r="BM21" i="45"/>
  <c r="BL21" i="45" s="1"/>
  <c r="BK21" i="45" s="1"/>
  <c r="BJ21" i="45" s="1"/>
  <c r="BI21" i="45" s="1"/>
  <c r="BH21" i="45" s="1"/>
  <c r="BM23" i="45"/>
  <c r="BL23" i="45" s="1"/>
  <c r="BK23" i="45" s="1"/>
  <c r="BJ23" i="45" s="1"/>
  <c r="BI23" i="45" s="1"/>
  <c r="BH23" i="45" s="1"/>
  <c r="BM33" i="45"/>
  <c r="BL33" i="45" s="1"/>
  <c r="BK33" i="45" s="1"/>
  <c r="BJ33" i="45" s="1"/>
  <c r="BI33" i="45" s="1"/>
  <c r="BH33" i="45" s="1"/>
  <c r="BM19" i="45"/>
  <c r="BL19" i="45" s="1"/>
  <c r="BK19" i="45" s="1"/>
  <c r="BJ19" i="45" s="1"/>
  <c r="BI19" i="45" s="1"/>
  <c r="BH19" i="45" s="1"/>
  <c r="BM34" i="45"/>
  <c r="BL34" i="45" s="1"/>
  <c r="BK34" i="45" s="1"/>
  <c r="BJ34" i="45" s="1"/>
  <c r="BI34" i="45" s="1"/>
  <c r="BH34" i="45" s="1"/>
  <c r="BM35" i="45"/>
  <c r="BL35" i="45" s="1"/>
  <c r="BK35" i="45" s="1"/>
  <c r="BJ35" i="45" s="1"/>
  <c r="BI35" i="45" s="1"/>
  <c r="BH35" i="45" s="1"/>
  <c r="BM36" i="45"/>
  <c r="BL36" i="45" s="1"/>
  <c r="BK36" i="45" s="1"/>
  <c r="BJ36" i="45" s="1"/>
  <c r="BI36" i="45" s="1"/>
  <c r="BH36" i="45" s="1"/>
  <c r="BM47" i="45"/>
  <c r="BL47" i="45" s="1"/>
  <c r="BK47" i="45" s="1"/>
  <c r="BJ47" i="45" s="1"/>
  <c r="BI47" i="45" s="1"/>
  <c r="BH47" i="45" s="1"/>
  <c r="BM20" i="45"/>
  <c r="BL20" i="45" s="1"/>
  <c r="BK20" i="45" s="1"/>
  <c r="BJ20" i="45" s="1"/>
  <c r="BI20" i="45" s="1"/>
  <c r="BH20" i="45" s="1"/>
  <c r="BM22" i="45"/>
  <c r="BL22" i="45" s="1"/>
  <c r="BK22" i="45" s="1"/>
  <c r="BJ22" i="45" s="1"/>
  <c r="BI22" i="45" s="1"/>
  <c r="BH22" i="45" s="1"/>
  <c r="BM11" i="45"/>
  <c r="BL11" i="45" s="1"/>
  <c r="BK11" i="45" s="1"/>
  <c r="BJ11" i="45" s="1"/>
  <c r="BI11" i="45" s="1"/>
  <c r="BH11" i="45" s="1"/>
  <c r="BM7" i="45"/>
  <c r="BL7" i="45" s="1"/>
  <c r="BK7" i="45" s="1"/>
  <c r="BJ7" i="45" s="1"/>
  <c r="BI7" i="45" s="1"/>
  <c r="BH7" i="45" s="1"/>
  <c r="BM42" i="45"/>
  <c r="BL42" i="45" s="1"/>
  <c r="BK42" i="45" s="1"/>
  <c r="BJ42" i="45" s="1"/>
  <c r="BI42" i="45" s="1"/>
  <c r="BH42" i="45" s="1"/>
  <c r="BM30" i="45"/>
  <c r="BL30" i="45" s="1"/>
  <c r="BK30" i="45" s="1"/>
  <c r="BJ30" i="45" s="1"/>
  <c r="BI30" i="45" s="1"/>
  <c r="BH30" i="45" s="1"/>
  <c r="BM8" i="45"/>
  <c r="BL8" i="45" s="1"/>
  <c r="BK8" i="45" s="1"/>
  <c r="BJ8" i="45" s="1"/>
  <c r="BI8" i="45" s="1"/>
  <c r="BH8" i="45" s="1"/>
  <c r="BM49" i="45"/>
  <c r="BL49" i="45" s="1"/>
  <c r="BK49" i="45" s="1"/>
  <c r="BJ49" i="45" s="1"/>
  <c r="BI49" i="45" s="1"/>
  <c r="BH49" i="45" s="1"/>
  <c r="BM13" i="45"/>
  <c r="BL13" i="45" s="1"/>
  <c r="BK13" i="45" s="1"/>
  <c r="BJ13" i="45" s="1"/>
  <c r="BI13" i="45" s="1"/>
  <c r="BH13" i="45" s="1"/>
  <c r="BM6" i="45"/>
  <c r="BL6" i="45" s="1"/>
  <c r="BK6" i="45" s="1"/>
  <c r="BJ6" i="45" s="1"/>
  <c r="BI6" i="45" s="1"/>
  <c r="BH6" i="45" s="1"/>
  <c r="BM44" i="45"/>
  <c r="BL44" i="45" s="1"/>
  <c r="BK44" i="45" s="1"/>
  <c r="BJ44" i="45" s="1"/>
  <c r="BI44" i="45" s="1"/>
  <c r="BH44" i="45" s="1"/>
  <c r="BM32" i="45"/>
  <c r="BL32" i="45" s="1"/>
  <c r="BK32" i="45" s="1"/>
  <c r="BJ32" i="45" s="1"/>
  <c r="BI32" i="45" s="1"/>
  <c r="BH32" i="45" s="1"/>
  <c r="BM41" i="45"/>
  <c r="BL41" i="45" s="1"/>
  <c r="BK41" i="45" s="1"/>
  <c r="BJ41" i="45" s="1"/>
  <c r="BI41" i="45" s="1"/>
  <c r="BH41" i="45" s="1"/>
  <c r="BM40" i="45"/>
  <c r="BL40" i="45" s="1"/>
  <c r="BK40" i="45" s="1"/>
  <c r="BJ40" i="45" s="1"/>
  <c r="BI40" i="45" s="1"/>
  <c r="BH40" i="45" s="1"/>
  <c r="BM37" i="45"/>
  <c r="BL37" i="45" s="1"/>
  <c r="BK37" i="45" s="1"/>
  <c r="BJ37" i="45" s="1"/>
  <c r="BI37" i="45" s="1"/>
  <c r="BH37" i="45" s="1"/>
  <c r="BM51" i="45"/>
  <c r="BL51" i="45" s="1"/>
  <c r="BK51" i="45" s="1"/>
  <c r="BJ51" i="45" s="1"/>
  <c r="BI51" i="45" s="1"/>
  <c r="BH51" i="45" s="1"/>
  <c r="BM27" i="45"/>
  <c r="BL27" i="45" s="1"/>
  <c r="BK27" i="45" s="1"/>
  <c r="BJ27" i="45" s="1"/>
  <c r="BI27" i="45" s="1"/>
  <c r="BH27" i="45" s="1"/>
  <c r="BM17" i="45"/>
  <c r="BL17" i="45" s="1"/>
  <c r="BK17" i="45" s="1"/>
  <c r="BJ17" i="45" s="1"/>
  <c r="BI17" i="45" s="1"/>
  <c r="BH17" i="45" s="1"/>
  <c r="BM15" i="45"/>
  <c r="BL15" i="45" s="1"/>
  <c r="BK15" i="45" s="1"/>
  <c r="BJ15" i="45" s="1"/>
  <c r="BI15" i="45" s="1"/>
  <c r="BH15" i="45" s="1"/>
  <c r="BM39" i="45"/>
  <c r="BL39" i="45" s="1"/>
  <c r="BK39" i="45" s="1"/>
  <c r="BJ39" i="45" s="1"/>
  <c r="BI39" i="45" s="1"/>
  <c r="BH39" i="45" s="1"/>
  <c r="BM45" i="45"/>
  <c r="BL45" i="45" s="1"/>
  <c r="BK45" i="45" s="1"/>
  <c r="BJ45" i="45" s="1"/>
  <c r="BI45" i="45" s="1"/>
  <c r="BH45" i="45" s="1"/>
  <c r="BM46" i="45"/>
  <c r="BL46" i="45" s="1"/>
  <c r="BK46" i="45" s="1"/>
  <c r="BJ46" i="45" s="1"/>
  <c r="BI46" i="45" s="1"/>
  <c r="BH46" i="45" s="1"/>
  <c r="BM48" i="45"/>
  <c r="BL48" i="45" s="1"/>
  <c r="BK48" i="45" s="1"/>
  <c r="BJ48" i="45" s="1"/>
  <c r="BI48" i="45" s="1"/>
  <c r="BH48" i="45" s="1"/>
  <c r="BM9" i="45"/>
  <c r="BL9" i="45" s="1"/>
  <c r="BK9" i="45" s="1"/>
  <c r="BJ9" i="45" s="1"/>
  <c r="BI9" i="45" s="1"/>
  <c r="BH9" i="45" s="1"/>
  <c r="BM31" i="45"/>
  <c r="BL31" i="45" s="1"/>
  <c r="BK31" i="45" s="1"/>
  <c r="BJ31" i="45" s="1"/>
  <c r="BI31" i="45" s="1"/>
  <c r="BH31"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<sst xmlns="http://schemas.openxmlformats.org/spreadsheetml/2006/main" count="6764" uniqueCount="1523">
  <si>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</si>
  <si>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</si>
  <si>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</si>
  <si>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</si>
  <si>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</si>
  <si>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</si>
  <si>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</si>
  <si>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</si>
  <si>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</si>
  <si>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</si>
  <si>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</si>
  <si>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</si>
  <si>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</si>
  <si>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</si>
  <si>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</si>
  <si>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</si>
  <si>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</si>
  <si>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</si>
  <si>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</si>
  <si>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</si>
  <si>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</si>
  <si>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</si>
  <si>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</si>
  <si>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</si>
  <si>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</si>
  <si>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</si>
  <si>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</si>
  <si>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</si>
  <si>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</si>
  <si>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</si>
  <si>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</si>
  <si>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</si>
  <si>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</si>
  <si>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</si>
  <si>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</si>
  <si>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</si>
  <si>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</si>
  <si>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</si>
  <si>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</si>
  <si>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</si>
  <si>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</si>
  <si>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</si>
  <si>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</si>
  <si>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</si>
  <si>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</si>
  <si>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</si>
  <si>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</si>
  <si>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</si>
  <si>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</si>
  <si>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</si>
  <si>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</si>
  <si>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</si>
  <si>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</si>
  <si>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</si>
  <si>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</si>
  <si>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</si>
  <si>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</si>
  <si>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</si>
  <si>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</si>
  <si>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</si>
  <si>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</si>
  <si>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</si>
  <si>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</si>
  <si>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</si>
  <si>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</si>
  <si>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</si>
  <si>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</si>
  <si>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</si>
  <si>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</si>
  <si>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</si>
  <si>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</si>
  <si>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</si>
  <si>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</si>
  <si>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</si>
  <si>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</si>
  <si>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</si>
  <si>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</si>
  <si>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</si>
  <si>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</si>
  <si>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</si>
  <si>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</si>
  <si>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</si>
  <si>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</si>
  <si>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</si>
  <si>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</si>
  <si>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</si>
  <si>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</si>
  <si>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</si>
  <si>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</si>
  <si>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</si>
  <si>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</si>
  <si>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</si>
  <si>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</si>
  <si>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</si>
  <si>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</si>
  <si>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</si>
  <si>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</si>
  <si>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</si>
  <si>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</si>
  <si>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</si>
  <si>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</si>
  <si>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</si>
  <si>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</si>
  <si>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</si>
  <si>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</si>
  <si>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</si>
  <si>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</si>
  <si>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</si>
  <si>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</si>
  <si>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</si>
  <si>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</si>
  <si>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</si>
  <si>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</si>
  <si>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</si>
  <si>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</si>
  <si>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</si>
  <si>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</si>
  <si>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</si>
  <si>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</si>
  <si>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</si>
  <si>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</si>
  <si>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</si>
  <si>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</si>
  <si>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</si>
  <si>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</si>
  <si>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</si>
  <si>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</si>
  <si>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</si>
  <si>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</si>
  <si>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</si>
  <si>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</si>
  <si>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</si>
  <si>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</si>
  <si>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</si>
  <si>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</si>
  <si>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</si>
  <si>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</si>
  <si>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</si>
  <si>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</si>
  <si>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</si>
  <si>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</si>
  <si>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</si>
  <si>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</si>
  <si>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</si>
  <si>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</si>
  <si>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</si>
  <si>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</si>
  <si>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</si>
  <si>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</si>
  <si>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</si>
  <si>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</si>
  <si>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</si>
  <si>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</si>
  <si>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</si>
  <si>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</si>
  <si>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</si>
  <si>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</si>
  <si>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</si>
  <si>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</si>
  <si>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</si>
  <si>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</si>
  <si>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</si>
  <si>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</si>
  <si>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</si>
  <si>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</si>
  <si>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</si>
  <si>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</si>
  <si>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</si>
  <si>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</si>
  <si>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</si>
  <si>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</si>
  <si>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</si>
  <si>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</si>
  <si>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</si>
  <si>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</si>
  <si>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</si>
  <si>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</si>
  <si>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</si>
  <si>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</si>
  <si>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</si>
  <si>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</si>
  <si>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</si>
  <si>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</si>
  <si>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</si>
  <si>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</si>
  <si>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</si>
  <si>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</si>
  <si>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</si>
  <si>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</si>
  <si>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</si>
  <si>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</si>
  <si>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</si>
  <si>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</si>
  <si>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</si>
  <si>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</si>
  <si>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</si>
  <si>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</si>
  <si>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</si>
  <si>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</si>
  <si>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</si>
  <si>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</si>
  <si>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</si>
  <si>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</si>
  <si>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</si>
  <si>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</si>
  <si>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</si>
  <si>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</si>
  <si>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</si>
  <si>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</si>
  <si>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</si>
  <si>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</si>
  <si>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</si>
  <si>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</si>
  <si>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</si>
  <si>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</si>
  <si>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</si>
  <si>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</si>
  <si>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</si>
  <si>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</si>
  <si>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</si>
  <si>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</si>
  <si>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</si>
  <si>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</si>
  <si>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</si>
  <si>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</si>
  <si>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</si>
  <si>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</si>
  <si>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</si>
  <si>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</si>
  <si>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</si>
  <si>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</si>
  <si>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</si>
  <si>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</si>
  <si>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</si>
  <si>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</si>
  <si>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</si>
  <si>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</si>
  <si>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</si>
  <si>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</si>
  <si>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</si>
  <si>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</si>
  <si>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</si>
  <si>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</si>
  <si>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</si>
  <si>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</si>
  <si>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</si>
  <si>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</si>
  <si>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</si>
  <si>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</si>
  <si>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</si>
  <si>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</si>
  <si>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</si>
  <si>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</si>
  <si>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</si>
  <si>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</si>
  <si>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</si>
  <si>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</si>
  <si>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</si>
  <si>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</si>
  <si>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</si>
  <si>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</si>
  <si>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</si>
  <si>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</si>
  <si>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</si>
  <si>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</si>
  <si>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</si>
  <si>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</si>
  <si>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</si>
  <si>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</si>
  <si>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</si>
  <si>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</si>
  <si>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</si>
  <si>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</si>
  <si>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</si>
  <si>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</si>
  <si>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</si>
  <si>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</si>
  <si>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</si>
  <si>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</si>
  <si>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</si>
  <si>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</si>
  <si>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</si>
  <si>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</si>
  <si>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</si>
  <si>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</si>
  <si>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</si>
  <si>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</si>
  <si>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</si>
  <si>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</si>
  <si>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</si>
  <si>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</si>
  <si>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</si>
  <si>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</si>
  <si>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</si>
  <si>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</si>
  <si>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</si>
  <si>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</si>
  <si>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</si>
  <si>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</si>
  <si>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</si>
  <si>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</si>
  <si>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</si>
  <si>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</si>
  <si>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</si>
  <si>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</si>
  <si>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</si>
  <si>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</si>
  <si>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</si>
  <si>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</si>
  <si>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</si>
  <si>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</si>
  <si>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</si>
  <si>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</si>
  <si>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</si>
  <si>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</si>
  <si>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</si>
  <si>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</si>
  <si>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</si>
  <si>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</si>
  <si>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</si>
  <si>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</si>
  <si>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</si>
  <si>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</si>
  <si>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</si>
  <si>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</si>
  <si>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</si>
  <si>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</si>
  <si>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</si>
  <si>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</si>
  <si>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</si>
  <si>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</si>
  <si>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</si>
  <si>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</si>
  <si>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</si>
  <si>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</si>
  <si>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</si>
  <si>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</si>
  <si>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</si>
  <si>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</si>
  <si>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</si>
  <si>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</si>
  <si>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</si>
  <si>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</si>
  <si>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</si>
  <si>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</si>
  <si>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</si>
  <si>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</si>
  <si>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</si>
  <si>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</si>
  <si>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</si>
  <si>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</si>
  <si>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</si>
  <si>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</si>
  <si>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</si>
  <si>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</si>
  <si>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</si>
  <si>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</si>
  <si>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</si>
  <si>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</si>
  <si>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</si>
  <si>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</si>
  <si>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</si>
  <si>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</si>
  <si>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</si>
  <si>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</si>
  <si>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</si>
  <si>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</si>
  <si>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</si>
  <si>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</si>
  <si>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</si>
  <si>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</si>
  <si>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</si>
  <si>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</si>
  <si>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</si>
  <si>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</si>
  <si>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</si>
  <si>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</si>
  <si>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</si>
  <si>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</si>
  <si>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</si>
  <si>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</si>
  <si>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</si>
  <si>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</si>
  <si>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</si>
  <si>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</si>
  <si>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</si>
  <si>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</si>
  <si>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</si>
  <si>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</si>
  <si>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</si>
  <si>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</si>
  <si>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</si>
  <si>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</si>
  <si>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</si>
  <si>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</si>
  <si>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</si>
  <si>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</si>
  <si>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</si>
  <si>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</si>
  <si>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</si>
  <si>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</si>
  <si>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</si>
  <si>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</si>
  <si>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</si>
  <si>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</si>
  <si>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</si>
  <si>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</si>
  <si>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</si>
  <si>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</si>
  <si>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</si>
  <si>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</si>
  <si>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</si>
  <si>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</si>
  <si>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</si>
  <si>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</si>
  <si>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</si>
  <si>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</si>
  <si>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</si>
  <si>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</si>
  <si>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</si>
  <si>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</si>
  <si>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</si>
  <si>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</si>
  <si>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</si>
  <si>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</si>
  <si>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</si>
  <si>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</si>
  <si>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</si>
  <si>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</si>
  <si>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</si>
  <si>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</si>
  <si>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</si>
  <si>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</si>
  <si>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</si>
  <si>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</si>
  <si>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</si>
  <si>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</si>
  <si>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</si>
  <si>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</si>
  <si>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</si>
  <si>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</si>
  <si>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</si>
  <si>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</si>
  <si>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</si>
  <si>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</si>
  <si>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</si>
  <si>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</si>
  <si>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</si>
  <si>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</si>
  <si>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</si>
  <si>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</si>
  <si>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</si>
  <si>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</si>
  <si>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</si>
  <si>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</si>
  <si>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</si>
  <si>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</si>
  <si>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</si>
  <si>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</si>
  <si>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</si>
  <si>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</si>
  <si>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</si>
  <si>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</si>
  <si>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</si>
  <si>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</si>
  <si>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</si>
  <si>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</si>
  <si>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</si>
  <si>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</si>
  <si>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</si>
  <si>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</si>
  <si>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</si>
  <si>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</si>
  <si>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</si>
  <si>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</si>
  <si>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</si>
  <si>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</si>
  <si>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</si>
  <si>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</si>
  <si>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</si>
  <si>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</si>
  <si>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</si>
  <si>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</si>
  <si>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</si>
  <si>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</si>
  <si>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</si>
  <si>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</si>
  <si>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</si>
  <si>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</si>
  <si>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</si>
  <si>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</si>
  <si>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</si>
  <si>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</si>
  <si>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</si>
  <si>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</si>
  <si>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</si>
  <si>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</si>
  <si>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</si>
  <si>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</si>
  <si>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</si>
  <si>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</si>
  <si>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</si>
  <si>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</si>
  <si>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</si>
  <si>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</si>
  <si>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</si>
  <si>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</si>
  <si>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</si>
  <si>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</si>
  <si>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</si>
  <si>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</si>
  <si>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</si>
  <si>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</si>
  <si>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</si>
  <si>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</si>
  <si>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</si>
  <si>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</si>
  <si>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</si>
  <si>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</si>
  <si>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</si>
  <si>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</si>
  <si>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</si>
  <si>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</si>
  <si>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</si>
  <si>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</si>
  <si>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</si>
  <si>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</si>
  <si>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</si>
  <si>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</si>
  <si>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</si>
  <si>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</si>
  <si>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</si>
  <si>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</si>
  <si>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</si>
  <si>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</si>
  <si>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</si>
  <si>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</si>
  <si>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</si>
  <si>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</si>
  <si>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</si>
  <si>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</si>
  <si>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</si>
  <si>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</si>
  <si>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</si>
  <si>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</si>
  <si>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</si>
  <si>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</si>
  <si>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</si>
  <si>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</si>
  <si>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</si>
  <si>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</si>
  <si>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</si>
  <si>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</si>
  <si>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</si>
  <si>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</si>
  <si>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</si>
  <si>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</si>
  <si>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</si>
  <si>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</si>
  <si>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</si>
  <si>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</si>
  <si>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</si>
  <si>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</si>
  <si>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</si>
  <si>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</si>
  <si>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</si>
  <si>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</si>
  <si>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</si>
  <si>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</si>
  <si>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</si>
  <si>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</si>
  <si>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</si>
  <si>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</si>
  <si>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</si>
  <si>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</si>
  <si>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</si>
  <si>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</si>
  <si>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</si>
  <si>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</si>
  <si>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</si>
  <si>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</si>
  <si>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</si>
  <si>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</si>
  <si>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</si>
  <si>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</si>
  <si>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</si>
  <si>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</si>
  <si>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</si>
  <si>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</si>
  <si>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</si>
  <si>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</si>
  <si>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</si>
  <si>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</si>
  <si>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</si>
  <si>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</si>
  <si>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</si>
  <si>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</si>
  <si>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</si>
  <si>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</si>
  <si>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</si>
  <si>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</si>
  <si>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</si>
  <si>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</si>
  <si>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</si>
  <si>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</si>
  <si>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</si>
  <si>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</si>
  <si>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</si>
  <si>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</si>
  <si>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</si>
  <si>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</si>
  <si>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</si>
  <si>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</si>
  <si>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</si>
  <si>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</si>
  <si>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</si>
  <si>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</si>
  <si>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</si>
  <si>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</si>
  <si>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</si>
  <si>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</si>
  <si>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</si>
  <si>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</si>
  <si>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</si>
  <si>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</si>
  <si>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</si>
  <si>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</si>
  <si>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</si>
  <si>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</si>
  <si>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</si>
  <si>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</si>
  <si>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</si>
  <si>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</si>
  <si>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</si>
  <si>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</si>
  <si>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</si>
  <si>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</si>
  <si>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</si>
  <si>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</si>
  <si>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</si>
  <si>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</si>
  <si>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</si>
  <si>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</si>
  <si>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</si>
  <si>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</si>
  <si>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</si>
  <si>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</si>
  <si>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</si>
  <si>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</si>
  <si>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</si>
  <si>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</si>
  <si>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</si>
  <si>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</si>
  <si>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</si>
  <si>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</si>
  <si>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</si>
  <si>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</si>
  <si>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</si>
  <si>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</si>
  <si>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</si>
  <si>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</si>
  <si>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</si>
  <si>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</si>
  <si>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</si>
  <si>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</si>
  <si>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</si>
  <si>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</si>
  <si>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</si>
  <si>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</si>
  <si>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</si>
  <si>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</si>
  <si>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</si>
  <si>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</si>
  <si>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</si>
  <si>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</si>
  <si>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</si>
  <si>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</si>
  <si>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</si>
  <si>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</si>
  <si>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</si>
  <si>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</si>
  <si>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</si>
  <si>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</si>
  <si>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</si>
  <si>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</si>
  <si>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</si>
  <si>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</si>
  <si>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</si>
  <si>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</si>
  <si>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</si>
  <si>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</si>
  <si>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</si>
  <si>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</si>
  <si>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</si>
  <si>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</si>
  <si>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</si>
  <si>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</si>
  <si>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</si>
  <si>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</si>
  <si>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</si>
  <si>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</si>
  <si>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</si>
  <si>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</si>
  <si>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</si>
  <si>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</si>
  <si>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</si>
  <si>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</si>
  <si>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</si>
  <si>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</si>
  <si>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</si>
  <si>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</si>
  <si>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</si>
  <si>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</si>
  <si>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</si>
  <si>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</si>
  <si>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</si>
  <si>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</si>
  <si>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</si>
  <si>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</si>
  <si>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</si>
  <si>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</si>
  <si>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</si>
  <si>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</si>
  <si>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</si>
  <si>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</si>
  <si>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</si>
  <si>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</si>
  <si>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</si>
  <si>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</si>
  <si>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</si>
  <si>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</si>
  <si>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</si>
  <si>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</si>
  <si>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</si>
  <si>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</si>
  <si>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</si>
  <si>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</si>
  <si>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</si>
  <si>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</si>
  <si>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</si>
  <si>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</si>
  <si>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</si>
  <si>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</si>
  <si>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</si>
  <si>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</si>
  <si>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</si>
  <si>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</si>
  <si>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</si>
  <si>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</si>
  <si>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</si>
  <si>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</si>
  <si>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</si>
  <si>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</si>
  <si>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</si>
  <si>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</si>
  <si>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</si>
  <si>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</si>
  <si>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</si>
  <si>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</si>
  <si>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</si>
  <si>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</si>
  <si>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</si>
  <si>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</si>
  <si>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</si>
  <si>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</si>
  <si>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</si>
  <si>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</si>
  <si>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</si>
  <si>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</si>
  <si>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</si>
  <si>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</si>
  <si>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</si>
  <si>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</si>
  <si>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</si>
  <si>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</si>
  <si>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</si>
  <si>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</si>
  <si>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</si>
  <si>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</si>
  <si>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</si>
  <si>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</si>
  <si>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</si>
  <si>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</si>
  <si>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</si>
  <si>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</si>
  <si>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</si>
  <si>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</si>
  <si>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</si>
  <si>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</si>
  <si>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</si>
  <si>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</si>
  <si>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</si>
  <si>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</si>
  <si>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</si>
  <si>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</si>
  <si>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</si>
  <si>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</si>
  <si>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</si>
  <si>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</si>
  <si>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</si>
  <si>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</si>
  <si>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</si>
  <si>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</si>
  <si>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</si>
  <si>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</si>
  <si>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</si>
  <si>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</si>
  <si>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</si>
  <si>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</si>
  <si>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</si>
  <si>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</si>
  <si>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</si>
  <si>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</si>
  <si>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</si>
  <si>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</si>
  <si>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</si>
  <si>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</si>
  <si>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</si>
  <si>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</si>
  <si>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</si>
  <si>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</si>
  <si>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</si>
  <si>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</si>
  <si>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</si>
  <si>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</si>
  <si>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</si>
  <si>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</si>
  <si>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</si>
  <si>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</si>
  <si>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</si>
  <si>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</si>
  <si>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</si>
  <si>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</si>
  <si>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</si>
  <si>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</si>
  <si>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</si>
  <si>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</si>
  <si>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</si>
  <si>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</si>
  <si>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</si>
  <si>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</si>
  <si>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</si>
  <si>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</si>
  <si>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</si>
  <si>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</si>
  <si>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</si>
  <si>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</si>
  <si>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</si>
  <si>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</si>
  <si>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</si>
  <si>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</si>
  <si>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</si>
  <si>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</si>
  <si>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</si>
  <si>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</si>
  <si>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</si>
  <si>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</si>
  <si>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</si>
  <si>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</si>
  <si>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</si>
  <si>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</si>
  <si>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</si>
  <si>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</si>
  <si>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</si>
  <si>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</si>
  <si>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</si>
  <si>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</si>
  <si>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</si>
  <si>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</si>
  <si>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</si>
  <si>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</si>
  <si>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</si>
  <si>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</si>
  <si>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</si>
  <si>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</si>
  <si>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</si>
  <si>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</si>
  <si>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</si>
  <si>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</si>
  <si>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</si>
  <si>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</si>
  <si>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</si>
  <si>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</si>
  <si>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</si>
  <si>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</si>
  <si>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</si>
  <si>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</si>
  <si>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</si>
  <si>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</si>
  <si>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</si>
  <si>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</si>
  <si>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</si>
  <si>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</si>
  <si>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</si>
  <si>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</si>
  <si>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</si>
  <si>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</si>
  <si>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</si>
  <si>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</si>
  <si>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</si>
  <si>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</si>
  <si>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</si>
  <si>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</si>
  <si>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</si>
  <si>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</si>
  <si>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</si>
  <si>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</si>
  <si>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</si>
  <si>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</si>
  <si>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</si>
  <si>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</si>
  <si>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</si>
  <si>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</si>
  <si>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</si>
  <si>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</si>
  <si>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</si>
  <si>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</si>
  <si>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</si>
  <si>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</si>
  <si>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</si>
  <si>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</si>
  <si>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</si>
  <si>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</si>
  <si>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</si>
  <si>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</si>
  <si>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</si>
  <si>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</si>
  <si>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</si>
  <si>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</si>
  <si>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</si>
  <si>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</si>
  <si>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</si>
  <si>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</si>
  <si>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</si>
  <si>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</si>
  <si>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</si>
  <si>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</si>
  <si>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</si>
  <si>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</si>
  <si>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</si>
  <si>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</si>
  <si>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</si>
  <si>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</si>
  <si>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</si>
  <si>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</si>
  <si>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</si>
  <si>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</si>
  <si>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</si>
  <si>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</si>
  <si>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</si>
  <si>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</si>
  <si>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</si>
  <si>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</si>
  <si>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</si>
  <si>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</si>
  <si>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</si>
  <si>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</si>
  <si>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</si>
  <si>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</si>
  <si>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</si>
  <si>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</si>
  <si>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</si>
  <si>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</si>
  <si>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</si>
  <si>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</si>
  <si>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</si>
  <si>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</si>
  <si>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</si>
  <si>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</si>
  <si>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</si>
  <si>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</si>
  <si>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</si>
  <si>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</si>
  <si>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</si>
  <si>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</si>
  <si>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</si>
  <si>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</si>
  <si>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</si>
  <si>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</si>
  <si>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</si>
  <si>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</si>
  <si>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</si>
  <si>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</si>
  <si>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</si>
  <si>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</si>
  <si>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</si>
  <si>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</si>
  <si>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</si>
  <si>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</si>
  <si>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</si>
  <si>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</si>
  <si>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</si>
  <si>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</si>
  <si>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</si>
  <si>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</si>
  <si>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</si>
  <si>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</si>
  <si>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</si>
  <si>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</si>
  <si>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</si>
  <si>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</si>
  <si>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</si>
  <si>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</si>
  <si>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</si>
  <si>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</si>
  <si>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</si>
  <si>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</si>
  <si>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</si>
  <si>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</si>
  <si>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</si>
  <si>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</si>
  <si>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</si>
  <si>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</si>
  <si>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</si>
  <si>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</si>
  <si>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</si>
  <si>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</si>
  <si>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</si>
  <si>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</si>
  <si>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</si>
  <si>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</si>
  <si>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</si>
  <si>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</si>
  <si>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</si>
  <si>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</si>
  <si>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</si>
  <si>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</si>
  <si>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</si>
  <si>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</si>
  <si>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</si>
  <si>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</si>
  <si>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</si>
  <si>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</si>
  <si>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</si>
  <si>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</si>
  <si>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</si>
  <si>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</si>
  <si>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</si>
  <si>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</si>
  <si>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</si>
  <si>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</si>
  <si>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</si>
  <si>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</si>
  <si>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</si>
  <si>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</si>
  <si>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</si>
  <si>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</si>
  <si>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</si>
  <si>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</si>
  <si>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</si>
  <si>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</si>
  <si>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</si>
  <si>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</si>
  <si>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</si>
  <si>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</si>
  <si>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</si>
  <si>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</si>
  <si>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</si>
  <si>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</si>
  <si>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</si>
  <si>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</si>
  <si>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</si>
  <si>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</si>
  <si>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</si>
  <si>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</si>
  <si>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</si>
  <si>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</si>
  <si>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</si>
  <si>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</si>
  <si>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</si>
  <si>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</si>
  <si>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</si>
  <si>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</si>
  <si>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</si>
  <si>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</si>
  <si>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</si>
  <si>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</si>
  <si>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</si>
  <si>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</si>
  <si>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</si>
  <si>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</si>
  <si>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</si>
  <si>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</si>
  <si>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</si>
  <si>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</si>
  <si>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</si>
  <si>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</si>
  <si>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</si>
  <si>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</si>
  <si>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</si>
  <si>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</si>
  <si>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</si>
  <si>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</si>
  <si>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</si>
  <si>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</si>
  <si>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</si>
  <si>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</si>
  <si>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</si>
  <si>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</si>
  <si>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</si>
  <si>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</si>
  <si>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</si>
  <si>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</si>
  <si>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</si>
  <si>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</si>
  <si>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</si>
  <si>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</si>
  <si>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</si>
  <si>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</si>
  <si>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</si>
  <si>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</si>
  <si>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</si>
  <si>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</si>
  <si>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</si>
  <si>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</si>
  <si>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</si>
  <si>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</si>
  <si>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</si>
  <si>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</si>
  <si>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</si>
  <si>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</si>
  <si>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</si>
  <si>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</si>
  <si>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</si>
  <si>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</si>
  <si>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</si>
  <si>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</si>
  <si>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</si>
  <si>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</si>
  <si>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</si>
  <si>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</si>
  <si>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</si>
  <si>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</si>
  <si>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</si>
  <si>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</si>
  <si>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</si>
  <si>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</si>
  <si>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</si>
  <si>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</si>
  <si>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</si>
  <si>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</si>
  <si>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</si>
  <si>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</si>
  <si>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</si>
  <si>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</si>
  <si>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</si>
  <si>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</si>
  <si>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</si>
  <si>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</si>
  <si>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</si>
  <si>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</si>
  <si>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</si>
  <si>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</si>
  <si>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</si>
  <si>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</si>
  <si>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</si>
  <si>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</si>
  <si>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</si>
  <si>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</si>
  <si>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</si>
  <si>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</si>
  <si>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</si>
  <si>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</si>
  <si>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</si>
  <si>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</si>
  <si>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</si>
  <si>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</si>
  <si>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</si>
  <si>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</si>
  <si>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</si>
  <si>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</si>
  <si>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</si>
  <si>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</si>
  <si>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</si>
  <si>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</si>
  <si>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</si>
  <si>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</si>
  <si>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</si>
  <si>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</si>
  <si>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</si>
  <si>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</si>
  <si>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</si>
  <si>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</si>
  <si>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</si>
  <si>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</si>
  <si>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</si>
  <si>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</si>
  <si>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</si>
  <si>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</si>
  <si>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</si>
  <si>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</si>
  <si>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</si>
  <si>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</si>
  <si>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</si>
  <si>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</si>
  <si>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</si>
  <si>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</si>
  <si>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</si>
  <si>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</si>
  <si>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</si>
  <si>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</si>
  <si>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</si>
  <si>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</si>
  <si>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</si>
  <si>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</si>
  <si>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</si>
  <si>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</si>
  <si>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</si>
  <si>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</si>
  <si>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</si>
  <si>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</si>
  <si>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</si>
  <si>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</si>
  <si>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</si>
  <si>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</si>
  <si>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</si>
  <si>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</si>
  <si>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</si>
  <si>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</si>
  <si>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</si>
  <si>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</si>
  <si>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</si>
  <si>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</si>
  <si>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</si>
  <si>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</si>
  <si>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</si>
  <si>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</si>
  <si>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</si>
  <si>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</si>
  <si>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</si>
  <si>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</si>
  <si>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</si>
  <si>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</si>
  <si>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</si>
  <si>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</si>
  <si>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</si>
  <si>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</si>
  <si>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</si>
  <si>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</si>
  <si>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</si>
  <si>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</si>
  <si>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</si>
  <si>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</si>
  <si>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</si>
  <si>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</si>
  <si>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</si>
  <si>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</si>
  <si>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</si>
  <si>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</si>
  <si>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</si>
  <si>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</si>
  <si>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</si>
  <si>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</si>
  <si>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</si>
  <si>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</si>
  <si>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</si>
  <si>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</si>
  <si>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</si>
  <si>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</si>
  <si>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</si>
  <si>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</si>
  <si>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</si>
  <si>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</si>
  <si>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</si>
  <si>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</si>
  <si>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</si>
  <si>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</si>
  <si>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</si>
  <si>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</si>
  <si>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</si>
  <si>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</si>
  <si>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</si>
  <si>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</si>
  <si>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</si>
  <si>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</si>
  <si>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</si>
  <si>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</si>
  <si>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</si>
  <si>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</si>
  <si>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</si>
  <si>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</si>
  <si>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</si>
  <si>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</si>
  <si>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</si>
  <si>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</si>
  <si>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</si>
  <si>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</si>
  <si>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</si>
  <si>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</si>
  <si>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</si>
  <si>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</si>
  <si>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</si>
  <si>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</si>
  <si>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</si>
  <si>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</si>
  <si>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</si>
  <si>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</si>
  <si>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</si>
  <si>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</si>
  <si>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</si>
  <si>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</si>
  <si>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</si>
  <si>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</si>
  <si>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</si>
  <si>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</si>
  <si>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</si>
  <si>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</si>
  <si>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</si>
  <si>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</si>
  <si>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</si>
  <si>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</si>
  <si>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</si>
  <si>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</si>
  <si>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</si>
  <si>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</si>
  <si>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</si>
  <si>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</si>
  <si>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</si>
  <si>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</si>
  <si>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</si>
  <si>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</si>
  <si>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</si>
  <si>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</si>
  <si>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</si>
  <si>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</si>
  <si>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</si>
  <si>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</si>
  <si>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</si>
  <si>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</si>
  <si>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</si>
  <si>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</si>
  <si>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</si>
  <si>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</si>
  <si>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</si>
  <si>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</si>
  <si>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</si>
  <si>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</si>
  <si>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</si>
  <si>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</si>
  <si>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</si>
  <si>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</si>
  <si>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</si>
  <si>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</si>
  <si>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</si>
  <si>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</si>
  <si>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</si>
  <si>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</si>
  <si>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</si>
  <si>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</si>
  <si>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</si>
  <si>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</si>
  <si>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</si>
  <si>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</si>
  <si>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</si>
  <si>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</si>
  <si>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</si>
  <si>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</si>
  <si>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</si>
  <si>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</si>
  <si>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</si>
  <si>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</si>
  <si>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</si>
  <si>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</si>
  <si>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</si>
  <si>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</si>
  <si>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</si>
  <si>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</si>
  <si>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</si>
  <si>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</si>
  <si>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</si>
  <si>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</si>
  <si>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</si>
  <si>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</si>
  <si>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</si>
  <si>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</si>
  <si>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</si>
  <si>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</si>
  <si>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</si>
  <si>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</si>
  <si>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</si>
  <si>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</si>
  <si>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</si>
  <si>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</si>
  <si>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</si>
  <si>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</si>
  <si>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</si>
  <si>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</si>
  <si>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</si>
  <si>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</si>
  <si>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</si>
  <si>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</si>
  <si>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</si>
  <si>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</si>
  <si>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</si>
  <si>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</si>
  <si>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</si>
  <si>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</si>
  <si>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</si>
  <si>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</si>
  <si>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</si>
  <si>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</si>
  <si>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</si>
  <si>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</si>
  <si>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</si>
  <si>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</si>
  <si>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</si>
  <si>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</si>
  <si>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</si>
  <si>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</si>
  <si>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</si>
  <si>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</si>
  <si>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</si>
  <si>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</si>
  <si>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</si>
  <si>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</si>
  <si>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</si>
  <si>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</si>
  <si>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</si>
  <si>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</si>
  <si>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</si>
  <si>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</si>
  <si>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</si>
  <si>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</si>
  <si>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</si>
  <si>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</si>
  <si>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</si>
  <si>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</si>
  <si>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</si>
  <si>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</si>
  <si>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</si>
  <si>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</si>
  <si>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</si>
  <si>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</si>
  <si>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</si>
  <si>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</si>
  <si>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</si>
  <si>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</si>
  <si>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</si>
  <si>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</si>
  <si>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</si>
  <si>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</si>
  <si>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</si>
  <si>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</si>
  <si>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</si>
  <si>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</si>
  <si>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</si>
  <si>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</si>
  <si>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</si>
  <si>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</si>
  <si>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</si>
  <si>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</si>
  <si>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</si>
  <si>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</si>
  <si>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</si>
  <si>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</si>
  <si>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</si>
  <si>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</si>
  <si>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</si>
  <si>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</si>
  <si>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</si>
  <si>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</si>
  <si>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</si>
  <si>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</si>
  <si>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</si>
  <si>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</si>
  <si>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</si>
  <si>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</si>
  <si>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</si>
  <si>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</si>
  <si>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</si>
  <si>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</si>
  <si>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</si>
  <si>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</si>
  <si>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</si>
  <si>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</si>
  <si>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</si>
  <si>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</si>
  <si>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</si>
  <si>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</si>
  <si>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</si>
  <si>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</si>
  <si>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</si>
  <si>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</si>
  <si>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</si>
  <si>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</si>
  <si>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</si>
  <si>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</si>
  <si>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</si>
  <si>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</si>
  <si>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</si>
  <si>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</si>
  <si>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</si>
  <si>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</si>
  <si>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</si>
  <si>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</si>
  <si>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</si>
  <si>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</si>
  <si>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</si>
  <si>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</si>
  <si>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</si>
  <si>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</si>
  <si>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</si>
  <si>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</si>
  <si>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</si>
  <si>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</si>
  <si>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</si>
  <si>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</si>
  <si>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</si>
  <si>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</si>
  <si>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</si>
  <si>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</si>
  <si>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</si>
  <si>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</si>
  <si>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</si>
  <si>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</si>
  <si>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Bronze ball (3rd Best Player)</t>
  </si>
  <si>
    <t>Harry Kane</t>
  </si>
  <si>
    <t>Tincho</t>
  </si>
  <si>
    <t>Julián Álvarez</t>
  </si>
  <si>
    <t>Luis Díaz</t>
  </si>
  <si>
    <t>Messi</t>
  </si>
  <si>
    <t>Rapinha</t>
  </si>
  <si>
    <t>Saka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</si>
</sst>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1">
    <v>0</v>
    <v>8</v>
    <v>1</v>
    <v>1</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defaultColWidth="0" defaultRowHeight="14.5"/>
  <cols>
    <col min="1" max="1" width="3.81640625" style="299" customWidth="1"/>
    <col min="2" max="2" width="15.81640625" style="299" customWidth="1"/>
    <col min="3" max="3" width="26.81640625" style="299" customWidth="1"/>
    <col min="4" max="4" width="5.81640625" style="299" customWidth="1"/>
    <col min="5" max="9" width="11.26953125" style="319" customWidth="1"/>
    <col min="10" max="10" width="5.81640625" style="319" customWidth="1"/>
    <col min="11" max="11" width="26.81640625" style="319" customWidth="1"/>
    <col min="12" max="12" width="15.81640625" style="299" customWidth="1"/>
    <col min="13" max="13" width="10.453125" style="299" customWidth="1"/>
    <col min="14" max="15" width="10.81640625" style="299" customWidth="1"/>
    <col min="16" max="16" width="12.1796875" style="299" customWidth="1"/>
    <col min="17" max="17" width="6.1796875" style="299" customWidth="1"/>
    <col min="18" max="31" width="10.81640625" style="299" customWidth="1"/>
    <col min="32" max="16384" width="10.81640625" hidden="1"/>
  </cols>
  <sheetData>
    <row r="1" spans="1:31">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15" customHeight="1">
      <c r="A3" s="298"/>
      <c r="B3" s="682" t="str">
        <f>Idiomas!D8</f>
        <v>XXIII Mundial USA/MEX/CAN 2026</v>
      </c>
      <c r="C3" s="682"/>
      <c r="D3" s="682"/>
      <c r="E3" s="682"/>
      <c r="F3" s="682"/>
      <c r="G3" s="682"/>
      <c r="H3" s="682"/>
      <c r="I3" s="682"/>
      <c r="J3" s="682"/>
      <c r="K3" s="682"/>
      <c r="L3" s="682"/>
      <c r="M3" s="298"/>
      <c r="N3" s="298"/>
      <c r="O3" s="298"/>
      <c r="P3" s="298"/>
      <c r="Q3" s="298"/>
      <c r="R3" s="298"/>
      <c r="S3" s="298"/>
      <c r="T3" s="298"/>
      <c r="U3" s="298"/>
      <c r="V3" s="298"/>
      <c r="W3" s="298"/>
      <c r="X3" s="298"/>
      <c r="Y3" s="298"/>
      <c r="Z3" s="298"/>
      <c r="AA3" s="298"/>
      <c r="AB3" s="298"/>
      <c r="AC3" s="298"/>
      <c r="AD3" s="298"/>
      <c r="AE3" s="298"/>
    </row>
    <row r="4" spans="1:31" ht="15" customHeight="1">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149999999999999" customHeight="1" thickBot="1">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5" customHeight="1" thickBot="1">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149999999999999" customHeight="1" thickBot="1">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5" customHeight="1" thickBot="1">
      <c r="A8" s="298"/>
      <c r="B8" s="19"/>
      <c r="C8" s="289" t="s">
        <v>40</v>
      </c>
      <c r="D8" s="298"/>
      <c r="E8" s="301"/>
      <c r="F8" s="301"/>
      <c r="G8" s="301"/>
      <c r="H8" s="301"/>
      <c r="I8" s="301"/>
      <c r="J8" s="301"/>
      <c r="K8" s="307" t="s">
        <v>1312</v>
      </c>
      <c r="L8" s="298"/>
      <c r="M8" s="298"/>
      <c r="N8" s="298"/>
      <c r="O8" s="298"/>
      <c r="P8" s="298"/>
      <c r="Q8" s="298"/>
      <c r="R8" s="298"/>
      <c r="S8" s="298"/>
      <c r="T8" s="298"/>
      <c r="U8" s="298"/>
      <c r="V8" s="298"/>
      <c r="W8" s="298"/>
      <c r="X8" s="298"/>
      <c r="Y8" s="298"/>
      <c r="Z8" s="298"/>
      <c r="AA8" s="298"/>
      <c r="AB8" s="298"/>
      <c r="AC8" s="298"/>
      <c r="AD8" s="298"/>
      <c r="AE8" s="298"/>
    </row>
    <row r="9" spans="1:31" ht="20.149999999999999" customHeight="1" thickBot="1">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5" customHeight="1" thickBot="1">
      <c r="A10" s="298"/>
      <c r="B10" s="19"/>
      <c r="C10" s="289" t="s">
        <v>1517</v>
      </c>
      <c r="D10" s="298"/>
      <c r="E10" s="301"/>
      <c r="F10" s="301"/>
      <c r="G10" s="301"/>
      <c r="H10" s="301"/>
      <c r="I10" s="301"/>
      <c r="J10" s="301"/>
      <c r="K10" s="307" t="s">
        <v>1323</v>
      </c>
      <c r="L10" s="298"/>
      <c r="M10" s="298"/>
      <c r="N10" s="298"/>
      <c r="O10" s="298"/>
      <c r="P10" s="298"/>
      <c r="Q10" s="298"/>
      <c r="R10" s="298"/>
      <c r="S10" s="298"/>
      <c r="T10" s="298"/>
      <c r="U10" s="298"/>
      <c r="V10" s="298"/>
      <c r="W10" s="298"/>
      <c r="X10" s="298"/>
      <c r="Y10" s="298"/>
      <c r="Z10" s="298"/>
      <c r="AA10" s="298"/>
      <c r="AB10" s="298"/>
      <c r="AC10" s="298"/>
      <c r="AD10" s="298"/>
      <c r="AE10" s="298"/>
    </row>
    <row r="11" spans="1:31" ht="20.149999999999999" customHeight="1">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5" customHeight="1">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6" customHeight="1">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40" customHeight="1" thickBot="1">
      <c r="A16" s="298"/>
      <c r="B16" s="298"/>
      <c r="C16" s="298"/>
      <c r="D16" s="298"/>
      <c r="E16" s="680" t="str">
        <f>HYPERLINK(Idiomas!D10,Idiomas!D5)</f>
        <v>Si quieres organizar una porra (quiniela) con tu grupo puedes descargar el archivo de adminsitrador desde el enlace de abajo</v>
      </c>
      <c r="F16" s="681"/>
      <c r="G16" s="681"/>
      <c r="H16" s="681"/>
      <c r="I16" s="681"/>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40" customHeight="1" thickBot="1">
      <c r="A17" s="298"/>
      <c r="B17" s="298"/>
      <c r="C17" s="298"/>
      <c r="D17" s="298"/>
      <c r="E17" s="677" t="str">
        <f>HYPERLINK(Idiomas!D10,Idiomas!D9)</f>
        <v>▼ Descargar Excel Administrador Porra ▼</v>
      </c>
      <c r="F17" s="678"/>
      <c r="G17" s="678"/>
      <c r="H17" s="678"/>
      <c r="I17" s="679"/>
      <c r="J17" s="301"/>
      <c r="K17" s="312" t="s">
        <v>1350</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c r="A20" s="298"/>
      <c r="B20" s="298" t="s">
        <v>1311</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c r="A21" s="298"/>
      <c r="B21" s="298" t="s">
        <v>1311</v>
      </c>
      <c r="C21" s="298"/>
      <c r="D21" s="298"/>
      <c r="E21" s="316" t="s">
        <v>1347</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1" customHeight="1" thickBot="1">
      <c r="A22" s="298"/>
      <c r="B22" s="298" t="s">
        <v>1311</v>
      </c>
      <c r="C22" s="298"/>
      <c r="D22" s="298"/>
      <c r="E22" s="20" t="s">
        <v>1307</v>
      </c>
      <c r="F22" s="21" t="s">
        <v>1308</v>
      </c>
      <c r="G22" s="22" t="s">
        <v>1309</v>
      </c>
      <c r="H22" s="23" t="s">
        <v>13</v>
      </c>
      <c r="I22" s="317" t="s">
        <v>1310</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149999999999999" customHeight="1" thickBot="1">
      <c r="A23" s="298"/>
      <c r="B23" s="298" t="s">
        <v>1311</v>
      </c>
      <c r="C23" s="298"/>
      <c r="D23" s="298"/>
      <c r="E23" s="301"/>
      <c r="F23" s="301"/>
      <c r="G23" s="301"/>
      <c r="H23" s="301"/>
      <c r="I23" s="301"/>
      <c r="J23" s="301"/>
      <c r="K23" s="296" t="s">
        <v>1331</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c r="A24" s="298"/>
      <c r="B24" s="683"/>
      <c r="C24" s="684"/>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opLeftCell="V144" zoomScaleNormal="100" workbookViewId="0">
      <selection activeCell="AA162" sqref="AA162"/>
      <extLst>
        <ext xmlns:xlsdti="http://schemas.microsoft.com/office/spreadsheetml/2023/showDataTypeIcons" uri="{77bfe23e-c014-4d31-8a63-9c772dbf06b6}">
          <xlsdti:showDataTypeIcons visible="0"/>
        </ext>
      </extLst>
    </sheetView>
  </sheetViews>
  <sheetFormatPr defaultColWidth="0" defaultRowHeight="14.5"/>
  <cols>
    <col min="1" max="2" width="10.81640625" hidden="1" customWidth="1"/>
    <col min="3" max="3" width="2.17968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7265625" customWidth="1"/>
    <col min="24" max="24" width="11.81640625" customWidth="1"/>
    <col min="25" max="25" width="6.81640625" customWidth="1"/>
    <col min="26" max="26" width="5.1796875" customWidth="1"/>
    <col min="27" max="27" width="20.81640625" customWidth="1"/>
    <col min="28" max="28" width="3.26953125" customWidth="1"/>
    <col min="29" max="30" width="5.26953125" customWidth="1"/>
    <col min="31" max="31" width="3.26953125" customWidth="1"/>
    <col min="32" max="32" width="20.81640625" customWidth="1"/>
    <col min="33" max="33" width="3.453125" customWidth="1"/>
    <col min="34" max="34" width="5.1796875" style="187" customWidth="1"/>
    <col min="35" max="35" width="3.26953125" style="187" customWidth="1"/>
    <col min="36" max="36" width="4.26953125" customWidth="1"/>
    <col min="37" max="37" width="3.26953125" customWidth="1"/>
    <col min="38" max="38" width="20.81640625" customWidth="1"/>
    <col min="39" max="39" width="5.81640625" customWidth="1"/>
    <col min="40" max="43" width="4.26953125" customWidth="1"/>
    <col min="44" max="45" width="4.7265625" customWidth="1"/>
    <col min="46" max="46" width="4.81640625" customWidth="1"/>
    <col min="47" max="47" width="3.26953125" style="190" customWidth="1"/>
    <col min="48" max="48" width="18.453125" style="194" customWidth="1"/>
    <col min="49" max="49" width="3.453125" style="7" customWidth="1"/>
    <col min="50" max="50" width="3.453125" style="4" customWidth="1"/>
    <col min="51" max="51" width="19.7265625" style="15" customWidth="1"/>
    <col min="52" max="52" width="15.81640625" style="7" customWidth="1"/>
    <col min="53" max="53" width="3" customWidth="1"/>
    <col min="54" max="54" width="11" hidden="1" customWidth="1"/>
    <col min="55" max="55" width="6" hidden="1" customWidth="1"/>
    <col min="56" max="56" width="17" hidden="1" customWidth="1"/>
    <col min="57" max="57" width="9.26953125" hidden="1" customWidth="1"/>
    <col min="58" max="58" width="2.1796875" hidden="1" customWidth="1"/>
    <col min="59" max="59" width="8.26953125" hidden="1" customWidth="1"/>
    <col min="60" max="60" width="2.1796875" hidden="1" customWidth="1"/>
    <col min="61" max="61" width="2.453125" hidden="1" customWidth="1"/>
    <col min="62" max="62" width="8.1796875" hidden="1" customWidth="1"/>
    <col min="63" max="63" width="4.81640625" hidden="1" customWidth="1"/>
    <col min="64" max="64" width="5.81640625" hidden="1" customWidth="1"/>
    <col min="65" max="66" width="5.7265625" hidden="1" customWidth="1"/>
    <col min="67" max="69" width="10" hidden="1" customWidth="1"/>
    <col min="70" max="71" width="7.26953125" hidden="1" customWidth="1"/>
    <col min="72" max="100" width="8" hidden="1" customWidth="1"/>
    <col min="101" max="101" width="4.1796875" hidden="1" customWidth="1"/>
    <col min="102" max="102" width="7.26953125" hidden="1" customWidth="1"/>
    <col min="103" max="103" width="0" hidden="1" customWidth="1"/>
    <col min="104" max="104" width="3.1796875" hidden="1" customWidth="1"/>
    <col min="105" max="105" width="8.7265625" hidden="1" customWidth="1"/>
    <col min="106" max="106" width="8" hidden="1" customWidth="1"/>
    <col min="107" max="107" width="15.81640625" hidden="1" customWidth="1"/>
    <col min="108" max="108" width="11" hidden="1" customWidth="1"/>
    <col min="109" max="109" width="2.72656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thickBot="1">
      <c r="A1" s="16"/>
      <c r="B1" s="16"/>
      <c r="C1" s="16"/>
      <c r="D1" s="16"/>
      <c r="E1" s="16"/>
      <c r="F1" s="16"/>
      <c r="G1" s="16"/>
      <c r="H1" s="16"/>
      <c r="I1" s="16"/>
      <c r="J1" s="16"/>
      <c r="K1" s="16"/>
      <c r="L1" s="16"/>
      <c r="M1" s="16"/>
      <c r="N1" s="16"/>
      <c r="O1" s="16"/>
      <c r="P1" s="16"/>
      <c r="Q1" s="16"/>
      <c r="R1" s="16"/>
      <c r="S1" s="16"/>
      <c r="T1" s="16"/>
      <c r="U1" s="16"/>
      <c r="V1" s="287"/>
      <c r="W1" s="634" t="str">
        <f>Idiomas!D8</f>
        <v>XXIII Mundial USA/MEX/CAN 2026</v>
      </c>
      <c r="X1" s="634"/>
      <c r="Y1" s="634"/>
      <c r="Z1" s="634"/>
      <c r="AA1" s="634"/>
      <c r="AB1" s="634"/>
      <c r="AC1" s="634"/>
      <c r="AD1" s="634"/>
      <c r="AE1" s="634"/>
      <c r="AF1" s="634"/>
      <c r="AG1" s="144"/>
      <c r="AH1" s="180"/>
      <c r="AI1" s="180"/>
      <c r="AJ1" s="144"/>
      <c r="AK1" s="144"/>
      <c r="AL1" s="294" t="str">
        <f>HYPERLINK(Idiomas!D10,Idiomas!D9)</f>
        <v>▼ Descargar Excel Administrador Porra ▼</v>
      </c>
      <c r="AM1" s="144"/>
      <c r="AN1" s="144"/>
      <c r="AO1" s="144"/>
      <c r="AP1" s="144"/>
      <c r="AQ1" s="144"/>
      <c r="AR1" s="144"/>
      <c r="AS1" s="144"/>
      <c r="AT1" s="144"/>
      <c r="AU1" s="332"/>
      <c r="AV1" s="295" t="s">
        <v>1350</v>
      </c>
      <c r="AW1" s="144"/>
      <c r="AX1" s="144"/>
      <c r="AY1" s="144"/>
      <c r="AZ1" s="144"/>
      <c r="BA1" s="176"/>
      <c r="DN1" s="16" t="s">
        <v>1357</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c r="A3" s="16"/>
      <c r="B3" s="16"/>
      <c r="C3" s="16"/>
      <c r="D3" s="16" t="s">
        <v>1212</v>
      </c>
      <c r="E3" s="16" t="s">
        <v>647</v>
      </c>
      <c r="F3" s="16" t="s">
        <v>648</v>
      </c>
      <c r="G3" s="16"/>
      <c r="H3" s="16" t="s">
        <v>649</v>
      </c>
      <c r="I3" s="16" t="s">
        <v>650</v>
      </c>
      <c r="J3" s="16"/>
      <c r="K3" s="16" t="s">
        <v>654</v>
      </c>
      <c r="L3" s="16" t="s">
        <v>655</v>
      </c>
      <c r="M3" s="16"/>
      <c r="N3" s="16" t="s">
        <v>1222</v>
      </c>
      <c r="O3" s="16" t="s">
        <v>1223</v>
      </c>
      <c r="P3" s="16"/>
      <c r="Q3" s="16" t="s">
        <v>1224</v>
      </c>
      <c r="R3" s="16" t="s">
        <v>1225</v>
      </c>
      <c r="S3" s="16"/>
      <c r="T3" s="16" t="s">
        <v>1226</v>
      </c>
      <c r="U3" s="16" t="s">
        <v>1227</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1233</v>
      </c>
      <c r="BA3" s="176"/>
    </row>
    <row r="4" spans="1:121" ht="16" customHeight="1" thickBot="1">
      <c r="A4" s="16" t="s">
        <v>32</v>
      </c>
      <c r="B4" s="16" t="s">
        <v>0</v>
      </c>
      <c r="C4" s="16">
        <f>COUNTIF(Equipos!$C$2:$C$49,WORLDCUP!B4)</f>
        <v>4</v>
      </c>
      <c r="D4" s="16" t="str">
        <f t="shared" ref="D4:D9" si="0">IF(OR(AC4="",AD4=""),"Pendiente",IF(AC4&gt;AD4,"Local",IF(AC4&lt;AD4,"Visitante","Empate")))</f>
        <v>Empate</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0" t="s">
        <v>0</v>
      </c>
      <c r="X4" s="24">
        <f ca="1">Horarios!C4</f>
        <v>46184.875</v>
      </c>
      <c r="Y4" s="25">
        <f ca="1">Horarios!C4</f>
        <v>46184.875</v>
      </c>
      <c r="Z4" s="26" t="str">
        <f>Idiomas!D61</f>
        <v>J1</v>
      </c>
      <c r="AA4" s="27" t="str">
        <f ca="1">+A5</f>
        <v>México</v>
      </c>
      <c r="AB4" s="49" t="e" cm="1" vm="1">
        <f t="array" aca="1" ref="AB4" ca="1">Ver_flag_local</f>
        <v>#VALUE!</v>
      </c>
      <c r="AC4" s="50">
        <v>1</v>
      </c>
      <c r="AD4" s="51">
        <v>1</v>
      </c>
      <c r="AE4" s="595" t="e" cm="1" vm="2">
        <f t="array" aca="1" ref="AE4" ca="1">Ver_flag_visit</f>
        <v>#VALUE!</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¡EMPATE! Puedes seleccionar el orden de los empatados.</v>
      </c>
      <c r="AW4" s="168"/>
      <c r="AX4" s="168"/>
      <c r="AY4" s="178"/>
      <c r="AZ4" s="178"/>
      <c r="BA4" s="176"/>
      <c r="DC4" s="16" t="s">
        <v>1497</v>
      </c>
    </row>
    <row r="5" spans="1:121" ht="16" customHeight="1">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30"/>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95" t="e" cm="1" vm="4">
        <f t="array" aca="1" ref="AE5" ca="1">Ver_flag_visit</f>
        <v>#VALUE!</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623</v>
      </c>
      <c r="BN5" s="16" t="s">
        <v>624</v>
      </c>
      <c r="BO5" s="16" t="s">
        <v>1494</v>
      </c>
      <c r="BP5" s="16" t="s">
        <v>1495</v>
      </c>
      <c r="BQ5" s="16" t="s">
        <v>1496</v>
      </c>
      <c r="BR5" s="16" t="s">
        <v>625</v>
      </c>
      <c r="BS5" s="16" t="s">
        <v>628</v>
      </c>
      <c r="BT5" s="16" t="s">
        <v>626</v>
      </c>
      <c r="BU5" s="16" t="s">
        <v>643</v>
      </c>
      <c r="BV5" s="16" t="s">
        <v>644</v>
      </c>
      <c r="BW5" s="16" t="s">
        <v>645</v>
      </c>
      <c r="BX5" s="16" t="s">
        <v>646</v>
      </c>
      <c r="BY5" s="16" t="s">
        <v>629</v>
      </c>
      <c r="BZ5" s="16" t="s">
        <v>627</v>
      </c>
      <c r="CA5" s="16" t="s">
        <v>651</v>
      </c>
      <c r="CB5" s="16" t="s">
        <v>652</v>
      </c>
      <c r="CC5" s="16" t="s">
        <v>653</v>
      </c>
      <c r="CD5" s="16" t="s">
        <v>630</v>
      </c>
      <c r="CE5" s="16" t="s">
        <v>631</v>
      </c>
      <c r="CF5" s="16" t="s">
        <v>651</v>
      </c>
      <c r="CG5" s="16" t="s">
        <v>632</v>
      </c>
      <c r="CH5" s="16" t="s">
        <v>633</v>
      </c>
      <c r="CI5" s="16" t="s">
        <v>1216</v>
      </c>
      <c r="CJ5" s="16" t="s">
        <v>1217</v>
      </c>
      <c r="CK5" s="16" t="s">
        <v>1218</v>
      </c>
      <c r="CL5" s="16" t="s">
        <v>1219</v>
      </c>
      <c r="CM5" s="16" t="s">
        <v>634</v>
      </c>
      <c r="CN5" s="16" t="s">
        <v>635</v>
      </c>
      <c r="CO5" s="16" t="s">
        <v>1213</v>
      </c>
      <c r="CP5" s="16" t="s">
        <v>1214</v>
      </c>
      <c r="CQ5" s="16" t="s">
        <v>1215</v>
      </c>
      <c r="CR5" s="16" t="s">
        <v>636</v>
      </c>
      <c r="CS5" s="16" t="s">
        <v>637</v>
      </c>
      <c r="CT5" s="16" t="s">
        <v>1213</v>
      </c>
      <c r="CU5" s="16" t="s">
        <v>1220</v>
      </c>
      <c r="CV5" s="16" t="s">
        <v>1221</v>
      </c>
      <c r="CW5" s="16" t="s">
        <v>68</v>
      </c>
      <c r="CX5" s="16" t="s">
        <v>1228</v>
      </c>
      <c r="CY5" s="16" t="s">
        <v>1229</v>
      </c>
      <c r="CZ5" s="16" t="s">
        <v>8</v>
      </c>
      <c r="DA5" s="16" t="s">
        <v>1230</v>
      </c>
      <c r="DB5" s="16" t="s">
        <v>1231</v>
      </c>
      <c r="DC5" s="16" t="s">
        <v>1260</v>
      </c>
      <c r="DD5" s="16" t="s">
        <v>639</v>
      </c>
      <c r="DE5" s="16"/>
      <c r="DF5" s="16" t="s">
        <v>640</v>
      </c>
      <c r="DG5" s="16" t="s">
        <v>641</v>
      </c>
      <c r="DH5" s="16" t="s">
        <v>642</v>
      </c>
      <c r="DI5" s="16"/>
      <c r="DJ5" s="16" t="s">
        <v>663</v>
      </c>
      <c r="DK5" s="16" t="s">
        <v>1206</v>
      </c>
      <c r="DL5" s="16" t="s">
        <v>664</v>
      </c>
      <c r="DM5" s="16" t="s">
        <v>665</v>
      </c>
      <c r="DN5" s="16" t="s">
        <v>666</v>
      </c>
      <c r="DO5" s="16"/>
      <c r="DP5" s="16" t="s">
        <v>773</v>
      </c>
      <c r="DQ5" s="16" t="s">
        <v>774</v>
      </c>
    </row>
    <row r="6" spans="1:121" ht="16" customHeight="1">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0"/>
      <c r="X6" s="24">
        <f ca="1">Horarios!C6</f>
        <v>46191.75</v>
      </c>
      <c r="Y6" s="25">
        <f ca="1">Horarios!C6</f>
        <v>46191.75</v>
      </c>
      <c r="Z6" s="26" t="str">
        <f>Idiomas!D62</f>
        <v>J2</v>
      </c>
      <c r="AA6" s="27" t="str">
        <f ca="1">A8</f>
        <v>República Checa</v>
      </c>
      <c r="AB6" s="49" t="e" cm="1" vm="4">
        <f t="array" aca="1" ref="AB6" ca="1">Ver_flag_local</f>
        <v>#VALUE!</v>
      </c>
      <c r="AC6" s="50">
        <v>2</v>
      </c>
      <c r="AD6" s="51">
        <v>1</v>
      </c>
      <c r="AE6" s="595" t="e" cm="1" vm="2">
        <f t="array" aca="1" ref="AE6" ca="1">Ver_flag_visit</f>
        <v>#VALUE!</v>
      </c>
      <c r="AF6" s="32" t="str">
        <f ca="1">A6</f>
        <v>Sudáfrica</v>
      </c>
      <c r="AG6" s="323">
        <f t="shared" si="13"/>
        <v>1</v>
      </c>
      <c r="AH6" s="195">
        <v>25</v>
      </c>
      <c r="AI6" s="181" t="str">
        <f>AJ6&amp;$B$4</f>
        <v>1A</v>
      </c>
      <c r="AJ6" s="40">
        <v>1</v>
      </c>
      <c r="AK6" s="597" t="e" cm="1" vm="1">
        <f t="array" aca="1" ref="AK6" ca="1">Ver_flag_visit</f>
        <v>#VALUE!</v>
      </c>
      <c r="AL6" s="34" t="str">
        <f ca="1">IFERROR(INDEX($BD$6:$BD$53,MATCH(AI6,$BN$6:$BN$53,0)),"")</f>
        <v>México</v>
      </c>
      <c r="AM6" s="35">
        <f t="shared" ref="AM6:AT9" ca="1" si="15">INDEX($BE$6:$BN$53,MATCH($AL6,$BD$6:$BD$53,0),MATCH(AM$5,$BE$5:$BN$5,0))</f>
        <v>5</v>
      </c>
      <c r="AN6" s="36">
        <f t="shared" ca="1" si="15"/>
        <v>3</v>
      </c>
      <c r="AO6" s="36">
        <f t="shared" ca="1" si="15"/>
        <v>1</v>
      </c>
      <c r="AP6" s="36">
        <f t="shared" ca="1" si="15"/>
        <v>2</v>
      </c>
      <c r="AQ6" s="36">
        <f t="shared" ca="1" si="15"/>
        <v>0</v>
      </c>
      <c r="AR6" s="36">
        <f t="shared" ca="1" si="15"/>
        <v>5</v>
      </c>
      <c r="AS6" s="36">
        <f t="shared" ca="1" si="15"/>
        <v>4</v>
      </c>
      <c r="AT6" s="41">
        <f t="shared" ca="1" si="15"/>
        <v>1</v>
      </c>
      <c r="AU6" s="330">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ca="1">+BG6+BH6+BI6</f>
        <v>3</v>
      </c>
      <c r="BG6" s="16">
        <f t="shared" ref="BG6:BG53" ca="1" si="17">+COUNTIFS(FGLocal,BD6,Ganador,"Local")+COUNTIFS(FGVisitante,BD6,Ganador,"Visitante")</f>
        <v>1</v>
      </c>
      <c r="BH6" s="16">
        <f t="shared" ref="BH6:BH53" ca="1" si="18">+COUNTIFS(FGLocal,BD6,Ganador,"Empate")+COUNTIFS(FGVisitante,BD6,Ganador,"Empate")</f>
        <v>2</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5</v>
      </c>
      <c r="BK6" s="16">
        <f t="shared" ref="BK6:BK53" ca="1" si="21">+SUMIFS(FG_GolesLocal,FGVisitante,BD6,Ganador,"&lt;&gt;"&amp;"Pendiente",FG_GolesLocal,"&lt;&gt;"&amp;"",FG_GolesVisitante,"&lt;&gt;"&amp;"")+SUMIFS(FG_GolesVisitante,FGLocal,BD6,Ganador,"&lt;&gt;"&amp;"Pendiente",FG_GolesLocal,"&lt;&gt;"&amp;"",FG_GolesVisitante,"&lt;&gt;"&amp;"")</f>
        <v>4</v>
      </c>
      <c r="BL6" s="16">
        <f ca="1">+BJ6-BK6</f>
        <v>1</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5</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1</v>
      </c>
      <c r="BW6" s="16">
        <f t="shared" ref="BW6:BW53" ca="1" si="26">IF($BT6="-","-",COUNTIFS(FGLocal,$BD6,Ganador,"Visitante",Part1Empate1V,$BT6)+COUNTIFS(FGVisitante,$BD6,Ganador,"Local",Part1Empate1L,$BT6))</f>
        <v>0</v>
      </c>
      <c r="BX6" s="16">
        <f ca="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2</v>
      </c>
      <c r="CB6" s="16">
        <f t="shared" ref="CB6:CB53" ca="1" si="28">IF($BZ6="-","-",SUMIFS(FG_GolesVisitante,FGLocal,$BD6,Part1Empate2V,$BZ6)+SUMIFS(FG_GolesLocal,FGVisitante,$BD6,Part1Empate2L,$BZ6))</f>
        <v>2</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1</v>
      </c>
      <c r="CK6" s="16">
        <f t="shared" ref="CK6:CK53" ca="1" si="32">IF($CH6="-","-",COUNTIFS(FGLocal,$BD6,Ganador,"Visitante",Part2Empate4V,$CH6)+COUNTIFS(FGVisitante,$BD6,Ganador,"Local",Part2Empate4L,$CH6))</f>
        <v>0</v>
      </c>
      <c r="CL6" s="16">
        <f ca="1">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2</v>
      </c>
      <c r="CP6" s="16">
        <f t="shared" ref="CP6:CP53" ca="1" si="34">IF($CN6="-","-",SUMIFS(FG_GolesVisitante,FGLocal,$BD6,Part2Empate5V,$CN6)+SUMIFS(FG_GolesLocal,FGVisitante,$BD6,Part2Empate5L,$CN6))</f>
        <v>2</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1</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37">IF(CY6="-","-",BJ6)</f>
        <v>5</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ca="1">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2</v>
      </c>
      <c r="DM6" s="16" t="str">
        <f ca="1">DJ6&amp;"."&amp;DL6</f>
        <v>1.2</v>
      </c>
      <c r="DN6" s="16" t="e" cm="1" vm="5">
        <f t="array" aca="1" ref="DN6" ca="1">OFFSET(Horarios!$P$3,DJ6-1,0,DL6,1)</f>
        <v>#VALUE!</v>
      </c>
      <c r="DO6" s="16"/>
      <c r="DP6" s="16" t="s">
        <v>656</v>
      </c>
      <c r="DQ6" s="16" t="str">
        <f ca="1">INDEX($BD$6:$BD$53,MATCH(DP6,$BM$6:$BM$53,0))</f>
        <v>México</v>
      </c>
    </row>
    <row r="7" spans="1:121" ht="16" customHeight="1">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30"/>
      <c r="X7" s="24">
        <f ca="1">Horarios!C7</f>
        <v>46192.125</v>
      </c>
      <c r="Y7" s="25">
        <f ca="1">Horarios!C7</f>
        <v>46192.125</v>
      </c>
      <c r="Z7" s="26" t="str">
        <f>$Z$6</f>
        <v>J2</v>
      </c>
      <c r="AA7" s="27" t="str">
        <f ca="1">A5</f>
        <v>México</v>
      </c>
      <c r="AB7" s="49" t="e" cm="1" vm="1">
        <f t="array" aca="1" ref="AB7" ca="1">Ver_flag_local</f>
        <v>#VALUE!</v>
      </c>
      <c r="AC7" s="50">
        <v>2</v>
      </c>
      <c r="AD7" s="51">
        <v>2</v>
      </c>
      <c r="AE7" s="595" t="e" cm="1" vm="3">
        <f t="array" aca="1" ref="AE7" ca="1">Ver_flag_visit</f>
        <v>#VALUE!</v>
      </c>
      <c r="AF7" s="32" t="str">
        <f ca="1">A7</f>
        <v>Corea del Sur</v>
      </c>
      <c r="AG7" s="323">
        <f t="shared" si="13"/>
        <v>1</v>
      </c>
      <c r="AH7" s="195">
        <v>28</v>
      </c>
      <c r="AI7" s="181" t="str">
        <f>AJ7&amp;$B$4</f>
        <v>2A</v>
      </c>
      <c r="AJ7" s="42">
        <v>2</v>
      </c>
      <c r="AK7" s="598" t="e" cm="1" vm="3">
        <f t="array" aca="1" ref="AK7" ca="1">Ver_flag_visit</f>
        <v>#VALUE!</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30">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ref="BF7:BF53" ca="1" si="41">+BG7+BH7+BI7</f>
        <v>3</v>
      </c>
      <c r="BG7" s="16">
        <f t="shared" ca="1" si="17"/>
        <v>0</v>
      </c>
      <c r="BH7" s="16">
        <f t="shared" ca="1" si="18"/>
        <v>2</v>
      </c>
      <c r="BI7" s="16">
        <f t="shared" ca="1" si="19"/>
        <v>1</v>
      </c>
      <c r="BJ7" s="16">
        <f t="shared" ca="1" si="20"/>
        <v>3</v>
      </c>
      <c r="BK7" s="16">
        <f t="shared" ca="1" si="21"/>
        <v>4</v>
      </c>
      <c r="BL7" s="16">
        <f t="shared" ref="BL7:BL53" ca="1" si="42">+BJ7-BK7</f>
        <v>-1</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2</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1</v>
      </c>
      <c r="DK7" s="16">
        <f t="shared" ca="1" si="39"/>
        <v>12</v>
      </c>
      <c r="DL7" s="16">
        <f t="shared" ca="1" si="40"/>
        <v>2</v>
      </c>
      <c r="DM7" s="16" t="str">
        <f t="shared" ref="DM7:DM53" ca="1" si="46">DJ7&amp;"."&amp;DL7</f>
        <v>1.2</v>
      </c>
      <c r="DN7" s="16" t="e" cm="1" vm="5">
        <f t="array" aca="1" ref="DN7" ca="1">OFFSET(Horarios!$P$3,DJ7-1,0,DL7,1)</f>
        <v>#VALUE!</v>
      </c>
      <c r="DO7" s="16"/>
      <c r="DP7" s="16" t="s">
        <v>657</v>
      </c>
      <c r="DQ7" s="16" t="str">
        <f t="shared" ref="DQ7:DQ53" ca="1" si="47">INDEX($BD$6:$BD$53,MATCH(DP7,$BM$6:$BM$53,0))</f>
        <v>Corea del Sur</v>
      </c>
    </row>
    <row r="8" spans="1:121" ht="16" customHeight="1">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30"/>
      <c r="X8" s="24">
        <f ca="1">Horarios!C8</f>
        <v>46198.125</v>
      </c>
      <c r="Y8" s="25">
        <f ca="1">Horarios!C8</f>
        <v>46198.125</v>
      </c>
      <c r="Z8" s="26" t="str">
        <f>Idiomas!D63</f>
        <v>J3</v>
      </c>
      <c r="AA8" s="27" t="str">
        <f ca="1">A8</f>
        <v>República Checa</v>
      </c>
      <c r="AB8" s="49" t="e" cm="1" vm="4">
        <f t="array" aca="1" ref="AB8" ca="1">Ver_flag_local</f>
        <v>#VALUE!</v>
      </c>
      <c r="AC8" s="50">
        <v>1</v>
      </c>
      <c r="AD8" s="51">
        <v>2</v>
      </c>
      <c r="AE8" s="595" t="e" cm="1" vm="1">
        <f t="array" aca="1" ref="AE8" ca="1">Ver_flag_visit</f>
        <v>#VALUE!</v>
      </c>
      <c r="AF8" s="32" t="str">
        <f ca="1">A5</f>
        <v>México</v>
      </c>
      <c r="AG8" s="323">
        <f t="shared" si="13"/>
        <v>1</v>
      </c>
      <c r="AH8" s="195">
        <v>53</v>
      </c>
      <c r="AI8" s="181" t="str">
        <f>AJ8&amp;$B$4</f>
        <v>3A</v>
      </c>
      <c r="AJ8" s="42">
        <v>3</v>
      </c>
      <c r="AK8" s="598" t="e" cm="1" vm="4">
        <f t="array" aca="1" ref="AK8" ca="1">Ver_flag_visit</f>
        <v>#VALUE!</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4</v>
      </c>
      <c r="AS8" s="39">
        <f t="shared" ca="1" si="15"/>
        <v>5</v>
      </c>
      <c r="AT8" s="43">
        <f t="shared" ca="1" si="15"/>
        <v>-1</v>
      </c>
      <c r="AU8" s="330">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41"/>
        <v>3</v>
      </c>
      <c r="BG8" s="16">
        <f t="shared" ca="1" si="17"/>
        <v>1</v>
      </c>
      <c r="BH8" s="16">
        <f t="shared" ca="1" si="18"/>
        <v>2</v>
      </c>
      <c r="BI8" s="16">
        <f t="shared" ca="1" si="19"/>
        <v>0</v>
      </c>
      <c r="BJ8" s="16">
        <f t="shared" ca="1" si="20"/>
        <v>5</v>
      </c>
      <c r="BK8" s="16">
        <f t="shared" ca="1" si="21"/>
        <v>4</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5</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1</v>
      </c>
      <c r="BW8" s="16">
        <f t="shared" ca="1" si="26"/>
        <v>0</v>
      </c>
      <c r="BX8" s="16">
        <f ca="1">IF($BT8="-","-",BU8*3+BV8)</f>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2</v>
      </c>
      <c r="CB8" s="16">
        <f t="shared" ca="1" si="28"/>
        <v>2</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1</v>
      </c>
      <c r="CK8" s="16">
        <f t="shared" ca="1" si="32"/>
        <v>0</v>
      </c>
      <c r="CL8" s="16">
        <f ca="1">IF($CH8="-","-",CI8*3+CJ8)</f>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2</v>
      </c>
      <c r="CP8" s="16">
        <f t="shared" ca="1" si="34"/>
        <v>2</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37"/>
        <v>5</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5"/>
        <v>2</v>
      </c>
      <c r="DG8" s="16">
        <f ca="1">IF(DB8="-","-",COUNTIFS(DF$6:DF$53,"&lt;"&amp;DF8,$BC$6:$BC$53,INDEX(T_Equipos[Grupo],MATCH(BD8,T_Equipos[NombreEquipo],0))))</f>
        <v>1</v>
      </c>
      <c r="DH8" s="16">
        <f ca="1">DA8+COUNTIFS(DB$6:DB$53,DB8,DG$6:DG$53,"&lt;"&amp;DG8,$BC$6:$BC$53,INDEX(T_Equipos[Grupo],MATCH(BD8,T_Equipos[NombreEquipo],0)))</f>
        <v>2</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Empate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31"/>
      <c r="X9" s="28">
        <f ca="1">Horarios!C9</f>
        <v>46198.125</v>
      </c>
      <c r="Y9" s="29">
        <f ca="1">Horarios!C9</f>
        <v>46198.125</v>
      </c>
      <c r="Z9" s="30" t="str">
        <f>$Z$8</f>
        <v>J3</v>
      </c>
      <c r="AA9" s="31" t="str">
        <f ca="1">A6</f>
        <v>Sudáfrica</v>
      </c>
      <c r="AB9" s="52" t="e" cm="1" vm="2">
        <f t="array" aca="1" ref="AB9" ca="1">Ver_flag_local</f>
        <v>#VALUE!</v>
      </c>
      <c r="AC9" s="53">
        <v>1</v>
      </c>
      <c r="AD9" s="54">
        <v>1</v>
      </c>
      <c r="AE9" s="596" t="e" cm="1" vm="3">
        <f t="array" aca="1" ref="AE9" ca="1">Ver_flag_visit</f>
        <v>#VALUE!</v>
      </c>
      <c r="AF9" s="33" t="str">
        <f ca="1">A7</f>
        <v>Corea del Sur</v>
      </c>
      <c r="AG9" s="323">
        <f t="shared" si="13"/>
        <v>1</v>
      </c>
      <c r="AH9" s="195">
        <v>54</v>
      </c>
      <c r="AI9" s="181" t="str">
        <f>AJ9&amp;$B$4</f>
        <v>4A</v>
      </c>
      <c r="AJ9" s="44">
        <v>4</v>
      </c>
      <c r="AK9" s="599" t="e" cm="1" vm="2">
        <f t="array" aca="1" ref="AK9" ca="1">Ver_flag_visit</f>
        <v>#VALUE!</v>
      </c>
      <c r="AL9" s="45" t="str">
        <f ca="1">IFERROR(INDEX($BD$6:$BD$53,MATCH(AI9,$BN$6:$BN$53,0)),"")</f>
        <v>Sudáfrica</v>
      </c>
      <c r="AM9" s="46">
        <f t="shared" ca="1" si="15"/>
        <v>2</v>
      </c>
      <c r="AN9" s="47">
        <f t="shared" ca="1" si="15"/>
        <v>3</v>
      </c>
      <c r="AO9" s="47">
        <f t="shared" ca="1" si="15"/>
        <v>0</v>
      </c>
      <c r="AP9" s="47">
        <f t="shared" ca="1" si="15"/>
        <v>2</v>
      </c>
      <c r="AQ9" s="47">
        <f t="shared" ca="1" si="15"/>
        <v>1</v>
      </c>
      <c r="AR9" s="47">
        <f t="shared" ca="1" si="15"/>
        <v>3</v>
      </c>
      <c r="AS9" s="47">
        <f t="shared" ca="1" si="15"/>
        <v>4</v>
      </c>
      <c r="AT9" s="48">
        <f t="shared" ca="1" si="15"/>
        <v>-1</v>
      </c>
      <c r="AU9" s="330">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41"/>
        <v>3</v>
      </c>
      <c r="BG9" s="16">
        <f t="shared" ca="1" si="17"/>
        <v>1</v>
      </c>
      <c r="BH9" s="16">
        <f t="shared" ca="1" si="18"/>
        <v>0</v>
      </c>
      <c r="BI9" s="16">
        <f t="shared" ca="1" si="19"/>
        <v>2</v>
      </c>
      <c r="BJ9" s="16">
        <f t="shared" ca="1" si="20"/>
        <v>4</v>
      </c>
      <c r="BK9" s="16">
        <f t="shared" ca="1" si="21"/>
        <v>5</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12</v>
      </c>
      <c r="DL9" s="16">
        <f t="shared" ca="1" si="40"/>
        <v>1</v>
      </c>
      <c r="DM9" s="16" t="str">
        <f t="shared" ca="1" si="46"/>
        <v>4.1</v>
      </c>
      <c r="DN9" s="16" cm="1">
        <f t="array" aca="1" ref="DN9" ca="1">OFFSET(Horarios!$P$3,DJ9-1,0,DL9,1)</f>
        <v>4</v>
      </c>
      <c r="DO9" s="16"/>
      <c r="DP9" s="16" t="s">
        <v>658</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4</v>
      </c>
      <c r="BK10" s="16">
        <f t="shared" ca="1" si="21"/>
        <v>4</v>
      </c>
      <c r="BL10" s="16">
        <f t="shared" ca="1" si="42"/>
        <v>0</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4"/>
        <v>-</v>
      </c>
      <c r="BV10" s="16" t="str">
        <f t="shared" ca="1" si="25"/>
        <v>-</v>
      </c>
      <c r="BW10" s="16" t="str">
        <f t="shared" ca="1" si="26"/>
        <v>-</v>
      </c>
      <c r="BX10" s="16" t="str">
        <f t="shared" ref="BX10:BX53" ca="1" si="48">IF($BT10="-","-",BU10*3+BV10)</f>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27"/>
        <v>-</v>
      </c>
      <c r="CB10" s="16" t="str">
        <f t="shared" ca="1" si="28"/>
        <v>-</v>
      </c>
      <c r="CC10" s="16" t="str">
        <f t="shared" ref="CC10:CC53" ca="1" si="49">IF($BZ10="-","-",CA10-CB10)</f>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29"/>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0"/>
        <v>-</v>
      </c>
      <c r="CJ10" s="16" t="str">
        <f t="shared" ca="1" si="31"/>
        <v>-</v>
      </c>
      <c r="CK10" s="16" t="str">
        <f t="shared" ca="1" si="32"/>
        <v>-</v>
      </c>
      <c r="CL10" s="16" t="str">
        <f t="shared" ref="CL10:CL53" ca="1" si="50">IF($CH10="-","-",CI10*3+CJ10)</f>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33"/>
        <v>-</v>
      </c>
      <c r="CP10" s="16" t="str">
        <f t="shared" ca="1" si="34"/>
        <v>-</v>
      </c>
      <c r="CQ10" s="16" t="str">
        <f t="shared" ref="CQ10:CQ53" ca="1" si="51">IF($CN10="-","-",CO10-CP10)</f>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35"/>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36"/>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659</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41"/>
        <v>3</v>
      </c>
      <c r="BG11" s="16">
        <f t="shared" ca="1" si="17"/>
        <v>1</v>
      </c>
      <c r="BH11" s="16">
        <f t="shared" ca="1" si="18"/>
        <v>0</v>
      </c>
      <c r="BI11" s="16">
        <f t="shared" ca="1" si="19"/>
        <v>2</v>
      </c>
      <c r="BJ11" s="16">
        <f t="shared" ca="1" si="20"/>
        <v>2</v>
      </c>
      <c r="BK11" s="16">
        <f t="shared" ca="1" si="21"/>
        <v>3</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4"/>
        <v>-</v>
      </c>
      <c r="BV11" s="16" t="str">
        <f t="shared" ca="1" si="25"/>
        <v>-</v>
      </c>
      <c r="BW11" s="16" t="str">
        <f t="shared" ca="1" si="26"/>
        <v>-</v>
      </c>
      <c r="BX11" s="16" t="str">
        <f t="shared" ca="1" si="48"/>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27"/>
        <v>-</v>
      </c>
      <c r="CB11" s="16" t="str">
        <f t="shared" ca="1" si="28"/>
        <v>-</v>
      </c>
      <c r="CC11" s="16" t="str">
        <f t="shared" ca="1" si="49"/>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29"/>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0"/>
        <v>-</v>
      </c>
      <c r="CJ11" s="16" t="str">
        <f t="shared" ca="1" si="31"/>
        <v>-</v>
      </c>
      <c r="CK11" s="16" t="str">
        <f t="shared" ca="1" si="32"/>
        <v>-</v>
      </c>
      <c r="CL11" s="16" t="str">
        <f t="shared" ca="1" si="50"/>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33"/>
        <v>-</v>
      </c>
      <c r="CP11" s="16" t="str">
        <f t="shared" ca="1" si="34"/>
        <v>-</v>
      </c>
      <c r="CQ11" s="16" t="str">
        <f t="shared" ca="1" si="51"/>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35"/>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36"/>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660</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Local</v>
      </c>
      <c r="E12" s="16" t="str">
        <f t="shared" ref="E12:E17" ca="1" si="54">IF(D12="Pendiente","-",INDEX($BT$6:$BT$53,MATCH($AA12,$BD$6:$BD$53,0)))</f>
        <v>-</v>
      </c>
      <c r="F12" s="16" t="str">
        <f t="shared" ref="F12:F17" ca="1" si="55">IF(D12="Pendiente","-",INDEX($BT$6:$BT$53,MATCH($AF12,$BD$6:$BD$53,0)))</f>
        <v>-</v>
      </c>
      <c r="G12" s="16"/>
      <c r="H12" s="16" t="str">
        <f t="shared" ref="H12:H17" ca="1" si="56">IF(D12="Pendiente","-",INDEX($BZ$6:$BZ$53,MATCH($AA12,$BD$6:$BD$53,0)))</f>
        <v>-</v>
      </c>
      <c r="I12" s="16" t="str">
        <f t="shared" ref="I12:I17" ca="1" si="57">IF(D12="Pendiente","-",INDEX($BZ$6:$BZ$53,MATCH($AF12,$BD$6:$BD$53,0)))</f>
        <v>-</v>
      </c>
      <c r="J12" s="16"/>
      <c r="K12" s="16" t="str">
        <f t="shared" ref="K12:K17" ca="1" si="58">IF(D12="Pendiente","-",INDEX($CE$6:$CE$53,MATCH($AA12,$BD$6:$BD$53,0)))</f>
        <v>-</v>
      </c>
      <c r="L12" s="16" t="str">
        <f t="shared" ref="L12:L17" ca="1" si="59">IF(D12="Pendiente","-",INDEX($CE$6:$CE$53,MATCH($AF12,$BD$6:$BD$53,0)))</f>
        <v>-</v>
      </c>
      <c r="M12" s="16"/>
      <c r="N12" s="16" t="str">
        <f t="shared" ref="N12:N17" ca="1" si="60">IF(D12="Pendiente","-",INDEX($CH$6:$CH$53,MATCH($AA12,$BD$6:$BD$53,0)))</f>
        <v>-</v>
      </c>
      <c r="O12" s="16" t="str">
        <f t="shared" ref="O12:O17" ca="1" si="61">IF(D12="Pendiente","-",INDEX($CH$6:$CH$53,MATCH($AF12,$BD$6:$BD$53,0)))</f>
        <v>-</v>
      </c>
      <c r="P12" s="16"/>
      <c r="Q12" s="16" t="str">
        <f t="shared" ref="Q12:Q17" ca="1" si="62">IF(D12="Pendiente","-",INDEX($CN$6:$CN$53,MATCH($AA12,$BD$6:$BD$53,0)))</f>
        <v>-</v>
      </c>
      <c r="R12" s="16" t="str">
        <f t="shared" ref="R12:R17" ca="1" si="63">IF(D12="Pendiente","-",INDEX($CN$6:$CN$53,MATCH($AF12,$BD$6:$BD$53,0)))</f>
        <v>-</v>
      </c>
      <c r="S12" s="16"/>
      <c r="T12" s="16" t="str">
        <f t="shared" ref="T12:T17" ca="1" si="64">IF(D12="Pendiente","-",INDEX($CS$6:$CS$53,MATCH($AA12,$BD$6:$BD$53,0)))</f>
        <v>-</v>
      </c>
      <c r="U12" s="16" t="str">
        <f t="shared" ref="U12:U17" ca="1" si="65">IF(D12="Pendiente","-",INDEX($CS$6:$CS$53,MATCH($AF12,$BD$6:$BD$53,0)))</f>
        <v>-</v>
      </c>
      <c r="V12" s="17"/>
      <c r="W12" s="632" t="s">
        <v>1</v>
      </c>
      <c r="X12" s="24">
        <f ca="1">Horarios!C12</f>
        <v>46185.875</v>
      </c>
      <c r="Y12" s="25">
        <f ca="1">Horarios!C12</f>
        <v>46185.875</v>
      </c>
      <c r="Z12" s="26" t="str">
        <f>$Z$4</f>
        <v>J1</v>
      </c>
      <c r="AA12" s="27" t="str">
        <f ca="1">A13</f>
        <v>Canadá</v>
      </c>
      <c r="AB12" s="49" t="e" cm="1" vm="6">
        <f t="array" aca="1" ref="AB12" ca="1">Ver_flag_local</f>
        <v>#VALUE!</v>
      </c>
      <c r="AC12" s="50">
        <v>2</v>
      </c>
      <c r="AD12" s="51">
        <v>1</v>
      </c>
      <c r="AE12" s="595" t="e" cm="1" vm="7">
        <f t="array" aca="1" ref="AE12" ca="1">Ver_flag_visit</f>
        <v>#VALUE!</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1</v>
      </c>
      <c r="BK12" s="16">
        <f t="shared" ca="1" si="21"/>
        <v>4</v>
      </c>
      <c r="BL12" s="16">
        <f t="shared" ca="1" si="42"/>
        <v>-3</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Visitante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32"/>
      <c r="X13" s="24">
        <f ca="1">Horarios!C13</f>
        <v>46186.875</v>
      </c>
      <c r="Y13" s="25">
        <f ca="1">Horarios!C13</f>
        <v>46186.875</v>
      </c>
      <c r="Z13" s="26" t="str">
        <f>$Z$4</f>
        <v>J1</v>
      </c>
      <c r="AA13" s="27" t="str">
        <f ca="1">A15</f>
        <v>Catar</v>
      </c>
      <c r="AB13" s="49" t="e" cm="1" vm="8">
        <f t="array" aca="1" ref="AB13" ca="1">Ver_flag_local</f>
        <v>#VALUE!</v>
      </c>
      <c r="AC13" s="50">
        <v>0</v>
      </c>
      <c r="AD13" s="51">
        <v>2</v>
      </c>
      <c r="AE13" s="595" t="e" cm="1" vm="9">
        <f t="array" aca="1" ref="AE13" ca="1">Ver_flag_visit</f>
        <v>#VALUE!</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41"/>
        <v>3</v>
      </c>
      <c r="BG13" s="16">
        <f t="shared" ca="1" si="17"/>
        <v>3</v>
      </c>
      <c r="BH13" s="16">
        <f t="shared" ca="1" si="18"/>
        <v>0</v>
      </c>
      <c r="BI13" s="16">
        <f t="shared" ca="1" si="19"/>
        <v>0</v>
      </c>
      <c r="BJ13" s="16">
        <f t="shared" ca="1" si="20"/>
        <v>5</v>
      </c>
      <c r="BK13" s="16">
        <f t="shared" ca="1" si="21"/>
        <v>1</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661</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v>
      </c>
      <c r="G14" s="16"/>
      <c r="H14" s="16" t="str">
        <f t="shared" ca="1" si="56"/>
        <v>-</v>
      </c>
      <c r="I14" s="16" t="str">
        <f t="shared" ca="1" si="57"/>
        <v>-</v>
      </c>
      <c r="J14" s="16"/>
      <c r="K14" s="16" t="str">
        <f t="shared" ca="1" si="58"/>
        <v>-</v>
      </c>
      <c r="L14" s="16" t="str">
        <f t="shared" ca="1" si="59"/>
        <v>-</v>
      </c>
      <c r="M14" s="16"/>
      <c r="N14" s="16" t="str">
        <f t="shared" ca="1" si="60"/>
        <v>-</v>
      </c>
      <c r="O14" s="16" t="str">
        <f t="shared" ca="1" si="61"/>
        <v>-</v>
      </c>
      <c r="P14" s="16"/>
      <c r="Q14" s="16" t="str">
        <f t="shared" ca="1" si="62"/>
        <v>-</v>
      </c>
      <c r="R14" s="16" t="str">
        <f t="shared" ca="1" si="63"/>
        <v>-</v>
      </c>
      <c r="S14" s="16"/>
      <c r="T14" s="16" t="str">
        <f t="shared" ca="1" si="64"/>
        <v>-</v>
      </c>
      <c r="U14" s="16" t="str">
        <f t="shared" ca="1" si="65"/>
        <v>-</v>
      </c>
      <c r="V14" s="17"/>
      <c r="W14" s="632"/>
      <c r="X14" s="24">
        <f ca="1">Horarios!C14</f>
        <v>46191.875</v>
      </c>
      <c r="Y14" s="25">
        <f ca="1">Horarios!C14</f>
        <v>46191.875</v>
      </c>
      <c r="Z14" s="26" t="str">
        <f>$Z$6</f>
        <v>J2</v>
      </c>
      <c r="AA14" s="27" t="str">
        <f ca="1">A16</f>
        <v>Suiza</v>
      </c>
      <c r="AB14" s="49" t="e" cm="1" vm="9">
        <f t="array" aca="1" ref="AB14" ca="1">Ver_flag_local</f>
        <v>#VALUE!</v>
      </c>
      <c r="AC14" s="50">
        <v>1</v>
      </c>
      <c r="AD14" s="51">
        <v>0</v>
      </c>
      <c r="AE14" s="595" t="e" cm="1" vm="7">
        <f t="array" aca="1" ref="AE14" ca="1">Ver_flag_visit</f>
        <v>#VALUE!</v>
      </c>
      <c r="AF14" s="32" t="str">
        <f ca="1">A14</f>
        <v>Bosnia y Herzegovina</v>
      </c>
      <c r="AG14" s="323">
        <f t="shared" si="66"/>
        <v>1</v>
      </c>
      <c r="AH14" s="195">
        <v>26</v>
      </c>
      <c r="AI14" s="181" t="str">
        <f>AJ14&amp;$B$12</f>
        <v>1B</v>
      </c>
      <c r="AJ14" s="71">
        <v>1</v>
      </c>
      <c r="AK14" s="601" t="e" cm="1" vm="9">
        <f t="array" aca="1" ref="AK14" ca="1">Ver_flag_visit</f>
        <v>#VALUE!</v>
      </c>
      <c r="AL14" s="34" t="str">
        <f ca="1">IFERROR(INDEX($BD$6:$BD$53,MATCH(AI14,$BN$6:$BN$53,0)),"")</f>
        <v>Suiza</v>
      </c>
      <c r="AM14" s="35">
        <f t="shared" ref="AM14:AT17" ca="1" si="69">INDEX($BE$6:$BN$53,MATCH($AL14,$BD$6:$BD$53,0),MATCH(AM$5,$BE$5:$BN$5,0))</f>
        <v>9</v>
      </c>
      <c r="AN14" s="36">
        <f t="shared" ca="1" si="69"/>
        <v>3</v>
      </c>
      <c r="AO14" s="36">
        <f t="shared" ca="1" si="69"/>
        <v>3</v>
      </c>
      <c r="AP14" s="36">
        <f t="shared" ca="1" si="69"/>
        <v>0</v>
      </c>
      <c r="AQ14" s="36">
        <f t="shared" ca="1" si="69"/>
        <v>0</v>
      </c>
      <c r="AR14" s="36">
        <f t="shared" ca="1" si="69"/>
        <v>5</v>
      </c>
      <c r="AS14" s="36">
        <f t="shared" ca="1" si="69"/>
        <v>1</v>
      </c>
      <c r="AT14" s="72">
        <f t="shared" ca="1" si="69"/>
        <v>4</v>
      </c>
      <c r="AU14" s="330">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11</v>
      </c>
      <c r="BK14" s="16">
        <f t="shared" ca="1" si="21"/>
        <v>3</v>
      </c>
      <c r="BL14" s="16">
        <f t="shared" ca="1" si="42"/>
        <v>8</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2</v>
      </c>
      <c r="CB14" s="16">
        <f t="shared" ca="1" si="28"/>
        <v>2</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2</v>
      </c>
      <c r="CP14" s="16">
        <f t="shared" ca="1" si="34"/>
        <v>2</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662</v>
      </c>
      <c r="DQ14" s="16" t="str">
        <f t="shared" ca="1" si="47"/>
        <v>Brasil</v>
      </c>
    </row>
    <row r="15" spans="1:121" ht="16" customHeight="1">
      <c r="A15" s="16" t="str">
        <f ca="1">+Equipos!B8</f>
        <v>Catar</v>
      </c>
      <c r="B15" s="16"/>
      <c r="C15" s="16"/>
      <c r="D15" s="16" t="str">
        <f t="shared" si="53"/>
        <v>Empate</v>
      </c>
      <c r="E15" s="16" t="str">
        <f t="shared" ca="1" si="54"/>
        <v>-</v>
      </c>
      <c r="F15" s="16" t="str">
        <f t="shared" ca="1" si="55"/>
        <v>-</v>
      </c>
      <c r="G15" s="16"/>
      <c r="H15" s="16" t="str">
        <f t="shared" ca="1" si="56"/>
        <v>-</v>
      </c>
      <c r="I15" s="16" t="str">
        <f t="shared" ca="1" si="57"/>
        <v>-</v>
      </c>
      <c r="J15" s="16"/>
      <c r="K15" s="16" t="str">
        <f t="shared" ca="1" si="58"/>
        <v>-</v>
      </c>
      <c r="L15" s="16" t="str">
        <f t="shared" ca="1" si="59"/>
        <v>-</v>
      </c>
      <c r="M15" s="16"/>
      <c r="N15" s="16" t="str">
        <f t="shared" ca="1" si="60"/>
        <v>-</v>
      </c>
      <c r="O15" s="16" t="str">
        <f t="shared" ca="1" si="61"/>
        <v>-</v>
      </c>
      <c r="P15" s="16"/>
      <c r="Q15" s="16" t="str">
        <f t="shared" ca="1" si="62"/>
        <v>-</v>
      </c>
      <c r="R15" s="16" t="str">
        <f t="shared" ca="1" si="63"/>
        <v>-</v>
      </c>
      <c r="S15" s="16"/>
      <c r="T15" s="16" t="str">
        <f t="shared" ca="1" si="64"/>
        <v>-</v>
      </c>
      <c r="U15" s="16" t="str">
        <f t="shared" ca="1" si="65"/>
        <v>-</v>
      </c>
      <c r="V15" s="17"/>
      <c r="W15" s="632"/>
      <c r="X15" s="24">
        <f ca="1">Horarios!C15</f>
        <v>46192</v>
      </c>
      <c r="Y15" s="25">
        <f ca="1">Horarios!C15</f>
        <v>46192</v>
      </c>
      <c r="Z15" s="26" t="str">
        <f>$Z$6</f>
        <v>J2</v>
      </c>
      <c r="AA15" s="27" t="str">
        <f ca="1">A13</f>
        <v>Canadá</v>
      </c>
      <c r="AB15" s="49" t="e" cm="1" vm="6">
        <f t="array" aca="1" ref="AB15" ca="1">Ver_flag_local</f>
        <v>#VALUE!</v>
      </c>
      <c r="AC15" s="50">
        <v>1</v>
      </c>
      <c r="AD15" s="51">
        <v>1</v>
      </c>
      <c r="AE15" s="595" t="e" cm="1" vm="8">
        <f t="array" aca="1" ref="AE15" ca="1">Ver_flag_visit</f>
        <v>#VALUE!</v>
      </c>
      <c r="AF15" s="32" t="str">
        <f ca="1">A15</f>
        <v>Catar</v>
      </c>
      <c r="AG15" s="323">
        <f t="shared" si="66"/>
        <v>1</v>
      </c>
      <c r="AH15" s="195">
        <v>27</v>
      </c>
      <c r="AI15" s="181" t="str">
        <f t="shared" ref="AI15:AI17" si="70">AJ15&amp;$B$12</f>
        <v>2B</v>
      </c>
      <c r="AJ15" s="73">
        <v>2</v>
      </c>
      <c r="AK15" s="602" t="e" cm="1" vm="6">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4</v>
      </c>
      <c r="AS15" s="39">
        <f t="shared" ca="1" si="69"/>
        <v>4</v>
      </c>
      <c r="AT15" s="74">
        <f t="shared" ca="1" si="69"/>
        <v>0</v>
      </c>
      <c r="AU15" s="330">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8</v>
      </c>
      <c r="BK15" s="16">
        <f t="shared" ca="1" si="21"/>
        <v>3</v>
      </c>
      <c r="BL15" s="16">
        <f t="shared" ca="1" si="42"/>
        <v>5</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2</v>
      </c>
      <c r="CB15" s="16">
        <f t="shared" ca="1" si="28"/>
        <v>2</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2</v>
      </c>
      <c r="CP15" s="16">
        <f t="shared" ca="1" si="34"/>
        <v>2</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667</v>
      </c>
      <c r="DQ15" s="16" t="str">
        <f t="shared" ca="1" si="47"/>
        <v>Marruecos</v>
      </c>
    </row>
    <row r="16" spans="1:121" ht="16" customHeight="1">
      <c r="A16" s="16" t="str">
        <f ca="1">+Equipos!B9</f>
        <v>Suiza</v>
      </c>
      <c r="B16" s="16"/>
      <c r="C16" s="16"/>
      <c r="D16" s="16" t="str">
        <f t="shared" si="53"/>
        <v>Local</v>
      </c>
      <c r="E16" s="16" t="str">
        <f t="shared" ca="1" si="54"/>
        <v>-</v>
      </c>
      <c r="F16" s="16" t="str">
        <f t="shared" ca="1" si="55"/>
        <v>-</v>
      </c>
      <c r="G16" s="16"/>
      <c r="H16" s="16" t="str">
        <f t="shared" ca="1" si="56"/>
        <v>-</v>
      </c>
      <c r="I16" s="16" t="str">
        <f t="shared" ca="1" si="57"/>
        <v>-</v>
      </c>
      <c r="J16" s="16"/>
      <c r="K16" s="16" t="str">
        <f t="shared" ca="1" si="58"/>
        <v>-</v>
      </c>
      <c r="L16" s="16" t="str">
        <f t="shared" ca="1" si="59"/>
        <v>-</v>
      </c>
      <c r="M16" s="16"/>
      <c r="N16" s="16" t="str">
        <f t="shared" ca="1" si="60"/>
        <v>-</v>
      </c>
      <c r="O16" s="16" t="str">
        <f t="shared" ca="1" si="61"/>
        <v>-</v>
      </c>
      <c r="P16" s="16"/>
      <c r="Q16" s="16" t="str">
        <f t="shared" ca="1" si="62"/>
        <v>-</v>
      </c>
      <c r="R16" s="16" t="str">
        <f t="shared" ca="1" si="63"/>
        <v>-</v>
      </c>
      <c r="S16" s="16"/>
      <c r="T16" s="16" t="str">
        <f t="shared" ca="1" si="64"/>
        <v>-</v>
      </c>
      <c r="U16" s="16" t="str">
        <f t="shared" ca="1" si="65"/>
        <v>-</v>
      </c>
      <c r="V16" s="17"/>
      <c r="W16" s="632"/>
      <c r="X16" s="24">
        <f ca="1">Horarios!C16</f>
        <v>46197.875</v>
      </c>
      <c r="Y16" s="25">
        <f ca="1">Horarios!C16</f>
        <v>46197.875</v>
      </c>
      <c r="Z16" s="26" t="str">
        <f>$Z$8</f>
        <v>J3</v>
      </c>
      <c r="AA16" s="27" t="str">
        <f ca="1">A16</f>
        <v>Suiza</v>
      </c>
      <c r="AB16" s="49" t="e" cm="1" vm="9">
        <f t="array" aca="1" ref="AB16" ca="1">Ver_flag_local</f>
        <v>#VALUE!</v>
      </c>
      <c r="AC16" s="50">
        <v>2</v>
      </c>
      <c r="AD16" s="51">
        <v>1</v>
      </c>
      <c r="AE16" s="595" t="e" cm="1" vm="6">
        <f t="array" aca="1" ref="AE16" ca="1">Ver_flag_visit</f>
        <v>#VALUE!</v>
      </c>
      <c r="AF16" s="32" t="str">
        <f ca="1">A13</f>
        <v>Canadá</v>
      </c>
      <c r="AG16" s="323">
        <f t="shared" si="66"/>
        <v>1</v>
      </c>
      <c r="AH16" s="195">
        <v>51</v>
      </c>
      <c r="AI16" s="181" t="str">
        <f t="shared" si="70"/>
        <v>3B</v>
      </c>
      <c r="AJ16" s="73">
        <v>3</v>
      </c>
      <c r="AK16" s="602" t="e" cm="1" vm="7">
        <f t="array" aca="1" ref="AK16" ca="1">Ver_flag_visit</f>
        <v>#VALUE!</v>
      </c>
      <c r="AL16" s="37" t="str">
        <f ca="1">IFERROR(INDEX($BD$6:$BD$53,MATCH(AI16,$BN$6:$BN$53,0)),"")</f>
        <v>Bosnia y Herzegovina</v>
      </c>
      <c r="AM16" s="38">
        <f t="shared" ca="1" si="69"/>
        <v>3</v>
      </c>
      <c r="AN16" s="39">
        <f t="shared" ca="1" si="69"/>
        <v>3</v>
      </c>
      <c r="AO16" s="39">
        <f t="shared" ca="1" si="69"/>
        <v>1</v>
      </c>
      <c r="AP16" s="39">
        <f t="shared" ca="1" si="69"/>
        <v>0</v>
      </c>
      <c r="AQ16" s="39">
        <f t="shared" ca="1" si="69"/>
        <v>2</v>
      </c>
      <c r="AR16" s="39">
        <f t="shared" ca="1" si="69"/>
        <v>2</v>
      </c>
      <c r="AS16" s="39">
        <f t="shared" ca="1" si="69"/>
        <v>3</v>
      </c>
      <c r="AT16" s="74">
        <f t="shared" ca="1" si="69"/>
        <v>-1</v>
      </c>
      <c r="AU16" s="330">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0</v>
      </c>
      <c r="BK16" s="16">
        <f t="shared" ca="1" si="21"/>
        <v>10</v>
      </c>
      <c r="BL16" s="16">
        <f t="shared" ca="1" si="42"/>
        <v>-10</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v>
      </c>
      <c r="F17" s="16" t="str">
        <f t="shared" ca="1" si="55"/>
        <v>-</v>
      </c>
      <c r="G17" s="16"/>
      <c r="H17" s="16" t="str">
        <f t="shared" ca="1" si="56"/>
        <v>-</v>
      </c>
      <c r="I17" s="16" t="str">
        <f t="shared" ca="1" si="57"/>
        <v>-</v>
      </c>
      <c r="J17" s="16"/>
      <c r="K17" s="16" t="str">
        <f t="shared" ca="1" si="58"/>
        <v>-</v>
      </c>
      <c r="L17" s="16" t="str">
        <f t="shared" ca="1" si="59"/>
        <v>-</v>
      </c>
      <c r="M17" s="16"/>
      <c r="N17" s="16" t="str">
        <f t="shared" ca="1" si="60"/>
        <v>-</v>
      </c>
      <c r="O17" s="16" t="str">
        <f t="shared" ca="1" si="61"/>
        <v>-</v>
      </c>
      <c r="P17" s="16"/>
      <c r="Q17" s="16" t="str">
        <f t="shared" ca="1" si="62"/>
        <v>-</v>
      </c>
      <c r="R17" s="16" t="str">
        <f t="shared" ca="1" si="63"/>
        <v>-</v>
      </c>
      <c r="S17" s="16"/>
      <c r="T17" s="16" t="str">
        <f t="shared" ca="1" si="64"/>
        <v>-</v>
      </c>
      <c r="U17" s="16" t="str">
        <f t="shared" ca="1" si="65"/>
        <v>-</v>
      </c>
      <c r="V17" s="17"/>
      <c r="W17" s="633"/>
      <c r="X17" s="28">
        <f ca="1">Horarios!C17</f>
        <v>46197.875</v>
      </c>
      <c r="Y17" s="29">
        <f ca="1">Horarios!C17</f>
        <v>46197.875</v>
      </c>
      <c r="Z17" s="30" t="str">
        <f>$Z$8</f>
        <v>J3</v>
      </c>
      <c r="AA17" s="31" t="str">
        <f ca="1">A14</f>
        <v>Bosnia y Herzegovina</v>
      </c>
      <c r="AB17" s="52" t="e" cm="1" vm="7">
        <f t="array" aca="1" ref="AB17" ca="1">Ver_flag_local</f>
        <v>#VALUE!</v>
      </c>
      <c r="AC17" s="53">
        <v>1</v>
      </c>
      <c r="AD17" s="54">
        <v>0</v>
      </c>
      <c r="AE17" s="596" t="e" cm="1" vm="8">
        <f t="array" aca="1" ref="AE17" ca="1">Ver_flag_visit</f>
        <v>#VALUE!</v>
      </c>
      <c r="AF17" s="33" t="str">
        <f ca="1">A15</f>
        <v>Catar</v>
      </c>
      <c r="AG17" s="323">
        <f t="shared" si="66"/>
        <v>1</v>
      </c>
      <c r="AH17" s="195">
        <v>52</v>
      </c>
      <c r="AI17" s="181" t="str">
        <f t="shared" si="70"/>
        <v>4B</v>
      </c>
      <c r="AJ17" s="75">
        <v>4</v>
      </c>
      <c r="AK17" s="603" t="e" cm="1" vm="8">
        <f t="array" aca="1" ref="AK17" ca="1">Ver_flag_visit</f>
        <v>#VALUE!</v>
      </c>
      <c r="AL17" s="76" t="str">
        <f ca="1">IFERROR(INDEX($BD$6:$BD$53,MATCH(AI17,$BN$6:$BN$53,0)),"")</f>
        <v>Catar</v>
      </c>
      <c r="AM17" s="77">
        <f t="shared" ca="1" si="69"/>
        <v>1</v>
      </c>
      <c r="AN17" s="78">
        <f t="shared" ca="1" si="69"/>
        <v>3</v>
      </c>
      <c r="AO17" s="78">
        <f t="shared" ca="1" si="69"/>
        <v>0</v>
      </c>
      <c r="AP17" s="78">
        <f t="shared" ca="1" si="69"/>
        <v>1</v>
      </c>
      <c r="AQ17" s="78">
        <f t="shared" ca="1" si="69"/>
        <v>2</v>
      </c>
      <c r="AR17" s="78">
        <f t="shared" ca="1" si="69"/>
        <v>1</v>
      </c>
      <c r="AS17" s="78">
        <f t="shared" ca="1" si="69"/>
        <v>4</v>
      </c>
      <c r="AT17" s="79">
        <f t="shared" ca="1" si="69"/>
        <v>-3</v>
      </c>
      <c r="AU17" s="330">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4</v>
      </c>
      <c r="BK17" s="16">
        <f t="shared" ca="1" si="21"/>
        <v>7</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668</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41"/>
        <v>3</v>
      </c>
      <c r="BG18" s="16">
        <f t="shared" ca="1" si="17"/>
        <v>1</v>
      </c>
      <c r="BH18" s="16">
        <f t="shared" ca="1" si="18"/>
        <v>2</v>
      </c>
      <c r="BI18" s="16">
        <f t="shared" ca="1" si="19"/>
        <v>0</v>
      </c>
      <c r="BJ18" s="16">
        <f t="shared" ca="1" si="20"/>
        <v>6</v>
      </c>
      <c r="BK18" s="16">
        <f t="shared" ca="1" si="21"/>
        <v>5</v>
      </c>
      <c r="BL18" s="16">
        <f t="shared" ca="1" si="42"/>
        <v>1</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(3)</v>
      </c>
      <c r="BU18" s="16">
        <f t="shared" ca="1" si="24"/>
        <v>0</v>
      </c>
      <c r="BV18" s="16">
        <f t="shared" ca="1" si="25"/>
        <v>2</v>
      </c>
      <c r="BW18" s="16">
        <f t="shared" ca="1" si="26"/>
        <v>0</v>
      </c>
      <c r="BX18" s="16">
        <f t="shared" ca="1" si="48"/>
        <v>2</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(3)</v>
      </c>
      <c r="CA18" s="16">
        <f t="shared" ca="1" si="27"/>
        <v>4</v>
      </c>
      <c r="CB18" s="16">
        <f t="shared" ca="1" si="28"/>
        <v>4</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(3)</v>
      </c>
      <c r="CF18" s="16">
        <f t="shared" ca="1" si="29"/>
        <v>4</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(3)</v>
      </c>
      <c r="CI18" s="16">
        <f t="shared" ca="1" si="30"/>
        <v>0</v>
      </c>
      <c r="CJ18" s="16">
        <f t="shared" ca="1" si="31"/>
        <v>2</v>
      </c>
      <c r="CK18" s="16">
        <f t="shared" ca="1" si="32"/>
        <v>0</v>
      </c>
      <c r="CL18" s="16">
        <f t="shared" ca="1" si="50"/>
        <v>2</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(3)</v>
      </c>
      <c r="CO18" s="16">
        <f t="shared" ca="1" si="33"/>
        <v>4</v>
      </c>
      <c r="CP18" s="16">
        <f t="shared" ca="1" si="34"/>
        <v>4</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(3)</v>
      </c>
      <c r="CT18" s="16">
        <f t="shared" ca="1" si="35"/>
        <v>4</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(3)</v>
      </c>
      <c r="CW18" s="16">
        <f t="shared" ca="1" si="36"/>
        <v>1</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(3)</v>
      </c>
      <c r="CZ18" s="16">
        <f t="shared" ca="1" si="37"/>
        <v>6</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(2)</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52"/>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38"/>
        <v>1</v>
      </c>
      <c r="DK18" s="16">
        <f t="shared" ca="1" si="39"/>
        <v>12</v>
      </c>
      <c r="DL18" s="16">
        <f t="shared" ca="1" si="40"/>
        <v>2</v>
      </c>
      <c r="DM18" s="16" t="str">
        <f t="shared" ca="1" si="46"/>
        <v>1.2</v>
      </c>
      <c r="DN18" s="16" t="e" cm="1" vm="5">
        <f t="array" aca="1" ref="DN18" ca="1">OFFSET(Horarios!$P$3,DJ18-1,0,DL18,1)</f>
        <v>#VALUE!</v>
      </c>
      <c r="DO18" s="16"/>
      <c r="DP18" s="16" t="s">
        <v>669</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5</v>
      </c>
      <c r="BF19" s="16">
        <f t="shared" ca="1" si="41"/>
        <v>3</v>
      </c>
      <c r="BG19" s="16">
        <f t="shared" ca="1" si="17"/>
        <v>1</v>
      </c>
      <c r="BH19" s="16">
        <f t="shared" ca="1" si="18"/>
        <v>2</v>
      </c>
      <c r="BI19" s="16">
        <f t="shared" ca="1" si="19"/>
        <v>0</v>
      </c>
      <c r="BJ19" s="16">
        <f t="shared" ca="1" si="20"/>
        <v>5</v>
      </c>
      <c r="BK19" s="16">
        <f t="shared" ca="1" si="21"/>
        <v>4</v>
      </c>
      <c r="BL19" s="16">
        <f t="shared" ca="1" si="42"/>
        <v>1</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5</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(3)</v>
      </c>
      <c r="BU19" s="16">
        <f t="shared" ca="1" si="24"/>
        <v>0</v>
      </c>
      <c r="BV19" s="16">
        <f t="shared" ca="1" si="25"/>
        <v>2</v>
      </c>
      <c r="BW19" s="16">
        <f t="shared" ca="1" si="26"/>
        <v>0</v>
      </c>
      <c r="BX19" s="16">
        <f t="shared" ca="1" si="48"/>
        <v>2</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(3)</v>
      </c>
      <c r="CA19" s="16">
        <f t="shared" ca="1" si="27"/>
        <v>4</v>
      </c>
      <c r="CB19" s="16">
        <f t="shared" ca="1" si="28"/>
        <v>4</v>
      </c>
      <c r="CC19" s="16">
        <f t="shared" ca="1" si="49"/>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(3)</v>
      </c>
      <c r="CF19" s="16">
        <f t="shared" ca="1" si="29"/>
        <v>4</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(3)</v>
      </c>
      <c r="CI19" s="16">
        <f t="shared" ca="1" si="30"/>
        <v>0</v>
      </c>
      <c r="CJ19" s="16">
        <f t="shared" ca="1" si="31"/>
        <v>2</v>
      </c>
      <c r="CK19" s="16">
        <f t="shared" ca="1" si="32"/>
        <v>0</v>
      </c>
      <c r="CL19" s="16">
        <f t="shared" ca="1" si="50"/>
        <v>2</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(3)</v>
      </c>
      <c r="CO19" s="16">
        <f t="shared" ca="1" si="33"/>
        <v>4</v>
      </c>
      <c r="CP19" s="16">
        <f t="shared" ca="1" si="34"/>
        <v>4</v>
      </c>
      <c r="CQ19" s="16">
        <f t="shared" ca="1" si="51"/>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(3)</v>
      </c>
      <c r="CT19" s="16">
        <f t="shared" ca="1" si="35"/>
        <v>4</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(3)</v>
      </c>
      <c r="CW19" s="16">
        <f t="shared" ca="1" si="36"/>
        <v>1</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(3)</v>
      </c>
      <c r="CZ19" s="16">
        <f t="shared" ca="1" si="37"/>
        <v>5</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1</v>
      </c>
      <c r="DK19" s="16">
        <f t="shared" ca="1" si="39"/>
        <v>12</v>
      </c>
      <c r="DL19" s="16">
        <f t="shared" ca="1" si="40"/>
        <v>2</v>
      </c>
      <c r="DM19" s="16" t="str">
        <f t="shared" ca="1" si="46"/>
        <v>1.2</v>
      </c>
      <c r="DN19" s="16" t="e" cm="1" vm="5">
        <f t="array" aca="1" ref="DN19" ca="1">OFFSET(Horarios!$P$3,DJ19-1,0,DL19,1)</f>
        <v>#VALUE!</v>
      </c>
      <c r="DO19" s="16"/>
      <c r="DP19" s="16" t="s">
        <v>670</v>
      </c>
      <c r="DQ19" s="16" t="str">
        <f t="shared" ca="1" si="47"/>
        <v>Turquía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41" t="s">
        <v>2</v>
      </c>
      <c r="X20" s="24">
        <f ca="1">Horarios!C20</f>
        <v>46187</v>
      </c>
      <c r="Y20" s="25">
        <f ca="1">Horarios!C20</f>
        <v>46187</v>
      </c>
      <c r="Z20" s="26" t="str">
        <f>$Z$4</f>
        <v>J1</v>
      </c>
      <c r="AA20" s="27" t="str">
        <f ca="1">A21</f>
        <v>Brasil</v>
      </c>
      <c r="AB20" s="49" t="e" cm="1" vm="10">
        <f t="array" aca="1" ref="AB20" ca="1">Ver_flag_local</f>
        <v>#VALUE!</v>
      </c>
      <c r="AC20" s="50">
        <v>2</v>
      </c>
      <c r="AD20" s="51">
        <v>2</v>
      </c>
      <c r="AE20" s="595" t="e" cm="1" vm="11">
        <f t="array" aca="1" ref="AE20" ca="1">Ver_flag_visit</f>
        <v>#VALUE!</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41"/>
        <v>3</v>
      </c>
      <c r="BG20" s="16">
        <f t="shared" ca="1" si="17"/>
        <v>0</v>
      </c>
      <c r="BH20" s="16">
        <f t="shared" ca="1" si="18"/>
        <v>0</v>
      </c>
      <c r="BI20" s="16">
        <f t="shared" ca="1" si="19"/>
        <v>3</v>
      </c>
      <c r="BJ20" s="16">
        <f t="shared" ca="1" si="20"/>
        <v>2</v>
      </c>
      <c r="BK20" s="16">
        <f t="shared" ca="1" si="21"/>
        <v>5</v>
      </c>
      <c r="BL20" s="16">
        <f t="shared" ca="1" si="42"/>
        <v>-3</v>
      </c>
      <c r="BM20" s="16" t="str">
        <f t="shared" ca="1" si="22"/>
        <v>4D</v>
      </c>
      <c r="BN20" s="16" t="str">
        <f t="shared" ca="1" si="23"/>
        <v>4D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4"/>
        <v>-</v>
      </c>
      <c r="BV20" s="16" t="str">
        <f t="shared" ca="1" si="25"/>
        <v>-</v>
      </c>
      <c r="BW20" s="16" t="str">
        <f t="shared" ca="1" si="26"/>
        <v>-</v>
      </c>
      <c r="BX20" s="16" t="str">
        <f t="shared" ca="1" si="48"/>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27"/>
        <v>-</v>
      </c>
      <c r="CB20" s="16" t="str">
        <f t="shared" ca="1" si="28"/>
        <v>-</v>
      </c>
      <c r="CC20" s="16" t="str">
        <f t="shared" ca="1" si="49"/>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29"/>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0"/>
        <v>-</v>
      </c>
      <c r="CJ20" s="16" t="str">
        <f t="shared" ca="1" si="31"/>
        <v>-</v>
      </c>
      <c r="CK20" s="16" t="str">
        <f t="shared" ca="1" si="32"/>
        <v>-</v>
      </c>
      <c r="CL20" s="16" t="str">
        <f t="shared" ca="1" si="50"/>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33"/>
        <v>-</v>
      </c>
      <c r="CP20" s="16" t="str">
        <f t="shared" ca="1" si="34"/>
        <v>-</v>
      </c>
      <c r="CQ20" s="16" t="str">
        <f t="shared" ca="1" si="51"/>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35"/>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36"/>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52"/>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41"/>
      <c r="X21" s="24">
        <f ca="1">Horarios!C21</f>
        <v>46187.125</v>
      </c>
      <c r="Y21" s="25">
        <f ca="1">Horarios!C21</f>
        <v>46187.125</v>
      </c>
      <c r="Z21" s="26" t="str">
        <f>$Z$4</f>
        <v>J1</v>
      </c>
      <c r="AA21" s="27" t="str">
        <f ca="1">A23</f>
        <v>Haití</v>
      </c>
      <c r="AB21" s="49" t="e" cm="1" vm="12">
        <f t="array" aca="1" ref="AB21" ca="1">Ver_flag_local</f>
        <v>#VALUE!</v>
      </c>
      <c r="AC21" s="50">
        <v>0</v>
      </c>
      <c r="AD21" s="51">
        <v>2</v>
      </c>
      <c r="AE21" s="595" t="e" cm="1" vm="13">
        <f t="array" aca="1" ref="AE21" ca="1">Ver_flag_visit</f>
        <v>#VALUE!</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41"/>
        <v>3</v>
      </c>
      <c r="BG21" s="16">
        <f t="shared" ca="1" si="17"/>
        <v>1</v>
      </c>
      <c r="BH21" s="16">
        <f t="shared" ca="1" si="18"/>
        <v>2</v>
      </c>
      <c r="BI21" s="16">
        <f t="shared" ca="1" si="19"/>
        <v>0</v>
      </c>
      <c r="BJ21" s="16">
        <f t="shared" ca="1" si="20"/>
        <v>6</v>
      </c>
      <c r="BK21" s="16">
        <f t="shared" ca="1" si="21"/>
        <v>5</v>
      </c>
      <c r="BL21" s="16">
        <f t="shared" ca="1" si="42"/>
        <v>1</v>
      </c>
      <c r="BM21" s="16" t="str">
        <f t="shared" ca="1" si="22"/>
        <v>2D</v>
      </c>
      <c r="BN21" s="16" t="str">
        <f t="shared" ca="1" si="23"/>
        <v>2D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5</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(3)</v>
      </c>
      <c r="BU21" s="16">
        <f t="shared" ca="1" si="24"/>
        <v>0</v>
      </c>
      <c r="BV21" s="16">
        <f t="shared" ca="1" si="25"/>
        <v>2</v>
      </c>
      <c r="BW21" s="16">
        <f t="shared" ca="1" si="26"/>
        <v>0</v>
      </c>
      <c r="BX21" s="16">
        <f t="shared" ca="1" si="48"/>
        <v>2</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(3)</v>
      </c>
      <c r="CA21" s="16">
        <f t="shared" ca="1" si="27"/>
        <v>4</v>
      </c>
      <c r="CB21" s="16">
        <f t="shared" ca="1" si="28"/>
        <v>4</v>
      </c>
      <c r="CC21" s="16">
        <f t="shared" ca="1" si="49"/>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(3)</v>
      </c>
      <c r="CF21" s="16">
        <f t="shared" ca="1" si="29"/>
        <v>4</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(3)</v>
      </c>
      <c r="CI21" s="16">
        <f t="shared" ca="1" si="30"/>
        <v>0</v>
      </c>
      <c r="CJ21" s="16">
        <f t="shared" ca="1" si="31"/>
        <v>2</v>
      </c>
      <c r="CK21" s="16">
        <f t="shared" ca="1" si="32"/>
        <v>0</v>
      </c>
      <c r="CL21" s="16">
        <f t="shared" ca="1" si="50"/>
        <v>2</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(3)</v>
      </c>
      <c r="CO21" s="16">
        <f t="shared" ca="1" si="33"/>
        <v>4</v>
      </c>
      <c r="CP21" s="16">
        <f t="shared" ca="1" si="34"/>
        <v>4</v>
      </c>
      <c r="CQ21" s="16">
        <f t="shared" ca="1" si="51"/>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(3)</v>
      </c>
      <c r="CT21" s="16">
        <f t="shared" ca="1" si="35"/>
        <v>4</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(3)</v>
      </c>
      <c r="CW21" s="16">
        <f t="shared" ca="1" si="36"/>
        <v>1</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(3)</v>
      </c>
      <c r="CZ21" s="16">
        <f t="shared" ca="1" si="37"/>
        <v>6</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2</v>
      </c>
      <c r="DE21" s="16"/>
      <c r="DF21" s="16">
        <f t="shared" ca="1" si="52"/>
        <v>2</v>
      </c>
      <c r="DG21" s="16">
        <f ca="1">IF(DB21="-","-",COUNTIFS(DF$6:DF$53,"&lt;"&amp;DF21,$BC$6:$BC$53,INDEX(T_Equipos[Grupo],MATCH(BD21,T_Equipos[NombreEquipo],0))))</f>
        <v>1</v>
      </c>
      <c r="DH21" s="16">
        <f ca="1">DA21+COUNTIFS(DB$6:DB$53,DB21,DG$6:DG$53,"&lt;"&amp;DG21,$BC$6:$BC$53,INDEX(T_Equipos[Grupo],MATCH(BD21,T_Equipos[NombreEquipo],0)))</f>
        <v>2</v>
      </c>
      <c r="DI21" s="16"/>
      <c r="DJ21" s="16">
        <f t="shared" ca="1" si="38"/>
        <v>4</v>
      </c>
      <c r="DK21" s="16">
        <f t="shared" ca="1" si="39"/>
        <v>12</v>
      </c>
      <c r="DL21" s="16">
        <f t="shared" ca="1" si="40"/>
        <v>1</v>
      </c>
      <c r="DM21" s="16" t="str">
        <f t="shared" ca="1" si="46"/>
        <v>4.1</v>
      </c>
      <c r="DN21" s="16" cm="1">
        <f t="array" aca="1" ref="DN21" ca="1">OFFSET(Horarios!$P$3,DJ21-1,0,DL21,1)</f>
        <v>4</v>
      </c>
      <c r="DO21" s="16"/>
      <c r="DP21" s="16" t="s">
        <v>671</v>
      </c>
      <c r="DQ21" s="16" t="str">
        <f t="shared" ca="1" si="47"/>
        <v>Australia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41"/>
      <c r="X22" s="24">
        <f ca="1">Horarios!C22</f>
        <v>46193</v>
      </c>
      <c r="Y22" s="25">
        <f ca="1">Horarios!C22</f>
        <v>46193</v>
      </c>
      <c r="Z22" s="26" t="str">
        <f>$Z$6</f>
        <v>J2</v>
      </c>
      <c r="AA22" s="27" t="str">
        <f ca="1">A24</f>
        <v>Escocia</v>
      </c>
      <c r="AB22" s="49" t="e" cm="1" vm="13">
        <f t="array" aca="1" ref="AB22" ca="1">Ver_flag_local</f>
        <v>#VALUE!</v>
      </c>
      <c r="AC22" s="50">
        <v>1</v>
      </c>
      <c r="AD22" s="51">
        <v>3</v>
      </c>
      <c r="AE22" s="595" t="e" cm="1" vm="11">
        <f t="array" aca="1" ref="AE22" ca="1">Ver_flag_visit</f>
        <v>#VALUE!</v>
      </c>
      <c r="AF22" s="32" t="str">
        <f ca="1">A22</f>
        <v>Marruecos</v>
      </c>
      <c r="AG22" s="323">
        <f t="shared" si="84"/>
        <v>1</v>
      </c>
      <c r="AH22" s="195">
        <v>30</v>
      </c>
      <c r="AI22" s="181" t="str">
        <f>AJ22&amp;$B$20</f>
        <v>1C</v>
      </c>
      <c r="AJ22" s="40">
        <v>1</v>
      </c>
      <c r="AK22" s="601" t="e" cm="1" vm="10">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11</v>
      </c>
      <c r="AS22" s="36">
        <f t="shared" ca="1" si="87"/>
        <v>3</v>
      </c>
      <c r="AT22" s="41">
        <f t="shared" ca="1" si="87"/>
        <v>8</v>
      </c>
      <c r="AU22" s="330">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41"/>
        <v>3</v>
      </c>
      <c r="BG22" s="16">
        <f t="shared" ca="1" si="17"/>
        <v>3</v>
      </c>
      <c r="BH22" s="16">
        <f t="shared" ca="1" si="18"/>
        <v>0</v>
      </c>
      <c r="BI22" s="16">
        <f t="shared" ca="1" si="19"/>
        <v>0</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672</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41"/>
      <c r="X23" s="24">
        <f ca="1">Horarios!C23</f>
        <v>46193.104166666664</v>
      </c>
      <c r="Y23" s="25">
        <f ca="1">Horarios!C23</f>
        <v>46193.104166666664</v>
      </c>
      <c r="Z23" s="26" t="str">
        <f>$Z$6</f>
        <v>J2</v>
      </c>
      <c r="AA23" s="27" t="str">
        <f ca="1">A21</f>
        <v>Brasil</v>
      </c>
      <c r="AB23" s="49" t="e" cm="1" vm="10">
        <f t="array" aca="1" ref="AB23" ca="1">Ver_flag_local</f>
        <v>#VALUE!</v>
      </c>
      <c r="AC23" s="50">
        <v>5</v>
      </c>
      <c r="AD23" s="51">
        <v>0</v>
      </c>
      <c r="AE23" s="595" t="e" cm="1" vm="12">
        <f t="array" aca="1" ref="AE23" ca="1">Ver_flag_visit</f>
        <v>#VALUE!</v>
      </c>
      <c r="AF23" s="32" t="str">
        <f ca="1">A23</f>
        <v>Haití</v>
      </c>
      <c r="AG23" s="323">
        <f t="shared" si="84"/>
        <v>1</v>
      </c>
      <c r="AH23" s="195">
        <v>29</v>
      </c>
      <c r="AI23" s="181" t="str">
        <f t="shared" ref="AI23:AI25" si="88">AJ23&amp;$B$20</f>
        <v>2C</v>
      </c>
      <c r="AJ23" s="42">
        <v>2</v>
      </c>
      <c r="AK23" s="602" t="e" cm="1" vm="11">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8</v>
      </c>
      <c r="AS23" s="39">
        <f t="shared" ca="1" si="87"/>
        <v>3</v>
      </c>
      <c r="AT23" s="43">
        <f t="shared" ca="1" si="87"/>
        <v>5</v>
      </c>
      <c r="AU23" s="330">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41"/>
        <v>3</v>
      </c>
      <c r="BG23" s="16">
        <f t="shared" ca="1" si="17"/>
        <v>0</v>
      </c>
      <c r="BH23" s="16">
        <f t="shared" ca="1" si="18"/>
        <v>0</v>
      </c>
      <c r="BI23" s="16">
        <f t="shared" ca="1" si="19"/>
        <v>3</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673</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41"/>
      <c r="X24" s="24">
        <f ca="1">Horarios!C24</f>
        <v>46198</v>
      </c>
      <c r="Y24" s="25">
        <f ca="1">Horarios!C24</f>
        <v>46198</v>
      </c>
      <c r="Z24" s="26" t="str">
        <f>$Z$8</f>
        <v>J3</v>
      </c>
      <c r="AA24" s="27" t="str">
        <f ca="1">A24</f>
        <v>Escocia</v>
      </c>
      <c r="AB24" s="49" t="e" cm="1" vm="13">
        <f t="array" aca="1" ref="AB24" ca="1">Ver_flag_local</f>
        <v>#VALUE!</v>
      </c>
      <c r="AC24" s="50">
        <v>1</v>
      </c>
      <c r="AD24" s="51">
        <v>4</v>
      </c>
      <c r="AE24" s="595" t="e" cm="1" vm="10">
        <f t="array" aca="1" ref="AE24" ca="1">Ver_flag_visit</f>
        <v>#VALUE!</v>
      </c>
      <c r="AF24" s="32" t="str">
        <f ca="1">A21</f>
        <v>Brasil</v>
      </c>
      <c r="AG24" s="323">
        <f t="shared" si="84"/>
        <v>1</v>
      </c>
      <c r="AH24" s="195">
        <v>49</v>
      </c>
      <c r="AI24" s="181" t="str">
        <f t="shared" si="88"/>
        <v>3C</v>
      </c>
      <c r="AJ24" s="42">
        <v>3</v>
      </c>
      <c r="AK24" s="602" t="e" cm="1" vm="13">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4</v>
      </c>
      <c r="AS24" s="39">
        <f t="shared" ca="1" si="87"/>
        <v>7</v>
      </c>
      <c r="AT24" s="43">
        <f t="shared" ca="1" si="87"/>
        <v>-3</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41"/>
        <v>3</v>
      </c>
      <c r="BG24" s="16">
        <f t="shared" ca="1" si="17"/>
        <v>1</v>
      </c>
      <c r="BH24" s="16">
        <f t="shared" ca="1" si="18"/>
        <v>1</v>
      </c>
      <c r="BI24" s="16">
        <f t="shared" ca="1" si="19"/>
        <v>1</v>
      </c>
      <c r="BJ24" s="16">
        <f t="shared" ca="1" si="20"/>
        <v>7</v>
      </c>
      <c r="BK24" s="16">
        <f t="shared" ca="1" si="21"/>
        <v>6</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4"/>
        <v>0</v>
      </c>
      <c r="BV24" s="16">
        <f t="shared" ca="1" si="25"/>
        <v>1</v>
      </c>
      <c r="BW24" s="16">
        <f t="shared" ca="1" si="26"/>
        <v>0</v>
      </c>
      <c r="BX24" s="16">
        <f t="shared" ca="1" si="48"/>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27"/>
        <v>2</v>
      </c>
      <c r="CB24" s="16">
        <f t="shared" ca="1" si="28"/>
        <v>2</v>
      </c>
      <c r="CC24" s="16">
        <f t="shared" ca="1" si="49"/>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29"/>
        <v>2</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0"/>
        <v>0</v>
      </c>
      <c r="CJ24" s="16">
        <f t="shared" ca="1" si="31"/>
        <v>1</v>
      </c>
      <c r="CK24" s="16">
        <f t="shared" ca="1" si="32"/>
        <v>0</v>
      </c>
      <c r="CL24" s="16">
        <f t="shared" ca="1" si="50"/>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33"/>
        <v>2</v>
      </c>
      <c r="CP24" s="16">
        <f t="shared" ca="1" si="34"/>
        <v>2</v>
      </c>
      <c r="CQ24" s="16">
        <f t="shared" ca="1" si="51"/>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35"/>
        <v>2</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P.2 (2)</v>
      </c>
      <c r="CZ24" s="16">
        <f t="shared" ca="1" si="37"/>
        <v>7</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42"/>
      <c r="X25" s="28">
        <f ca="1">Horarios!C25</f>
        <v>46198</v>
      </c>
      <c r="Y25" s="29">
        <f ca="1">Horarios!C25</f>
        <v>46198</v>
      </c>
      <c r="Z25" s="30" t="str">
        <f>$Z$8</f>
        <v>J3</v>
      </c>
      <c r="AA25" s="31" t="str">
        <f ca="1">A22</f>
        <v>Marruecos</v>
      </c>
      <c r="AB25" s="52" t="e" cm="1" vm="11">
        <f t="array" aca="1" ref="AB25" ca="1">Ver_flag_local</f>
        <v>#VALUE!</v>
      </c>
      <c r="AC25" s="53">
        <v>3</v>
      </c>
      <c r="AD25" s="54">
        <v>0</v>
      </c>
      <c r="AE25" s="596" t="e" cm="1" vm="12">
        <f t="array" aca="1" ref="AE25" ca="1">Ver_flag_visit</f>
        <v>#VALUE!</v>
      </c>
      <c r="AF25" s="33" t="str">
        <f ca="1">A23</f>
        <v>Haití</v>
      </c>
      <c r="AG25" s="323">
        <f t="shared" si="84"/>
        <v>1</v>
      </c>
      <c r="AH25" s="195">
        <v>50</v>
      </c>
      <c r="AI25" s="181" t="str">
        <f t="shared" si="88"/>
        <v>4C</v>
      </c>
      <c r="AJ25" s="44">
        <v>4</v>
      </c>
      <c r="AK25" s="604" t="e" cm="1" vm="12">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0</v>
      </c>
      <c r="AS25" s="47">
        <f t="shared" ca="1" si="87"/>
        <v>10</v>
      </c>
      <c r="AT25" s="48">
        <f t="shared" ca="1" si="87"/>
        <v>-10</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6</v>
      </c>
      <c r="BK25" s="16">
        <f t="shared" ca="1" si="21"/>
        <v>5</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4"/>
        <v>0</v>
      </c>
      <c r="BV25" s="16">
        <f t="shared" ca="1" si="25"/>
        <v>1</v>
      </c>
      <c r="BW25" s="16">
        <f t="shared" ca="1" si="26"/>
        <v>0</v>
      </c>
      <c r="BX25" s="16">
        <f t="shared" ca="1" si="48"/>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27"/>
        <v>2</v>
      </c>
      <c r="CB25" s="16">
        <f t="shared" ca="1" si="28"/>
        <v>2</v>
      </c>
      <c r="CC25" s="16">
        <f t="shared" ca="1" si="49"/>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29"/>
        <v>2</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0"/>
        <v>0</v>
      </c>
      <c r="CJ25" s="16">
        <f t="shared" ca="1" si="31"/>
        <v>1</v>
      </c>
      <c r="CK25" s="16">
        <f t="shared" ca="1" si="32"/>
        <v>0</v>
      </c>
      <c r="CL25" s="16">
        <f t="shared" ca="1" si="50"/>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33"/>
        <v>2</v>
      </c>
      <c r="CP25" s="16">
        <f t="shared" ca="1" si="34"/>
        <v>2</v>
      </c>
      <c r="CQ25" s="16">
        <f t="shared" ca="1" si="51"/>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35"/>
        <v>2</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36"/>
        <v>1</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P.2 (2)</v>
      </c>
      <c r="CZ25" s="16">
        <f t="shared" ca="1" si="37"/>
        <v>6</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674</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41"/>
        <v>3</v>
      </c>
      <c r="BG26" s="16">
        <f t="shared" ca="1" si="17"/>
        <v>3</v>
      </c>
      <c r="BH26" s="16">
        <f t="shared" ca="1" si="18"/>
        <v>0</v>
      </c>
      <c r="BI26" s="16">
        <f t="shared" ca="1" si="19"/>
        <v>0</v>
      </c>
      <c r="BJ26" s="16">
        <f t="shared" ca="1" si="20"/>
        <v>8</v>
      </c>
      <c r="BK26" s="16">
        <f t="shared" ca="1" si="21"/>
        <v>4</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675</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4</v>
      </c>
      <c r="BF27" s="16">
        <f t="shared" ca="1" si="41"/>
        <v>3</v>
      </c>
      <c r="BG27" s="16">
        <f t="shared" ca="1" si="17"/>
        <v>1</v>
      </c>
      <c r="BH27" s="16">
        <f t="shared" ca="1" si="18"/>
        <v>1</v>
      </c>
      <c r="BI27" s="16">
        <f t="shared" ca="1" si="19"/>
        <v>1</v>
      </c>
      <c r="BJ27" s="16">
        <f t="shared" ca="1" si="20"/>
        <v>5</v>
      </c>
      <c r="BK27" s="16">
        <f t="shared" ca="1" si="21"/>
        <v>5</v>
      </c>
      <c r="BL27" s="16">
        <f t="shared" ca="1" si="42"/>
        <v>0</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1</v>
      </c>
      <c r="CB27" s="16">
        <f t="shared" ca="1" si="28"/>
        <v>1</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1</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1</v>
      </c>
      <c r="CP27" s="16">
        <f t="shared" ca="1" si="34"/>
        <v>1</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1</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676</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Empate</v>
      </c>
      <c r="E28" s="16" t="str">
        <f t="shared" ref="E28:E33" ca="1" si="92">IF(D28="Pendiente","-",INDEX($BT$6:$BT$53,MATCH($AA28,$BD$6:$BD$53,0)))</f>
        <v>P.1 (3)</v>
      </c>
      <c r="F28" s="16" t="str">
        <f t="shared" ref="F28:F33" ca="1" si="93">IF(D28="Pendiente","-",INDEX($BT$6:$BT$53,MATCH($AF28,$BD$6:$BD$53,0)))</f>
        <v>P.1 (3)</v>
      </c>
      <c r="G28" s="16"/>
      <c r="H28" s="16" t="str">
        <f t="shared" ref="H28:H33" ca="1" si="94">IF(D28="Pendiente","-",INDEX($BZ$6:$BZ$53,MATCH($AA28,$BD$6:$BD$53,0)))</f>
        <v>P.1 (3)</v>
      </c>
      <c r="I28" s="16" t="str">
        <f t="shared" ref="I28:I33" ca="1" si="95">IF(D28="Pendiente","-",INDEX($BZ$6:$BZ$53,MATCH($AF28,$BD$6:$BD$53,0)))</f>
        <v>P.1 (3)</v>
      </c>
      <c r="J28" s="16"/>
      <c r="K28" s="16" t="str">
        <f t="shared" ref="K28:K33" ca="1" si="96">IF(D28="Pendiente","-",INDEX($CE$6:$CE$53,MATCH($AA28,$BD$6:$BD$53,0)))</f>
        <v>P.1 (3)</v>
      </c>
      <c r="L28" s="16" t="str">
        <f t="shared" ref="L28:L33" ca="1" si="97">IF(D28="Pendiente","-",INDEX($CE$6:$CE$53,MATCH($AF28,$BD$6:$BD$53,0)))</f>
        <v>P.1 (3)</v>
      </c>
      <c r="M28" s="16"/>
      <c r="N28" s="16" t="str">
        <f t="shared" ref="N28:N33" ca="1" si="98">IF(D28="Pendiente","-",INDEX($CH$6:$CH$53,MATCH($AA28,$BD$6:$BD$53,0)))</f>
        <v>P.1 (3)</v>
      </c>
      <c r="O28" s="16" t="str">
        <f t="shared" ref="O28:O33" ca="1" si="99">IF(D28="Pendiente","-",INDEX($CH$6:$CH$53,MATCH($AF28,$BD$6:$BD$53,0)))</f>
        <v>P.1 (3)</v>
      </c>
      <c r="P28" s="16"/>
      <c r="Q28" s="16" t="str">
        <f t="shared" ref="Q28:Q33" ca="1" si="100">IF(D28="Pendiente","-",INDEX($CN$6:$CN$53,MATCH($AA28,$BD$6:$BD$53,0)))</f>
        <v>P.1 (3)</v>
      </c>
      <c r="R28" s="16" t="str">
        <f t="shared" ref="R28:R33" ca="1" si="101">IF(D28="Pendiente","-",INDEX($CN$6:$CN$53,MATCH($AF28,$BD$6:$BD$53,0)))</f>
        <v>P.1 (3)</v>
      </c>
      <c r="S28" s="16"/>
      <c r="T28" s="16" t="str">
        <f t="shared" ref="T28:T33" ca="1" si="102">IF(D28="Pendiente","-",INDEX($CS$6:$CS$53,MATCH($AA28,$BD$6:$BD$53,0)))</f>
        <v>P.1 (3)</v>
      </c>
      <c r="U28" s="16" t="str">
        <f t="shared" ref="U28:U33" ca="1" si="103">IF(D28="Pendiente","-",INDEX($CS$6:$CS$53,MATCH($AF28,$BD$6:$BD$53,0)))</f>
        <v>P.1 (3)</v>
      </c>
      <c r="V28" s="17"/>
      <c r="W28" s="643" t="s">
        <v>74</v>
      </c>
      <c r="X28" s="24">
        <f ca="1">Horarios!C28</f>
        <v>46186.125</v>
      </c>
      <c r="Y28" s="25">
        <f ca="1">Horarios!C28</f>
        <v>46186.125</v>
      </c>
      <c r="Z28" s="26" t="str">
        <f>$Z$4</f>
        <v>J1</v>
      </c>
      <c r="AA28" s="27" t="str">
        <f ca="1">A29</f>
        <v>Estados Unidos</v>
      </c>
      <c r="AB28" s="49" t="e" cm="1" vm="14">
        <f t="array" aca="1" ref="AB28" ca="1">Ver_flag_local</f>
        <v>#VALUE!</v>
      </c>
      <c r="AC28" s="50">
        <v>2</v>
      </c>
      <c r="AD28" s="51">
        <v>2</v>
      </c>
      <c r="AE28" s="595" t="e" cm="1" vm="15">
        <f t="array" aca="1" ref="AE28" ca="1">Ver_flag_visit</f>
        <v>#VALUE!</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¡EMPATE! Puedes seleccionar el orden de los empatados.</v>
      </c>
      <c r="AW28" s="167"/>
      <c r="AX28" s="167"/>
      <c r="AY28" s="154"/>
      <c r="AZ28" s="155"/>
      <c r="BA28" s="176"/>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3</v>
      </c>
      <c r="BK28" s="16">
        <f t="shared" ca="1" si="21"/>
        <v>4</v>
      </c>
      <c r="BL28" s="16">
        <f t="shared" ca="1" si="42"/>
        <v>-1</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4"/>
        <v>0</v>
      </c>
      <c r="BV28" s="16">
        <f t="shared" ca="1" si="25"/>
        <v>1</v>
      </c>
      <c r="BW28" s="16">
        <f t="shared" ca="1" si="26"/>
        <v>0</v>
      </c>
      <c r="BX28" s="16">
        <f t="shared" ca="1" si="48"/>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27"/>
        <v>1</v>
      </c>
      <c r="CB28" s="16">
        <f t="shared" ca="1" si="28"/>
        <v>1</v>
      </c>
      <c r="CC28" s="16">
        <f t="shared" ca="1" si="49"/>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29"/>
        <v>1</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0"/>
        <v>0</v>
      </c>
      <c r="CJ28" s="16">
        <f t="shared" ca="1" si="31"/>
        <v>1</v>
      </c>
      <c r="CK28" s="16">
        <f t="shared" ca="1" si="32"/>
        <v>0</v>
      </c>
      <c r="CL28" s="16">
        <f t="shared" ca="1" si="50"/>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33"/>
        <v>1</v>
      </c>
      <c r="CP28" s="16">
        <f t="shared" ca="1" si="34"/>
        <v>1</v>
      </c>
      <c r="CQ28" s="16">
        <f t="shared" ca="1" si="51"/>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35"/>
        <v>1</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36"/>
        <v>-1</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Visitante</v>
      </c>
      <c r="E29" s="16" t="str">
        <f t="shared" ca="1" si="92"/>
        <v>-</v>
      </c>
      <c r="F29" s="16" t="str">
        <f t="shared" ca="1" si="93"/>
        <v>P.1 (3)</v>
      </c>
      <c r="G29" s="16"/>
      <c r="H29" s="16" t="str">
        <f t="shared" ca="1" si="94"/>
        <v>-</v>
      </c>
      <c r="I29" s="16" t="str">
        <f t="shared" ca="1" si="95"/>
        <v>P.1 (3)</v>
      </c>
      <c r="J29" s="16"/>
      <c r="K29" s="16" t="str">
        <f t="shared" ca="1" si="96"/>
        <v>-</v>
      </c>
      <c r="L29" s="16" t="str">
        <f t="shared" ca="1" si="97"/>
        <v>P.1 (3)</v>
      </c>
      <c r="M29" s="16"/>
      <c r="N29" s="16" t="str">
        <f t="shared" ca="1" si="98"/>
        <v>-</v>
      </c>
      <c r="O29" s="16" t="str">
        <f t="shared" ca="1" si="99"/>
        <v>P.1 (3)</v>
      </c>
      <c r="P29" s="16"/>
      <c r="Q29" s="16" t="str">
        <f t="shared" ca="1" si="100"/>
        <v>-</v>
      </c>
      <c r="R29" s="16" t="str">
        <f t="shared" ca="1" si="101"/>
        <v>P.1 (3)</v>
      </c>
      <c r="S29" s="16"/>
      <c r="T29" s="16" t="str">
        <f t="shared" ca="1" si="102"/>
        <v>-</v>
      </c>
      <c r="U29" s="16" t="str">
        <f t="shared" ca="1" si="103"/>
        <v>P.1 (3)</v>
      </c>
      <c r="V29" s="17"/>
      <c r="W29" s="643"/>
      <c r="X29" s="24">
        <f ca="1">Horarios!C29</f>
        <v>46187.25</v>
      </c>
      <c r="Y29" s="25">
        <f ca="1">Horarios!C29</f>
        <v>46187.25</v>
      </c>
      <c r="Z29" s="26" t="str">
        <f>$Z$4</f>
        <v>J1</v>
      </c>
      <c r="AA29" s="27" t="str">
        <f ca="1">A31</f>
        <v>Australia</v>
      </c>
      <c r="AB29" s="49" t="e" cm="1" vm="16">
        <f t="array" aca="1" ref="AB29" ca="1">Ver_flag_local</f>
        <v>#VALUE!</v>
      </c>
      <c r="AC29" s="50">
        <v>1</v>
      </c>
      <c r="AD29" s="51">
        <v>2</v>
      </c>
      <c r="AE29" s="595" t="e" cm="1" vm="17">
        <f t="array" aca="1" ref="AE29" ca="1">Ver_flag_visit</f>
        <v>#VALUE!</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2</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5</v>
      </c>
      <c r="BL29" s="16">
        <f t="shared" ca="1" si="42"/>
        <v>-3</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677</v>
      </c>
      <c r="DQ29" s="16" t="str">
        <f t="shared" ca="1" si="47"/>
        <v>Túnez</v>
      </c>
    </row>
    <row r="30" spans="1:121" ht="16" customHeight="1">
      <c r="A30" s="16" t="str">
        <f ca="1">+Equipos!B15</f>
        <v>Paraguay</v>
      </c>
      <c r="B30" s="16"/>
      <c r="C30" s="16"/>
      <c r="D30" s="16" t="str">
        <f t="shared" si="91"/>
        <v>Local</v>
      </c>
      <c r="E30" s="16" t="str">
        <f t="shared" ca="1" si="92"/>
        <v>P.1 (3)</v>
      </c>
      <c r="F30" s="16" t="str">
        <f t="shared" ca="1" si="93"/>
        <v>-</v>
      </c>
      <c r="G30" s="16"/>
      <c r="H30" s="16" t="str">
        <f t="shared" ca="1" si="94"/>
        <v>P.1 (3)</v>
      </c>
      <c r="I30" s="16" t="str">
        <f t="shared" ca="1" si="95"/>
        <v>-</v>
      </c>
      <c r="J30" s="16"/>
      <c r="K30" s="16" t="str">
        <f t="shared" ca="1" si="96"/>
        <v>P.1 (3)</v>
      </c>
      <c r="L30" s="16" t="str">
        <f t="shared" ca="1" si="97"/>
        <v>-</v>
      </c>
      <c r="M30" s="16"/>
      <c r="N30" s="16" t="str">
        <f t="shared" ca="1" si="98"/>
        <v>P.1 (3)</v>
      </c>
      <c r="O30" s="16" t="str">
        <f t="shared" ca="1" si="99"/>
        <v>-</v>
      </c>
      <c r="P30" s="16"/>
      <c r="Q30" s="16" t="str">
        <f t="shared" ca="1" si="100"/>
        <v>P.1 (3)</v>
      </c>
      <c r="R30" s="16" t="str">
        <f t="shared" ca="1" si="101"/>
        <v>-</v>
      </c>
      <c r="S30" s="16"/>
      <c r="T30" s="16" t="str">
        <f t="shared" ca="1" si="102"/>
        <v>P.1 (3)</v>
      </c>
      <c r="U30" s="16" t="str">
        <f t="shared" ca="1" si="103"/>
        <v>-</v>
      </c>
      <c r="V30" s="17"/>
      <c r="W30" s="643"/>
      <c r="X30" s="24">
        <f ca="1">Horarios!C30</f>
        <v>46192.875</v>
      </c>
      <c r="Y30" s="25">
        <f ca="1">Horarios!C30</f>
        <v>46192.875</v>
      </c>
      <c r="Z30" s="26" t="str">
        <f>$Z$6</f>
        <v>J2</v>
      </c>
      <c r="AA30" s="27" t="str">
        <f ca="1">A29</f>
        <v>Estados Unidos</v>
      </c>
      <c r="AB30" s="49" t="e" cm="1" vm="14">
        <f t="array" aca="1" ref="AB30" ca="1">Ver_flag_local</f>
        <v>#VALUE!</v>
      </c>
      <c r="AC30" s="50">
        <v>2</v>
      </c>
      <c r="AD30" s="51">
        <v>1</v>
      </c>
      <c r="AE30" s="595" t="e" cm="1" vm="16">
        <f t="array" aca="1" ref="AE30" ca="1">Ver_flag_visit</f>
        <v>#VALUE!</v>
      </c>
      <c r="AF30" s="32" t="str">
        <f ca="1">A31</f>
        <v>Australia</v>
      </c>
      <c r="AG30" s="323">
        <f t="shared" si="104"/>
        <v>1</v>
      </c>
      <c r="AH30" s="195">
        <v>32</v>
      </c>
      <c r="AI30" s="181" t="str">
        <f>AJ30&amp;$B$28</f>
        <v>1D</v>
      </c>
      <c r="AJ30" s="40">
        <v>1</v>
      </c>
      <c r="AK30" s="601" t="e" cm="1" vm="14">
        <f t="array" aca="1" ref="AK30" ca="1">Ver_flag_visit</f>
        <v>#VALUE!</v>
      </c>
      <c r="AL30" s="34" t="str">
        <f ca="1">IFERROR(INDEX($BD$6:$BD$53,MATCH(AI30,$BN$6:$BN$53,0)),"")</f>
        <v>Estados Unidos</v>
      </c>
      <c r="AM30" s="35">
        <f t="shared" ref="AM30:AT33" ca="1" si="107">INDEX($BE$6:$BN$53,MATCH($AL30,$BD$6:$BD$53,0),MATCH(AM$5,$BE$5:$BN$5,0))</f>
        <v>5</v>
      </c>
      <c r="AN30" s="36">
        <f t="shared" ca="1" si="107"/>
        <v>3</v>
      </c>
      <c r="AO30" s="36">
        <f t="shared" ca="1" si="107"/>
        <v>1</v>
      </c>
      <c r="AP30" s="36">
        <f t="shared" ca="1" si="107"/>
        <v>2</v>
      </c>
      <c r="AQ30" s="36">
        <f t="shared" ca="1" si="107"/>
        <v>0</v>
      </c>
      <c r="AR30" s="36">
        <f t="shared" ca="1" si="107"/>
        <v>6</v>
      </c>
      <c r="AS30" s="36">
        <f t="shared" ca="1" si="107"/>
        <v>5</v>
      </c>
      <c r="AT30" s="41">
        <f t="shared" ca="1" si="107"/>
        <v>1</v>
      </c>
      <c r="AU30" s="330">
        <f ca="1">INDEX($DL$6:$DL$53,MATCH(AI30,$DP$6:$DP$53,0))</f>
        <v>2</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41"/>
        <v>3</v>
      </c>
      <c r="BG30" s="16">
        <f t="shared" ca="1" si="17"/>
        <v>3</v>
      </c>
      <c r="BH30" s="16">
        <f t="shared" ca="1" si="18"/>
        <v>0</v>
      </c>
      <c r="BI30" s="16">
        <f t="shared" ca="1" si="19"/>
        <v>0</v>
      </c>
      <c r="BJ30" s="16">
        <f t="shared" ca="1" si="20"/>
        <v>5</v>
      </c>
      <c r="BK30" s="16">
        <f t="shared" ca="1" si="21"/>
        <v>0</v>
      </c>
      <c r="BL30" s="16">
        <f t="shared" ca="1" si="42"/>
        <v>5</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4"/>
        <v>-</v>
      </c>
      <c r="BV30" s="16" t="str">
        <f t="shared" ca="1" si="25"/>
        <v>-</v>
      </c>
      <c r="BW30" s="16" t="str">
        <f t="shared" ca="1" si="26"/>
        <v>-</v>
      </c>
      <c r="BX30" s="16" t="str">
        <f t="shared" ca="1" si="48"/>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27"/>
        <v>-</v>
      </c>
      <c r="CB30" s="16" t="str">
        <f t="shared" ca="1" si="28"/>
        <v>-</v>
      </c>
      <c r="CC30" s="16" t="str">
        <f t="shared" ca="1" si="49"/>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29"/>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0"/>
        <v>-</v>
      </c>
      <c r="CJ30" s="16" t="str">
        <f t="shared" ca="1" si="31"/>
        <v>-</v>
      </c>
      <c r="CK30" s="16" t="str">
        <f t="shared" ca="1" si="32"/>
        <v>-</v>
      </c>
      <c r="CL30" s="16" t="str">
        <f t="shared" ca="1" si="50"/>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33"/>
        <v>-</v>
      </c>
      <c r="CP30" s="16" t="str">
        <f t="shared" ca="1" si="34"/>
        <v>-</v>
      </c>
      <c r="CQ30" s="16" t="str">
        <f t="shared" ca="1" si="51"/>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35"/>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36"/>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678</v>
      </c>
      <c r="DQ30" s="16" t="str">
        <f t="shared" ca="1" si="47"/>
        <v>Bélgica</v>
      </c>
    </row>
    <row r="31" spans="1:121" ht="16" customHeight="1">
      <c r="A31" s="16" t="str">
        <f ca="1">+Equipos!B16</f>
        <v>Australia</v>
      </c>
      <c r="B31" s="16"/>
      <c r="C31" s="16"/>
      <c r="D31" s="16" t="str">
        <f t="shared" si="91"/>
        <v>Empate</v>
      </c>
      <c r="E31" s="16" t="str">
        <f t="shared" ca="1" si="92"/>
        <v>P.1 (3)</v>
      </c>
      <c r="F31" s="16" t="str">
        <f t="shared" ca="1" si="93"/>
        <v>P.1 (3)</v>
      </c>
      <c r="G31" s="16"/>
      <c r="H31" s="16" t="str">
        <f t="shared" ca="1" si="94"/>
        <v>P.1 (3)</v>
      </c>
      <c r="I31" s="16" t="str">
        <f t="shared" ca="1" si="95"/>
        <v>P.1 (3)</v>
      </c>
      <c r="J31" s="16"/>
      <c r="K31" s="16" t="str">
        <f t="shared" ca="1" si="96"/>
        <v>P.1 (3)</v>
      </c>
      <c r="L31" s="16" t="str">
        <f t="shared" ca="1" si="97"/>
        <v>P.1 (3)</v>
      </c>
      <c r="M31" s="16"/>
      <c r="N31" s="16" t="str">
        <f t="shared" ca="1" si="98"/>
        <v>P.1 (3)</v>
      </c>
      <c r="O31" s="16" t="str">
        <f t="shared" ca="1" si="99"/>
        <v>P.1 (3)</v>
      </c>
      <c r="P31" s="16"/>
      <c r="Q31" s="16" t="str">
        <f t="shared" ca="1" si="100"/>
        <v>P.1 (3)</v>
      </c>
      <c r="R31" s="16" t="str">
        <f t="shared" ca="1" si="101"/>
        <v>P.1 (3)</v>
      </c>
      <c r="S31" s="16"/>
      <c r="T31" s="16" t="str">
        <f t="shared" ca="1" si="102"/>
        <v>P.1 (3)</v>
      </c>
      <c r="U31" s="16" t="str">
        <f t="shared" ca="1" si="103"/>
        <v>P.1 (3)</v>
      </c>
      <c r="V31" s="17"/>
      <c r="W31" s="643"/>
      <c r="X31" s="24">
        <f ca="1">Horarios!C31</f>
        <v>46193.208333333336</v>
      </c>
      <c r="Y31" s="25">
        <f ca="1">Horarios!C31</f>
        <v>46193.208333333336</v>
      </c>
      <c r="Z31" s="26" t="str">
        <f>$Z$6</f>
        <v>J2</v>
      </c>
      <c r="AA31" s="27" t="str">
        <f ca="1">A32</f>
        <v>Turquía</v>
      </c>
      <c r="AB31" s="49" t="e" cm="1" vm="17">
        <f t="array" aca="1" ref="AB31" ca="1">Ver_flag_local</f>
        <v>#VALUE!</v>
      </c>
      <c r="AC31" s="50">
        <v>2</v>
      </c>
      <c r="AD31" s="51">
        <v>2</v>
      </c>
      <c r="AE31" s="595" t="e" cm="1" vm="15">
        <f t="array" aca="1" ref="AE31" ca="1">Ver_flag_visit</f>
        <v>#VALUE!</v>
      </c>
      <c r="AF31" s="32" t="str">
        <f ca="1">A30</f>
        <v>Paraguay</v>
      </c>
      <c r="AG31" s="323">
        <f t="shared" si="104"/>
        <v>1</v>
      </c>
      <c r="AH31" s="195">
        <v>31</v>
      </c>
      <c r="AI31" s="181" t="str">
        <f t="shared" ref="AI31:AI33" si="108">AJ31&amp;$B$28</f>
        <v>2D</v>
      </c>
      <c r="AJ31" s="42">
        <v>2</v>
      </c>
      <c r="AK31" s="602" t="e" cm="1" vm="17">
        <f t="array" aca="1" ref="AK31" ca="1">Ver_flag_visit</f>
        <v>#VALUE!</v>
      </c>
      <c r="AL31" s="37" t="str">
        <f ca="1">IFERROR(INDEX($BD$6:$BD$53,MATCH(AI31,$BN$6:$BN$53,0)),"")</f>
        <v>Turquía</v>
      </c>
      <c r="AM31" s="38">
        <f t="shared" ca="1" si="107"/>
        <v>5</v>
      </c>
      <c r="AN31" s="39">
        <f t="shared" ca="1" si="107"/>
        <v>3</v>
      </c>
      <c r="AO31" s="39">
        <f t="shared" ca="1" si="107"/>
        <v>1</v>
      </c>
      <c r="AP31" s="39">
        <f t="shared" ca="1" si="107"/>
        <v>2</v>
      </c>
      <c r="AQ31" s="39">
        <f t="shared" ca="1" si="107"/>
        <v>0</v>
      </c>
      <c r="AR31" s="39">
        <f t="shared" ca="1" si="107"/>
        <v>6</v>
      </c>
      <c r="AS31" s="39">
        <f t="shared" ca="1" si="107"/>
        <v>5</v>
      </c>
      <c r="AT31" s="43">
        <f t="shared" ca="1" si="107"/>
        <v>1</v>
      </c>
      <c r="AU31" s="330">
        <f ca="1">INDEX($DL$6:$DL$53,MATCH(AI31,$DP$6:$DP$53,0))</f>
        <v>2</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41"/>
        <v>3</v>
      </c>
      <c r="BG31" s="16">
        <f t="shared" ca="1" si="17"/>
        <v>2</v>
      </c>
      <c r="BH31" s="16">
        <f t="shared" ca="1" si="18"/>
        <v>0</v>
      </c>
      <c r="BI31" s="16">
        <f t="shared" ca="1" si="19"/>
        <v>1</v>
      </c>
      <c r="BJ31" s="16">
        <f t="shared" ca="1" si="20"/>
        <v>2</v>
      </c>
      <c r="BK31" s="16">
        <f t="shared" ca="1" si="21"/>
        <v>2</v>
      </c>
      <c r="BL31" s="16">
        <f t="shared" ca="1" si="42"/>
        <v>0</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679</v>
      </c>
      <c r="DQ31" s="16" t="str">
        <f t="shared" ca="1" si="47"/>
        <v>Egipto</v>
      </c>
    </row>
    <row r="32" spans="1:121" ht="16" customHeight="1">
      <c r="A32" s="16" t="str">
        <f ca="1">+Equipos!B17</f>
        <v>Turquía</v>
      </c>
      <c r="B32" s="16"/>
      <c r="C32" s="16"/>
      <c r="D32" s="16" t="str">
        <f t="shared" si="91"/>
        <v>Empate</v>
      </c>
      <c r="E32" s="16" t="str">
        <f t="shared" ca="1" si="92"/>
        <v>P.1 (3)</v>
      </c>
      <c r="F32" s="16" t="str">
        <f t="shared" ca="1" si="93"/>
        <v>P.1 (3)</v>
      </c>
      <c r="G32" s="16"/>
      <c r="H32" s="16" t="str">
        <f t="shared" ca="1" si="94"/>
        <v>P.1 (3)</v>
      </c>
      <c r="I32" s="16" t="str">
        <f t="shared" ca="1" si="95"/>
        <v>P.1 (3)</v>
      </c>
      <c r="J32" s="16"/>
      <c r="K32" s="16" t="str">
        <f t="shared" ca="1" si="96"/>
        <v>P.1 (3)</v>
      </c>
      <c r="L32" s="16" t="str">
        <f t="shared" ca="1" si="97"/>
        <v>P.1 (3)</v>
      </c>
      <c r="M32" s="16"/>
      <c r="N32" s="16" t="str">
        <f t="shared" ca="1" si="98"/>
        <v>P.1 (3)</v>
      </c>
      <c r="O32" s="16" t="str">
        <f t="shared" ca="1" si="99"/>
        <v>P.1 (3)</v>
      </c>
      <c r="P32" s="16"/>
      <c r="Q32" s="16" t="str">
        <f t="shared" ca="1" si="100"/>
        <v>P.1 (3)</v>
      </c>
      <c r="R32" s="16" t="str">
        <f t="shared" ca="1" si="101"/>
        <v>P.1 (3)</v>
      </c>
      <c r="S32" s="16"/>
      <c r="T32" s="16" t="str">
        <f t="shared" ca="1" si="102"/>
        <v>P.1 (3)</v>
      </c>
      <c r="U32" s="16" t="str">
        <f t="shared" ca="1" si="103"/>
        <v>P.1 (3)</v>
      </c>
      <c r="V32" s="17"/>
      <c r="W32" s="643"/>
      <c r="X32" s="24">
        <f ca="1">Horarios!C32</f>
        <v>46199.166666666664</v>
      </c>
      <c r="Y32" s="25">
        <f ca="1">Horarios!C32</f>
        <v>46199.166666666664</v>
      </c>
      <c r="Z32" s="26" t="str">
        <f>$Z$8</f>
        <v>J3</v>
      </c>
      <c r="AA32" s="27" t="str">
        <f ca="1">A32</f>
        <v>Turquía</v>
      </c>
      <c r="AB32" s="49" t="e" cm="1" vm="17">
        <f t="array" aca="1" ref="AB32" ca="1">Ver_flag_local</f>
        <v>#VALUE!</v>
      </c>
      <c r="AC32" s="50">
        <v>2</v>
      </c>
      <c r="AD32" s="51">
        <v>2</v>
      </c>
      <c r="AE32" s="595" t="e" cm="1" vm="14">
        <f t="array" aca="1" ref="AE32" ca="1">Ver_flag_visit</f>
        <v>#VALUE!</v>
      </c>
      <c r="AF32" s="32" t="str">
        <f ca="1">A29</f>
        <v>Estados Unidos</v>
      </c>
      <c r="AG32" s="323">
        <f t="shared" si="104"/>
        <v>1</v>
      </c>
      <c r="AH32" s="195">
        <v>59</v>
      </c>
      <c r="AI32" s="181" t="str">
        <f t="shared" si="108"/>
        <v>3D</v>
      </c>
      <c r="AJ32" s="42">
        <v>3</v>
      </c>
      <c r="AK32" s="602" t="e" cm="1" vm="15">
        <f t="array" aca="1" ref="AK32" ca="1">Ver_flag_visit</f>
        <v>#VALUE!</v>
      </c>
      <c r="AL32" s="37" t="str">
        <f ca="1">IFERROR(INDEX($BD$6:$BD$53,MATCH(AI32,$BN$6:$BN$53,0)),"")</f>
        <v>Paraguay</v>
      </c>
      <c r="AM32" s="38">
        <f t="shared" ca="1" si="107"/>
        <v>5</v>
      </c>
      <c r="AN32" s="39">
        <f t="shared" ca="1" si="107"/>
        <v>3</v>
      </c>
      <c r="AO32" s="39">
        <f t="shared" ca="1" si="107"/>
        <v>1</v>
      </c>
      <c r="AP32" s="39">
        <f t="shared" ca="1" si="107"/>
        <v>2</v>
      </c>
      <c r="AQ32" s="39">
        <f t="shared" ca="1" si="107"/>
        <v>0</v>
      </c>
      <c r="AR32" s="39">
        <f t="shared" ca="1" si="107"/>
        <v>5</v>
      </c>
      <c r="AS32" s="39">
        <f t="shared" ca="1" si="107"/>
        <v>4</v>
      </c>
      <c r="AT32" s="43">
        <f t="shared" ca="1" si="107"/>
        <v>1</v>
      </c>
      <c r="AU32" s="330">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41"/>
        <v>3</v>
      </c>
      <c r="BG32" s="16">
        <f t="shared" ca="1" si="17"/>
        <v>1</v>
      </c>
      <c r="BH32" s="16">
        <f t="shared" ca="1" si="18"/>
        <v>0</v>
      </c>
      <c r="BI32" s="16">
        <f t="shared" ca="1" si="19"/>
        <v>2</v>
      </c>
      <c r="BJ32" s="16">
        <f t="shared" ca="1" si="20"/>
        <v>1</v>
      </c>
      <c r="BK32" s="16">
        <f t="shared" ca="1" si="21"/>
        <v>2</v>
      </c>
      <c r="BL32" s="16">
        <f t="shared" ca="1" si="42"/>
        <v>-1</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Local</v>
      </c>
      <c r="E33" s="16" t="str">
        <f t="shared" ca="1" si="92"/>
        <v>P.1 (3)</v>
      </c>
      <c r="F33" s="16" t="str">
        <f t="shared" ca="1" si="93"/>
        <v>-</v>
      </c>
      <c r="G33" s="16"/>
      <c r="H33" s="16" t="str">
        <f t="shared" ca="1" si="94"/>
        <v>P.1 (3)</v>
      </c>
      <c r="I33" s="16" t="str">
        <f t="shared" ca="1" si="95"/>
        <v>-</v>
      </c>
      <c r="J33" s="16"/>
      <c r="K33" s="16" t="str">
        <f t="shared" ca="1" si="96"/>
        <v>P.1 (3)</v>
      </c>
      <c r="L33" s="16" t="str">
        <f t="shared" ca="1" si="97"/>
        <v>-</v>
      </c>
      <c r="M33" s="16"/>
      <c r="N33" s="16" t="str">
        <f t="shared" ca="1" si="98"/>
        <v>P.1 (3)</v>
      </c>
      <c r="O33" s="16" t="str">
        <f t="shared" ca="1" si="99"/>
        <v>-</v>
      </c>
      <c r="P33" s="16"/>
      <c r="Q33" s="16" t="str">
        <f t="shared" ca="1" si="100"/>
        <v>P.1 (3)</v>
      </c>
      <c r="R33" s="16" t="str">
        <f t="shared" ca="1" si="101"/>
        <v>-</v>
      </c>
      <c r="S33" s="16"/>
      <c r="T33" s="16" t="str">
        <f t="shared" ca="1" si="102"/>
        <v>P.1 (3)</v>
      </c>
      <c r="U33" s="16" t="str">
        <f t="shared" ca="1" si="103"/>
        <v>-</v>
      </c>
      <c r="V33" s="17"/>
      <c r="W33" s="644"/>
      <c r="X33" s="28">
        <f ca="1">Horarios!C33</f>
        <v>46199.166666666664</v>
      </c>
      <c r="Y33" s="29">
        <f ca="1">Horarios!C33</f>
        <v>46199.166666666664</v>
      </c>
      <c r="Z33" s="30" t="str">
        <f>$Z$8</f>
        <v>J3</v>
      </c>
      <c r="AA33" s="31" t="str">
        <f ca="1">A30</f>
        <v>Paraguay</v>
      </c>
      <c r="AB33" s="52" t="e" cm="1" vm="15">
        <f t="array" aca="1" ref="AB33" ca="1">Ver_flag_local</f>
        <v>#VALUE!</v>
      </c>
      <c r="AC33" s="53">
        <v>1</v>
      </c>
      <c r="AD33" s="54">
        <v>0</v>
      </c>
      <c r="AE33" s="596" t="e" cm="1" vm="16">
        <f t="array" aca="1" ref="AE33" ca="1">Ver_flag_visit</f>
        <v>#VALUE!</v>
      </c>
      <c r="AF33" s="33" t="str">
        <f ca="1">A31</f>
        <v>Australia</v>
      </c>
      <c r="AG33" s="323">
        <f t="shared" si="104"/>
        <v>1</v>
      </c>
      <c r="AH33" s="195">
        <v>60</v>
      </c>
      <c r="AI33" s="181" t="str">
        <f t="shared" si="108"/>
        <v>4D</v>
      </c>
      <c r="AJ33" s="44">
        <v>4</v>
      </c>
      <c r="AK33" s="604" t="e" cm="1" vm="16">
        <f t="array" aca="1" ref="AK33" ca="1">Ver_flag_visit</f>
        <v>#VALUE!</v>
      </c>
      <c r="AL33" s="45" t="str">
        <f ca="1">IFERROR(INDEX($BD$6:$BD$53,MATCH(AI33,$BN$6:$BN$53,0)),"")</f>
        <v>Australia</v>
      </c>
      <c r="AM33" s="46">
        <f t="shared" ca="1" si="107"/>
        <v>0</v>
      </c>
      <c r="AN33" s="47">
        <f t="shared" ca="1" si="107"/>
        <v>3</v>
      </c>
      <c r="AO33" s="47">
        <f t="shared" ca="1" si="107"/>
        <v>0</v>
      </c>
      <c r="AP33" s="47">
        <f t="shared" ca="1" si="107"/>
        <v>0</v>
      </c>
      <c r="AQ33" s="47">
        <f t="shared" ca="1" si="107"/>
        <v>3</v>
      </c>
      <c r="AR33" s="47">
        <f t="shared" ca="1" si="107"/>
        <v>2</v>
      </c>
      <c r="AS33" s="47">
        <f t="shared" ca="1" si="107"/>
        <v>5</v>
      </c>
      <c r="AT33" s="48">
        <f t="shared" ca="1" si="107"/>
        <v>-3</v>
      </c>
      <c r="AU33" s="330">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41"/>
        <v>3</v>
      </c>
      <c r="BG33" s="16">
        <f t="shared" ca="1" si="17"/>
        <v>0</v>
      </c>
      <c r="BH33" s="16">
        <f t="shared" ca="1" si="18"/>
        <v>0</v>
      </c>
      <c r="BI33" s="16">
        <f t="shared" ca="1" si="19"/>
        <v>3</v>
      </c>
      <c r="BJ33" s="16">
        <f t="shared" ca="1" si="20"/>
        <v>0</v>
      </c>
      <c r="BK33" s="16">
        <f t="shared" ca="1" si="21"/>
        <v>4</v>
      </c>
      <c r="BL33" s="16">
        <f t="shared" ca="1" si="42"/>
        <v>-4</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680</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6</v>
      </c>
      <c r="BK34" s="16">
        <f t="shared" ca="1" si="21"/>
        <v>3</v>
      </c>
      <c r="BL34" s="16">
        <f t="shared" ca="1" si="42"/>
        <v>3</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681</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41"/>
        <v>3</v>
      </c>
      <c r="BG35" s="16">
        <f t="shared" ca="1" si="17"/>
        <v>0</v>
      </c>
      <c r="BH35" s="16">
        <f t="shared" ca="1" si="18"/>
        <v>1</v>
      </c>
      <c r="BI35" s="16">
        <f t="shared" ca="1" si="19"/>
        <v>2</v>
      </c>
      <c r="BJ35" s="16">
        <f t="shared" ca="1" si="20"/>
        <v>2</v>
      </c>
      <c r="BK35" s="16">
        <f t="shared" ca="1" si="21"/>
        <v>5</v>
      </c>
      <c r="BL35" s="16">
        <f t="shared" ca="1" si="42"/>
        <v>-3</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52"/>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38"/>
        <v>2</v>
      </c>
      <c r="DK35" s="16">
        <f t="shared" ca="1" si="39"/>
        <v>12</v>
      </c>
      <c r="DL35" s="16">
        <f t="shared" ca="1" si="40"/>
        <v>1</v>
      </c>
      <c r="DM35" s="16" t="str">
        <f t="shared" ca="1" si="46"/>
        <v>2.1</v>
      </c>
      <c r="DN35" s="16" cm="1">
        <f t="array" aca="1" ref="DN35" ca="1">OFFSET(Horarios!$P$3,DJ35-1,0,DL35,1)</f>
        <v>2</v>
      </c>
      <c r="DO35" s="16"/>
      <c r="DP35" s="16" t="s">
        <v>682</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45" t="s">
        <v>3</v>
      </c>
      <c r="X36" s="24">
        <f ca="1">Horarios!C36</f>
        <v>46187.791666666664</v>
      </c>
      <c r="Y36" s="25">
        <f ca="1">Horarios!C36</f>
        <v>46187.791666666664</v>
      </c>
      <c r="Z36" s="26" t="str">
        <f>$Z$4</f>
        <v>J1</v>
      </c>
      <c r="AA36" s="27" t="str">
        <f ca="1">A37</f>
        <v>Alemania</v>
      </c>
      <c r="AB36" s="49" t="e" cm="1" vm="18">
        <f t="array" aca="1" ref="AB36" ca="1">Ver_flag_local</f>
        <v>#VALUE!</v>
      </c>
      <c r="AC36" s="50">
        <v>4</v>
      </c>
      <c r="AD36" s="51">
        <v>0</v>
      </c>
      <c r="AE36" s="595" t="e" cm="1" vm="19">
        <f t="array" aca="1" ref="AE36" ca="1">Ver_flag_visit</f>
        <v>#VALUE!</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2</v>
      </c>
      <c r="BK36" s="16">
        <f t="shared" ca="1" si="21"/>
        <v>3</v>
      </c>
      <c r="BL36" s="16">
        <f t="shared" ca="1" si="42"/>
        <v>-1</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52"/>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Arabia Saudita</v>
      </c>
    </row>
    <row r="37" spans="1:121" ht="16" customHeight="1">
      <c r="A37" s="16" t="str">
        <f ca="1">+Equipos!B18</f>
        <v>Alemania</v>
      </c>
      <c r="B37" s="16"/>
      <c r="C37" s="16"/>
      <c r="D37" s="16" t="str">
        <f t="shared" si="111"/>
        <v>Empate</v>
      </c>
      <c r="E37" s="16" t="str">
        <f t="shared" ca="1" si="112"/>
        <v>P.2 (2)</v>
      </c>
      <c r="F37" s="16" t="str">
        <f t="shared" ca="1" si="113"/>
        <v>P.2 (2)</v>
      </c>
      <c r="G37" s="16"/>
      <c r="H37" s="16" t="str">
        <f t="shared" ca="1" si="114"/>
        <v>P.2 (2)</v>
      </c>
      <c r="I37" s="16" t="str">
        <f t="shared" ca="1" si="115"/>
        <v>P.2 (2)</v>
      </c>
      <c r="J37" s="16"/>
      <c r="K37" s="16" t="str">
        <f t="shared" ca="1" si="116"/>
        <v>P.2 (2)</v>
      </c>
      <c r="L37" s="16" t="str">
        <f t="shared" ca="1" si="117"/>
        <v>P.2 (2)</v>
      </c>
      <c r="M37" s="16"/>
      <c r="N37" s="16" t="str">
        <f t="shared" ca="1" si="118"/>
        <v>P.2 (2)</v>
      </c>
      <c r="O37" s="16" t="str">
        <f t="shared" ca="1" si="119"/>
        <v>P.2 (2)</v>
      </c>
      <c r="P37" s="16"/>
      <c r="Q37" s="16" t="str">
        <f t="shared" ca="1" si="120"/>
        <v>P.2 (2)</v>
      </c>
      <c r="R37" s="16" t="str">
        <f t="shared" ca="1" si="121"/>
        <v>P.2 (2)</v>
      </c>
      <c r="S37" s="16"/>
      <c r="T37" s="16" t="str">
        <f t="shared" ca="1" si="122"/>
        <v>P.2 (2)</v>
      </c>
      <c r="U37" s="16" t="str">
        <f t="shared" ca="1" si="123"/>
        <v>P.2 (2)</v>
      </c>
      <c r="V37" s="17"/>
      <c r="W37" s="645"/>
      <c r="X37" s="24">
        <f ca="1">Horarios!C37</f>
        <v>46188.041666666664</v>
      </c>
      <c r="Y37" s="25">
        <f ca="1">Horarios!C37</f>
        <v>46188.041666666664</v>
      </c>
      <c r="Z37" s="26" t="str">
        <f>$Z$4</f>
        <v>J1</v>
      </c>
      <c r="AA37" s="27" t="str">
        <f ca="1">A39</f>
        <v>Costa de Marfil</v>
      </c>
      <c r="AB37" s="49" t="e" cm="1" vm="20">
        <f t="array" aca="1" ref="AB37" ca="1">Ver_flag_local</f>
        <v>#VALUE!</v>
      </c>
      <c r="AC37" s="50">
        <v>2</v>
      </c>
      <c r="AD37" s="51">
        <v>2</v>
      </c>
      <c r="AE37" s="595" t="e" cm="1" vm="21">
        <f t="array" aca="1" ref="AE37" ca="1">Ver_flag_visit</f>
        <v>#VALUE!</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41"/>
        <v>3</v>
      </c>
      <c r="BG37" s="16">
        <f t="shared" ca="1" si="17"/>
        <v>1</v>
      </c>
      <c r="BH37" s="16">
        <f t="shared" ca="1" si="18"/>
        <v>2</v>
      </c>
      <c r="BI37" s="16">
        <f t="shared" ca="1" si="19"/>
        <v>0</v>
      </c>
      <c r="BJ37" s="16">
        <f t="shared" ca="1" si="20"/>
        <v>4</v>
      </c>
      <c r="BK37" s="16">
        <f t="shared" ca="1" si="21"/>
        <v>3</v>
      </c>
      <c r="BL37" s="16">
        <f t="shared" ca="1" si="42"/>
        <v>1</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4"/>
        <v>-</v>
      </c>
      <c r="BV37" s="16" t="str">
        <f t="shared" ca="1" si="25"/>
        <v>-</v>
      </c>
      <c r="BW37" s="16" t="str">
        <f t="shared" ca="1" si="26"/>
        <v>-</v>
      </c>
      <c r="BX37" s="16" t="str">
        <f t="shared" ca="1" si="48"/>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27"/>
        <v>-</v>
      </c>
      <c r="CB37" s="16" t="str">
        <f t="shared" ca="1" si="28"/>
        <v>-</v>
      </c>
      <c r="CC37" s="16" t="str">
        <f t="shared" ca="1" si="49"/>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29"/>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0"/>
        <v>-</v>
      </c>
      <c r="CJ37" s="16" t="str">
        <f t="shared" ca="1" si="31"/>
        <v>-</v>
      </c>
      <c r="CK37" s="16" t="str">
        <f t="shared" ca="1" si="32"/>
        <v>-</v>
      </c>
      <c r="CL37" s="16" t="str">
        <f t="shared" ca="1" si="50"/>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33"/>
        <v>-</v>
      </c>
      <c r="CP37" s="16" t="str">
        <f t="shared" ca="1" si="34"/>
        <v>-</v>
      </c>
      <c r="CQ37" s="16" t="str">
        <f t="shared" ca="1" si="51"/>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35"/>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36"/>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12</v>
      </c>
      <c r="DL37" s="16">
        <f t="shared" ca="1" si="40"/>
        <v>1</v>
      </c>
      <c r="DM37" s="16" t="str">
        <f t="shared" ca="1" si="46"/>
        <v>4.1</v>
      </c>
      <c r="DN37" s="16" cm="1">
        <f t="array" aca="1" ref="DN37" ca="1">OFFSET(Horarios!$P$3,DJ37-1,0,DL37,1)</f>
        <v>4</v>
      </c>
      <c r="DO37" s="16"/>
      <c r="DP37" s="16" t="s">
        <v>683</v>
      </c>
      <c r="DQ37" s="16" t="str">
        <f t="shared" ca="1" si="47"/>
        <v>Cabo Verde</v>
      </c>
    </row>
    <row r="38" spans="1:121" ht="16" customHeight="1">
      <c r="A38" s="16" t="str">
        <f ca="1">+Equipos!B19</f>
        <v>Curazao</v>
      </c>
      <c r="B38" s="16"/>
      <c r="C38" s="16"/>
      <c r="D38" s="16" t="str">
        <f t="shared" si="111"/>
        <v>Local</v>
      </c>
      <c r="E38" s="16" t="str">
        <f t="shared" ca="1" si="112"/>
        <v>-</v>
      </c>
      <c r="F38" s="16" t="str">
        <f t="shared" ca="1" si="113"/>
        <v>P.2 (2)</v>
      </c>
      <c r="G38" s="16"/>
      <c r="H38" s="16" t="str">
        <f t="shared" ca="1" si="114"/>
        <v>-</v>
      </c>
      <c r="I38" s="16" t="str">
        <f t="shared" ca="1" si="115"/>
        <v>P.2 (2)</v>
      </c>
      <c r="J38" s="16"/>
      <c r="K38" s="16" t="str">
        <f t="shared" ca="1" si="116"/>
        <v>-</v>
      </c>
      <c r="L38" s="16" t="str">
        <f t="shared" ca="1" si="117"/>
        <v>P.2 (2)</v>
      </c>
      <c r="M38" s="16"/>
      <c r="N38" s="16" t="str">
        <f t="shared" ca="1" si="118"/>
        <v>-</v>
      </c>
      <c r="O38" s="16" t="str">
        <f t="shared" ca="1" si="119"/>
        <v>P.2 (2)</v>
      </c>
      <c r="P38" s="16"/>
      <c r="Q38" s="16" t="str">
        <f t="shared" ca="1" si="120"/>
        <v>-</v>
      </c>
      <c r="R38" s="16" t="str">
        <f t="shared" ca="1" si="121"/>
        <v>P.2 (2)</v>
      </c>
      <c r="S38" s="16"/>
      <c r="T38" s="16" t="str">
        <f t="shared" ca="1" si="122"/>
        <v>-</v>
      </c>
      <c r="U38" s="16" t="str">
        <f t="shared" ca="1" si="123"/>
        <v>P.2 (2)</v>
      </c>
      <c r="V38" s="17"/>
      <c r="W38" s="645"/>
      <c r="X38" s="24">
        <f ca="1">Horarios!C38</f>
        <v>46193.916666666664</v>
      </c>
      <c r="Y38" s="25">
        <f ca="1">Horarios!C38</f>
        <v>46193.916666666664</v>
      </c>
      <c r="Z38" s="26" t="str">
        <f>$Z$6</f>
        <v>J2</v>
      </c>
      <c r="AA38" s="27" t="str">
        <f ca="1">A37</f>
        <v>Alemania</v>
      </c>
      <c r="AB38" s="49" t="e" cm="1" vm="18">
        <f t="array" aca="1" ref="AB38" ca="1">Ver_flag_local</f>
        <v>#VALUE!</v>
      </c>
      <c r="AC38" s="50">
        <v>3</v>
      </c>
      <c r="AD38" s="51">
        <v>2</v>
      </c>
      <c r="AE38" s="595" t="e" cm="1" vm="20">
        <f t="array" aca="1" ref="AE38" ca="1">Ver_flag_visit</f>
        <v>#VALUE!</v>
      </c>
      <c r="AF38" s="32" t="str">
        <f ca="1">A39</f>
        <v>Costa de Marfil</v>
      </c>
      <c r="AG38" s="323">
        <f t="shared" si="124"/>
        <v>1</v>
      </c>
      <c r="AH38" s="195">
        <v>33</v>
      </c>
      <c r="AI38" s="181" t="str">
        <f>AJ38&amp;$B$36</f>
        <v>1E</v>
      </c>
      <c r="AJ38" s="40">
        <v>1</v>
      </c>
      <c r="AK38" s="601" t="e" cm="1" vm="18">
        <f t="array" aca="1" ref="AK38" ca="1">Ver_flag_visit</f>
        <v>#VALUE!</v>
      </c>
      <c r="AL38" s="34" t="str">
        <f ca="1">IFERROR(INDEX($BD$6:$BD$53,MATCH(AI38,$BN$6:$BN$53,0)),"")</f>
        <v>Alemania</v>
      </c>
      <c r="AM38" s="35">
        <f t="shared" ref="AM38:AT41" ca="1" si="127">INDEX($BE$6:$BN$53,MATCH($AL38,$BD$6:$BD$53,0),MATCH(AM$5,$BE$5:$BN$5,0))</f>
        <v>9</v>
      </c>
      <c r="AN38" s="36">
        <f t="shared" ca="1" si="127"/>
        <v>3</v>
      </c>
      <c r="AO38" s="36">
        <f t="shared" ca="1" si="127"/>
        <v>3</v>
      </c>
      <c r="AP38" s="36">
        <f t="shared" ca="1" si="127"/>
        <v>0</v>
      </c>
      <c r="AQ38" s="36">
        <f t="shared" ca="1" si="127"/>
        <v>0</v>
      </c>
      <c r="AR38" s="36">
        <f t="shared" ca="1" si="127"/>
        <v>10</v>
      </c>
      <c r="AS38" s="36">
        <f t="shared" ca="1" si="127"/>
        <v>4</v>
      </c>
      <c r="AT38" s="41">
        <f t="shared" ca="1" si="127"/>
        <v>6</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41"/>
        <v>3</v>
      </c>
      <c r="BG38" s="16">
        <f t="shared" ca="1" si="17"/>
        <v>2</v>
      </c>
      <c r="BH38" s="16">
        <f t="shared" ca="1" si="18"/>
        <v>1</v>
      </c>
      <c r="BI38" s="16">
        <f t="shared" ca="1" si="19"/>
        <v>0</v>
      </c>
      <c r="BJ38" s="16">
        <f t="shared" ca="1" si="20"/>
        <v>6</v>
      </c>
      <c r="BK38" s="16">
        <f t="shared" ca="1" si="21"/>
        <v>2</v>
      </c>
      <c r="BL38" s="16">
        <f t="shared" ca="1" si="42"/>
        <v>4</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1</v>
      </c>
      <c r="BW38" s="16">
        <f t="shared" ca="1" si="26"/>
        <v>0</v>
      </c>
      <c r="BX38" s="16">
        <f t="shared" ca="1" si="48"/>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1</v>
      </c>
      <c r="CB38" s="16">
        <f t="shared" ca="1" si="28"/>
        <v>1</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1</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1</v>
      </c>
      <c r="CK38" s="16">
        <f t="shared" ca="1" si="32"/>
        <v>0</v>
      </c>
      <c r="CL38" s="16">
        <f t="shared" ca="1" si="50"/>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1</v>
      </c>
      <c r="CP38" s="16">
        <f t="shared" ca="1" si="34"/>
        <v>1</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1</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684</v>
      </c>
      <c r="DQ38" s="16" t="str">
        <f t="shared" ca="1" si="47"/>
        <v>Francia</v>
      </c>
    </row>
    <row r="39" spans="1:121" ht="16" customHeight="1">
      <c r="A39" s="16" t="str">
        <f ca="1">+Equipos!B20</f>
        <v>Costa de Marfil</v>
      </c>
      <c r="B39" s="16"/>
      <c r="C39" s="16"/>
      <c r="D39" s="16" t="str">
        <f t="shared" si="111"/>
        <v>Local</v>
      </c>
      <c r="E39" s="16" t="str">
        <f t="shared" ca="1" si="112"/>
        <v>P.2 (2)</v>
      </c>
      <c r="F39" s="16" t="str">
        <f t="shared" ca="1" si="113"/>
        <v>-</v>
      </c>
      <c r="G39" s="16"/>
      <c r="H39" s="16" t="str">
        <f t="shared" ca="1" si="114"/>
        <v>P.2 (2)</v>
      </c>
      <c r="I39" s="16" t="str">
        <f t="shared" ca="1" si="115"/>
        <v>-</v>
      </c>
      <c r="J39" s="16"/>
      <c r="K39" s="16" t="str">
        <f t="shared" ca="1" si="116"/>
        <v>P.2 (2)</v>
      </c>
      <c r="L39" s="16" t="str">
        <f t="shared" ca="1" si="117"/>
        <v>-</v>
      </c>
      <c r="M39" s="16"/>
      <c r="N39" s="16" t="str">
        <f t="shared" ca="1" si="118"/>
        <v>P.2 (2)</v>
      </c>
      <c r="O39" s="16" t="str">
        <f t="shared" ca="1" si="119"/>
        <v>-</v>
      </c>
      <c r="P39" s="16"/>
      <c r="Q39" s="16" t="str">
        <f t="shared" ca="1" si="120"/>
        <v>P.2 (2)</v>
      </c>
      <c r="R39" s="16" t="str">
        <f t="shared" ca="1" si="121"/>
        <v>-</v>
      </c>
      <c r="S39" s="16"/>
      <c r="T39" s="16" t="str">
        <f t="shared" ca="1" si="122"/>
        <v>P.2 (2)</v>
      </c>
      <c r="U39" s="16" t="str">
        <f t="shared" ca="1" si="123"/>
        <v>-</v>
      </c>
      <c r="V39" s="17"/>
      <c r="W39" s="645"/>
      <c r="X39" s="24">
        <f ca="1">Horarios!C39</f>
        <v>46194.083333333336</v>
      </c>
      <c r="Y39" s="25">
        <f ca="1">Horarios!C39</f>
        <v>46194.083333333336</v>
      </c>
      <c r="Z39" s="26" t="str">
        <f>$Z$6</f>
        <v>J2</v>
      </c>
      <c r="AA39" s="27" t="str">
        <f ca="1">A40</f>
        <v>Ecuador</v>
      </c>
      <c r="AB39" s="49" t="e" cm="1" vm="21">
        <f t="array" aca="1" ref="AB39" ca="1">Ver_flag_local</f>
        <v>#VALUE!</v>
      </c>
      <c r="AC39" s="50">
        <v>2</v>
      </c>
      <c r="AD39" s="51">
        <v>0</v>
      </c>
      <c r="AE39" s="595" t="e" cm="1" vm="19">
        <f t="array" aca="1" ref="AE39" ca="1">Ver_flag_visit</f>
        <v>#VALUE!</v>
      </c>
      <c r="AF39" s="32" t="str">
        <f ca="1">A38</f>
        <v>Curazao</v>
      </c>
      <c r="AG39" s="323">
        <f t="shared" si="124"/>
        <v>1</v>
      </c>
      <c r="AH39" s="195">
        <v>34</v>
      </c>
      <c r="AI39" s="181" t="str">
        <f t="shared" ref="AI39:AI41" si="128">AJ39&amp;$B$36</f>
        <v>2E</v>
      </c>
      <c r="AJ39" s="42">
        <v>2</v>
      </c>
      <c r="AK39" s="602" t="e" cm="1" vm="20">
        <f t="array" aca="1" ref="AK39" ca="1">Ver_flag_visit</f>
        <v>#VALUE!</v>
      </c>
      <c r="AL39" s="37" t="str">
        <f ca="1">IFERROR(INDEX($BD$6:$BD$53,MATCH(AI39,$BN$6:$BN$53,0)),"")</f>
        <v>Costa de Marfil</v>
      </c>
      <c r="AM39" s="38">
        <f t="shared" ca="1" si="127"/>
        <v>4</v>
      </c>
      <c r="AN39" s="39">
        <f t="shared" ca="1" si="127"/>
        <v>3</v>
      </c>
      <c r="AO39" s="39">
        <f t="shared" ca="1" si="127"/>
        <v>1</v>
      </c>
      <c r="AP39" s="39">
        <f t="shared" ca="1" si="127"/>
        <v>1</v>
      </c>
      <c r="AQ39" s="39">
        <f t="shared" ca="1" si="127"/>
        <v>1</v>
      </c>
      <c r="AR39" s="39">
        <f t="shared" ca="1" si="127"/>
        <v>7</v>
      </c>
      <c r="AS39" s="39">
        <f t="shared" ca="1" si="127"/>
        <v>6</v>
      </c>
      <c r="AT39" s="43">
        <f t="shared" ca="1" si="127"/>
        <v>1</v>
      </c>
      <c r="AU39" s="330">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4</v>
      </c>
      <c r="BK39" s="16">
        <f t="shared" ca="1" si="21"/>
        <v>3</v>
      </c>
      <c r="BL39" s="16">
        <f t="shared" ca="1" si="42"/>
        <v>1</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685</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P.2 (2)</v>
      </c>
      <c r="G40" s="16"/>
      <c r="H40" s="16" t="str">
        <f t="shared" ca="1" si="114"/>
        <v>-</v>
      </c>
      <c r="I40" s="16" t="str">
        <f t="shared" ca="1" si="115"/>
        <v>P.2 (2)</v>
      </c>
      <c r="J40" s="16"/>
      <c r="K40" s="16" t="str">
        <f t="shared" ca="1" si="116"/>
        <v>-</v>
      </c>
      <c r="L40" s="16" t="str">
        <f t="shared" ca="1" si="117"/>
        <v>P.2 (2)</v>
      </c>
      <c r="M40" s="16"/>
      <c r="N40" s="16" t="str">
        <f t="shared" ca="1" si="118"/>
        <v>-</v>
      </c>
      <c r="O40" s="16" t="str">
        <f t="shared" ca="1" si="119"/>
        <v>P.2 (2)</v>
      </c>
      <c r="P40" s="16"/>
      <c r="Q40" s="16" t="str">
        <f t="shared" ca="1" si="120"/>
        <v>-</v>
      </c>
      <c r="R40" s="16" t="str">
        <f t="shared" ca="1" si="121"/>
        <v>P.2 (2)</v>
      </c>
      <c r="S40" s="16"/>
      <c r="T40" s="16" t="str">
        <f t="shared" ca="1" si="122"/>
        <v>-</v>
      </c>
      <c r="U40" s="16" t="str">
        <f t="shared" ca="1" si="123"/>
        <v>P.2 (2)</v>
      </c>
      <c r="V40" s="17"/>
      <c r="W40" s="645"/>
      <c r="X40" s="24">
        <f ca="1">Horarios!C40</f>
        <v>46198.916666666664</v>
      </c>
      <c r="Y40" s="25">
        <f ca="1">Horarios!C40</f>
        <v>46198.916666666664</v>
      </c>
      <c r="Z40" s="26" t="str">
        <f>$Z$8</f>
        <v>J3</v>
      </c>
      <c r="AA40" s="27" t="str">
        <f ca="1">A38</f>
        <v>Curazao</v>
      </c>
      <c r="AB40" s="49" t="e" cm="1" vm="19">
        <f t="array" aca="1" ref="AB40" ca="1">Ver_flag_local</f>
        <v>#VALUE!</v>
      </c>
      <c r="AC40" s="50">
        <v>1</v>
      </c>
      <c r="AD40" s="51">
        <v>3</v>
      </c>
      <c r="AE40" s="595" t="e" cm="1" vm="20">
        <f t="array" aca="1" ref="AE40" ca="1">Ver_flag_visit</f>
        <v>#VALUE!</v>
      </c>
      <c r="AF40" s="32" t="str">
        <f ca="1">A39</f>
        <v>Costa de Marfil</v>
      </c>
      <c r="AG40" s="323">
        <f t="shared" si="124"/>
        <v>1</v>
      </c>
      <c r="AH40" s="195">
        <v>55</v>
      </c>
      <c r="AI40" s="181" t="str">
        <f t="shared" si="128"/>
        <v>3E</v>
      </c>
      <c r="AJ40" s="42">
        <v>3</v>
      </c>
      <c r="AK40" s="602" t="e" cm="1" vm="21">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6</v>
      </c>
      <c r="AS40" s="39">
        <f t="shared" ca="1" si="127"/>
        <v>5</v>
      </c>
      <c r="AT40" s="43">
        <f t="shared" ca="1" si="127"/>
        <v>1</v>
      </c>
      <c r="AU40" s="330">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8</v>
      </c>
      <c r="BL40" s="16">
        <f t="shared" ca="1" si="42"/>
        <v>-7</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Visitante</v>
      </c>
      <c r="E41" s="16" t="str">
        <f t="shared" ca="1" si="112"/>
        <v>P.2 (2)</v>
      </c>
      <c r="F41" s="16" t="str">
        <f t="shared" ca="1" si="113"/>
        <v>-</v>
      </c>
      <c r="G41" s="16"/>
      <c r="H41" s="16" t="str">
        <f t="shared" ca="1" si="114"/>
        <v>P.2 (2)</v>
      </c>
      <c r="I41" s="16" t="str">
        <f t="shared" ca="1" si="115"/>
        <v>-</v>
      </c>
      <c r="J41" s="16"/>
      <c r="K41" s="16" t="str">
        <f t="shared" ca="1" si="116"/>
        <v>P.2 (2)</v>
      </c>
      <c r="L41" s="16" t="str">
        <f t="shared" ca="1" si="117"/>
        <v>-</v>
      </c>
      <c r="M41" s="16"/>
      <c r="N41" s="16" t="str">
        <f t="shared" ca="1" si="118"/>
        <v>P.2 (2)</v>
      </c>
      <c r="O41" s="16" t="str">
        <f t="shared" ca="1" si="119"/>
        <v>-</v>
      </c>
      <c r="P41" s="16"/>
      <c r="Q41" s="16" t="str">
        <f t="shared" ca="1" si="120"/>
        <v>P.2 (2)</v>
      </c>
      <c r="R41" s="16" t="str">
        <f t="shared" ca="1" si="121"/>
        <v>-</v>
      </c>
      <c r="S41" s="16"/>
      <c r="T41" s="16" t="str">
        <f t="shared" ca="1" si="122"/>
        <v>P.2 (2)</v>
      </c>
      <c r="U41" s="16" t="str">
        <f t="shared" ca="1" si="123"/>
        <v>-</v>
      </c>
      <c r="V41" s="17"/>
      <c r="W41" s="646"/>
      <c r="X41" s="28">
        <f ca="1">Horarios!C41</f>
        <v>46198.916666666664</v>
      </c>
      <c r="Y41" s="29">
        <f ca="1">Horarios!C41</f>
        <v>46198.916666666664</v>
      </c>
      <c r="Z41" s="30" t="str">
        <f>$Z$8</f>
        <v>J3</v>
      </c>
      <c r="AA41" s="31" t="str">
        <f ca="1">A40</f>
        <v>Ecuador</v>
      </c>
      <c r="AB41" s="52" t="e" cm="1" vm="21">
        <f t="array" aca="1" ref="AB41" ca="1">Ver_flag_local</f>
        <v>#VALUE!</v>
      </c>
      <c r="AC41" s="53">
        <v>2</v>
      </c>
      <c r="AD41" s="54">
        <v>3</v>
      </c>
      <c r="AE41" s="596" t="e" cm="1" vm="18">
        <f t="array" aca="1" ref="AE41" ca="1">Ver_flag_visit</f>
        <v>#VALUE!</v>
      </c>
      <c r="AF41" s="33" t="str">
        <f ca="1">A37</f>
        <v>Alemania</v>
      </c>
      <c r="AG41" s="323">
        <f t="shared" si="124"/>
        <v>1</v>
      </c>
      <c r="AH41" s="195">
        <v>56</v>
      </c>
      <c r="AI41" s="181" t="str">
        <f t="shared" si="128"/>
        <v>4E</v>
      </c>
      <c r="AJ41" s="44">
        <v>4</v>
      </c>
      <c r="AK41" s="604" t="e" cm="1" vm="19">
        <f t="array" aca="1" ref="AK41" ca="1">Ver_flag_visit</f>
        <v>#VALUE!</v>
      </c>
      <c r="AL41" s="45" t="str">
        <f ca="1">IFERROR(INDEX($BD$6:$BD$53,MATCH(AI41,$BN$6:$BN$53,0)),"")</f>
        <v>Curazao</v>
      </c>
      <c r="AM41" s="46">
        <f t="shared" ca="1" si="127"/>
        <v>0</v>
      </c>
      <c r="AN41" s="47">
        <f t="shared" ca="1" si="127"/>
        <v>3</v>
      </c>
      <c r="AO41" s="47">
        <f t="shared" ca="1" si="127"/>
        <v>0</v>
      </c>
      <c r="AP41" s="47">
        <f t="shared" ca="1" si="127"/>
        <v>0</v>
      </c>
      <c r="AQ41" s="47">
        <f t="shared" ca="1" si="127"/>
        <v>3</v>
      </c>
      <c r="AR41" s="47">
        <f t="shared" ca="1" si="127"/>
        <v>1</v>
      </c>
      <c r="AS41" s="47">
        <f t="shared" ca="1" si="127"/>
        <v>9</v>
      </c>
      <c r="AT41" s="48">
        <f t="shared" ca="1" si="127"/>
        <v>-8</v>
      </c>
      <c r="AU41" s="330">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41"/>
        <v>3</v>
      </c>
      <c r="BG41" s="16">
        <f t="shared" ca="1" si="17"/>
        <v>2</v>
      </c>
      <c r="BH41" s="16">
        <f t="shared" ca="1" si="18"/>
        <v>1</v>
      </c>
      <c r="BI41" s="16">
        <f t="shared" ca="1" si="19"/>
        <v>0</v>
      </c>
      <c r="BJ41" s="16">
        <f t="shared" ca="1" si="20"/>
        <v>4</v>
      </c>
      <c r="BK41" s="16">
        <f t="shared" ca="1" si="21"/>
        <v>2</v>
      </c>
      <c r="BL41" s="16">
        <f t="shared" ca="1" si="42"/>
        <v>2</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1</v>
      </c>
      <c r="BW41" s="16">
        <f t="shared" ca="1" si="26"/>
        <v>0</v>
      </c>
      <c r="BX41" s="16">
        <f t="shared" ca="1" si="48"/>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1</v>
      </c>
      <c r="CB41" s="16">
        <f t="shared" ca="1" si="28"/>
        <v>1</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1</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1</v>
      </c>
      <c r="CK41" s="16">
        <f t="shared" ca="1" si="32"/>
        <v>0</v>
      </c>
      <c r="CL41" s="16">
        <f t="shared" ca="1" si="50"/>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1</v>
      </c>
      <c r="CP41" s="16">
        <f t="shared" ca="1" si="34"/>
        <v>1</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1</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2</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686</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5</v>
      </c>
      <c r="BK42" s="16">
        <f t="shared" ca="1" si="21"/>
        <v>1</v>
      </c>
      <c r="BL42" s="16">
        <f t="shared" ca="1" si="42"/>
        <v>4</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687</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4</v>
      </c>
      <c r="BK43" s="16">
        <f t="shared" ca="1" si="21"/>
        <v>5</v>
      </c>
      <c r="BL43" s="16">
        <f t="shared" ca="1" si="42"/>
        <v>-1</v>
      </c>
      <c r="BM43" s="16" t="str">
        <f t="shared" ca="1" si="22"/>
        <v>2J</v>
      </c>
      <c r="BN43" s="16" t="str">
        <f t="shared" ca="1" si="23"/>
        <v>2J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4"/>
        <v>-</v>
      </c>
      <c r="BV43" s="16" t="str">
        <f t="shared" ca="1" si="25"/>
        <v>-</v>
      </c>
      <c r="BW43" s="16" t="str">
        <f t="shared" ca="1" si="26"/>
        <v>-</v>
      </c>
      <c r="BX43" s="16" t="str">
        <f t="shared" ca="1" si="48"/>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27"/>
        <v>-</v>
      </c>
      <c r="CB43" s="16" t="str">
        <f t="shared" ca="1" si="28"/>
        <v>-</v>
      </c>
      <c r="CC43" s="16" t="str">
        <f t="shared" ca="1" si="49"/>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29"/>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0"/>
        <v>-</v>
      </c>
      <c r="CJ43" s="16" t="str">
        <f t="shared" ca="1" si="31"/>
        <v>-</v>
      </c>
      <c r="CK43" s="16" t="str">
        <f t="shared" ca="1" si="32"/>
        <v>-</v>
      </c>
      <c r="CL43" s="16" t="str">
        <f t="shared" ca="1" si="50"/>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33"/>
        <v>-</v>
      </c>
      <c r="CP43" s="16" t="str">
        <f t="shared" ca="1" si="34"/>
        <v>-</v>
      </c>
      <c r="CQ43" s="16" t="str">
        <f t="shared" ca="1" si="51"/>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35"/>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36"/>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52"/>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38"/>
        <v>2</v>
      </c>
      <c r="DK43" s="16">
        <f t="shared" ca="1" si="39"/>
        <v>12</v>
      </c>
      <c r="DL43" s="16">
        <f t="shared" ca="1" si="40"/>
        <v>1</v>
      </c>
      <c r="DM43" s="16" t="str">
        <f t="shared" ca="1" si="46"/>
        <v>2.1</v>
      </c>
      <c r="DN43" s="16" cm="1">
        <f t="array" aca="1" ref="DN43" ca="1">OFFSET(Horarios!$P$3,DJ43-1,0,DL43,1)</f>
        <v>2</v>
      </c>
      <c r="DO43" s="16"/>
      <c r="DP43" s="16" t="s">
        <v>688</v>
      </c>
      <c r="DQ43" s="16" t="str">
        <f t="shared" ca="1" si="47"/>
        <v>Argelia</v>
      </c>
    </row>
    <row r="44" spans="1:121" ht="16" customHeight="1" thickBot="1">
      <c r="A44" s="16" t="s">
        <v>32</v>
      </c>
      <c r="B44" s="16" t="s">
        <v>4</v>
      </c>
      <c r="C44" s="16">
        <f>COUNTIF(Equipos!$C$2:$C$49,WORLDCUP!B44)</f>
        <v>4</v>
      </c>
      <c r="D44" s="16" t="str">
        <f t="shared" ref="D44:D49" si="131">IF(OR(AC44="",AD44=""),"Pendiente",IF(AC44&gt;AD44,"Local",IF(AC44&lt;AD44,"Visitante","Empate")))</f>
        <v>Local</v>
      </c>
      <c r="E44" s="16" t="str">
        <f t="shared" ref="E44:E49" ca="1" si="132">IF(D44="Pendiente","-",INDEX($BT$6:$BT$53,MATCH($AA44,$BD$6:$BD$53,0)))</f>
        <v>-</v>
      </c>
      <c r="F44" s="16" t="str">
        <f t="shared" ref="F44:F49" ca="1" si="133">IF(D44="Pendiente","-",INDEX($BT$6:$BT$53,MATCH($AF44,$BD$6:$BD$53,0)))</f>
        <v>P.2 (2)</v>
      </c>
      <c r="G44" s="16"/>
      <c r="H44" s="16" t="str">
        <f t="shared" ref="H44:H49" ca="1" si="134">IF(D44="Pendiente","-",INDEX($BZ$6:$BZ$53,MATCH($AA44,$BD$6:$BD$53,0)))</f>
        <v>-</v>
      </c>
      <c r="I44" s="16" t="str">
        <f t="shared" ref="I44:I49" ca="1" si="135">IF(D44="Pendiente","-",INDEX($BZ$6:$BZ$53,MATCH($AF44,$BD$6:$BD$53,0)))</f>
        <v>P.2 (2)</v>
      </c>
      <c r="J44" s="16"/>
      <c r="K44" s="16" t="str">
        <f t="shared" ref="K44:K49" ca="1" si="136">IF(D44="Pendiente","-",INDEX($CE$6:$CE$53,MATCH($AA44,$BD$6:$BD$53,0)))</f>
        <v>-</v>
      </c>
      <c r="L44" s="16" t="str">
        <f t="shared" ref="L44:L49" ca="1" si="137">IF(D44="Pendiente","-",INDEX($CE$6:$CE$53,MATCH($AF44,$BD$6:$BD$53,0)))</f>
        <v>P.2 (2)</v>
      </c>
      <c r="M44" s="16"/>
      <c r="N44" s="16" t="str">
        <f t="shared" ref="N44:N49" ca="1" si="138">IF(D44="Pendiente","-",INDEX($CH$6:$CH$53,MATCH($AA44,$BD$6:$BD$53,0)))</f>
        <v>-</v>
      </c>
      <c r="O44" s="16" t="str">
        <f t="shared" ref="O44:O49" ca="1" si="139">IF(D44="Pendiente","-",INDEX($CH$6:$CH$53,MATCH($AF44,$BD$6:$BD$53,0)))</f>
        <v>P.2 (2)</v>
      </c>
      <c r="P44" s="16"/>
      <c r="Q44" s="16" t="str">
        <f t="shared" ref="Q44:Q49" ca="1" si="140">IF(D44="Pendiente","-",INDEX($CN$6:$CN$53,MATCH($AA44,$BD$6:$BD$53,0)))</f>
        <v>-</v>
      </c>
      <c r="R44" s="16" t="str">
        <f t="shared" ref="R44:R49" ca="1" si="141">IF(D44="Pendiente","-",INDEX($CN$6:$CN$53,MATCH($AF44,$BD$6:$BD$53,0)))</f>
        <v>P.2 (2)</v>
      </c>
      <c r="S44" s="16"/>
      <c r="T44" s="16" t="str">
        <f t="shared" ref="T44:T49" ca="1" si="142">IF(D44="Pendiente","-",INDEX($CS$6:$CS$53,MATCH($AA44,$BD$6:$BD$53,0)))</f>
        <v>-</v>
      </c>
      <c r="U44" s="16" t="str">
        <f t="shared" ref="U44:U49" ca="1" si="143">IF(D44="Pendiente","-",INDEX($CS$6:$CS$53,MATCH($AF44,$BD$6:$BD$53,0)))</f>
        <v>P.2 (2)</v>
      </c>
      <c r="V44" s="17"/>
      <c r="W44" s="655" t="s">
        <v>4</v>
      </c>
      <c r="X44" s="24">
        <f ca="1">Horarios!C44</f>
        <v>46187.916666666664</v>
      </c>
      <c r="Y44" s="25">
        <f ca="1">Horarios!C44</f>
        <v>46187.916666666664</v>
      </c>
      <c r="Z44" s="26" t="str">
        <f>$Z$4</f>
        <v>J1</v>
      </c>
      <c r="AA44" s="27" t="str">
        <f ca="1">A45</f>
        <v>Países Bajos</v>
      </c>
      <c r="AB44" s="49" t="e" cm="1" vm="22">
        <f t="array" aca="1" ref="AB44" ca="1">Ver_flag_local</f>
        <v>#VALUE!</v>
      </c>
      <c r="AC44" s="50">
        <v>3</v>
      </c>
      <c r="AD44" s="51">
        <v>2</v>
      </c>
      <c r="AE44" s="595" t="e" cm="1" vm="23">
        <f t="array" aca="1" ref="AE44" ca="1">Ver_flag_visit</f>
        <v>#VALUE!</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2</v>
      </c>
      <c r="BF44" s="16">
        <f t="shared" ca="1" si="41"/>
        <v>3</v>
      </c>
      <c r="BG44" s="16">
        <f t="shared" ca="1" si="17"/>
        <v>0</v>
      </c>
      <c r="BH44" s="16">
        <f t="shared" ca="1" si="18"/>
        <v>2</v>
      </c>
      <c r="BI44" s="16">
        <f t="shared" ca="1" si="19"/>
        <v>1</v>
      </c>
      <c r="BJ44" s="16">
        <f t="shared" ca="1" si="20"/>
        <v>3</v>
      </c>
      <c r="BK44" s="16">
        <f t="shared" ca="1" si="21"/>
        <v>4</v>
      </c>
      <c r="BL44" s="16">
        <f t="shared" ca="1" si="42"/>
        <v>-1</v>
      </c>
      <c r="BM44" s="16" t="str">
        <f t="shared" ca="1" si="22"/>
        <v>3J</v>
      </c>
      <c r="BN44" s="16" t="str">
        <f t="shared" ca="1" si="23"/>
        <v>3J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2</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52"/>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Austria</v>
      </c>
    </row>
    <row r="45" spans="1:121" ht="16" customHeight="1">
      <c r="A45" s="16" t="str">
        <f ca="1">+Equipos!B22</f>
        <v>Países Bajos</v>
      </c>
      <c r="B45" s="16"/>
      <c r="C45" s="16"/>
      <c r="D45" s="16" t="str">
        <f t="shared" si="131"/>
        <v>Local</v>
      </c>
      <c r="E45" s="16" t="str">
        <f t="shared" ca="1" si="132"/>
        <v>P.2 (2)</v>
      </c>
      <c r="F45" s="16" t="str">
        <f t="shared" ca="1" si="133"/>
        <v>-</v>
      </c>
      <c r="G45" s="16"/>
      <c r="H45" s="16" t="str">
        <f t="shared" ca="1" si="134"/>
        <v>P.2 (2)</v>
      </c>
      <c r="I45" s="16" t="str">
        <f t="shared" ca="1" si="135"/>
        <v>-</v>
      </c>
      <c r="J45" s="16"/>
      <c r="K45" s="16" t="str">
        <f t="shared" ca="1" si="136"/>
        <v>P.2 (2)</v>
      </c>
      <c r="L45" s="16" t="str">
        <f t="shared" ca="1" si="137"/>
        <v>-</v>
      </c>
      <c r="M45" s="16"/>
      <c r="N45" s="16" t="str">
        <f t="shared" ca="1" si="138"/>
        <v>P.2 (2)</v>
      </c>
      <c r="O45" s="16" t="str">
        <f t="shared" ca="1" si="139"/>
        <v>-</v>
      </c>
      <c r="P45" s="16"/>
      <c r="Q45" s="16" t="str">
        <f t="shared" ca="1" si="140"/>
        <v>P.2 (2)</v>
      </c>
      <c r="R45" s="16" t="str">
        <f t="shared" ca="1" si="141"/>
        <v>-</v>
      </c>
      <c r="S45" s="16"/>
      <c r="T45" s="16" t="str">
        <f t="shared" ca="1" si="142"/>
        <v>P.2 (2)</v>
      </c>
      <c r="U45" s="16" t="str">
        <f t="shared" ca="1" si="143"/>
        <v>-</v>
      </c>
      <c r="V45" s="17"/>
      <c r="W45" s="655"/>
      <c r="X45" s="24">
        <f ca="1">Horarios!C45</f>
        <v>46188.166666666664</v>
      </c>
      <c r="Y45" s="25">
        <f ca="1">Horarios!C45</f>
        <v>46188.166666666664</v>
      </c>
      <c r="Z45" s="26" t="str">
        <f>$Z$4</f>
        <v>J1</v>
      </c>
      <c r="AA45" s="27" t="str">
        <f ca="1">A47</f>
        <v>Suecia</v>
      </c>
      <c r="AB45" s="49" t="e" cm="1" vm="24">
        <f t="array" aca="1" ref="AB45" ca="1">Ver_flag_local</f>
        <v>#VALUE!</v>
      </c>
      <c r="AC45" s="50">
        <v>1</v>
      </c>
      <c r="AD45" s="51">
        <v>0</v>
      </c>
      <c r="AE45" s="595" t="e" cm="1" vm="25">
        <f t="array" aca="1" ref="AE45" ca="1">Ver_flag_visit</f>
        <v>#VALUE!</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41"/>
        <v>3</v>
      </c>
      <c r="BG45" s="16">
        <f t="shared" ca="1" si="17"/>
        <v>0</v>
      </c>
      <c r="BH45" s="16">
        <f t="shared" ca="1" si="18"/>
        <v>1</v>
      </c>
      <c r="BI45" s="16">
        <f t="shared" ca="1" si="19"/>
        <v>2</v>
      </c>
      <c r="BJ45" s="16">
        <f t="shared" ca="1" si="20"/>
        <v>1</v>
      </c>
      <c r="BK45" s="16">
        <f t="shared" ca="1" si="21"/>
        <v>3</v>
      </c>
      <c r="BL45" s="16">
        <f t="shared" ca="1" si="42"/>
        <v>-2</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689</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P.2 (2)</v>
      </c>
      <c r="G46" s="16"/>
      <c r="H46" s="16" t="str">
        <f t="shared" ca="1" si="134"/>
        <v>-</v>
      </c>
      <c r="I46" s="16" t="str">
        <f t="shared" ca="1" si="135"/>
        <v>P.2 (2)</v>
      </c>
      <c r="J46" s="16"/>
      <c r="K46" s="16" t="str">
        <f t="shared" ca="1" si="136"/>
        <v>-</v>
      </c>
      <c r="L46" s="16" t="str">
        <f t="shared" ca="1" si="137"/>
        <v>P.2 (2)</v>
      </c>
      <c r="M46" s="16"/>
      <c r="N46" s="16" t="str">
        <f t="shared" ca="1" si="138"/>
        <v>-</v>
      </c>
      <c r="O46" s="16" t="str">
        <f t="shared" ca="1" si="139"/>
        <v>P.2 (2)</v>
      </c>
      <c r="P46" s="16"/>
      <c r="Q46" s="16" t="str">
        <f t="shared" ca="1" si="140"/>
        <v>-</v>
      </c>
      <c r="R46" s="16" t="str">
        <f t="shared" ca="1" si="141"/>
        <v>P.2 (2)</v>
      </c>
      <c r="S46" s="16"/>
      <c r="T46" s="16" t="str">
        <f t="shared" ca="1" si="142"/>
        <v>-</v>
      </c>
      <c r="U46" s="16" t="str">
        <f t="shared" ca="1" si="143"/>
        <v>P.2 (2)</v>
      </c>
      <c r="V46" s="17"/>
      <c r="W46" s="655"/>
      <c r="X46" s="24">
        <f ca="1">Horarios!C46</f>
        <v>46193.791666666664</v>
      </c>
      <c r="Y46" s="25">
        <f ca="1">Horarios!C46</f>
        <v>46193.791666666664</v>
      </c>
      <c r="Z46" s="26" t="str">
        <f>$Z$6</f>
        <v>J2</v>
      </c>
      <c r="AA46" s="27" t="str">
        <f ca="1">A45</f>
        <v>Países Bajos</v>
      </c>
      <c r="AB46" s="49" t="e" cm="1" vm="22">
        <f t="array" aca="1" ref="AB46" ca="1">Ver_flag_local</f>
        <v>#VALUE!</v>
      </c>
      <c r="AC46" s="50">
        <v>3</v>
      </c>
      <c r="AD46" s="51">
        <v>1</v>
      </c>
      <c r="AE46" s="595" t="e" cm="1" vm="24">
        <f t="array" aca="1" ref="AE46" ca="1">Ver_flag_visit</f>
        <v>#VALUE!</v>
      </c>
      <c r="AF46" s="32" t="str">
        <f ca="1">A47</f>
        <v>Suecia</v>
      </c>
      <c r="AG46" s="323">
        <f t="shared" si="144"/>
        <v>1</v>
      </c>
      <c r="AH46" s="195">
        <v>35</v>
      </c>
      <c r="AI46" s="181" t="str">
        <f>AJ46&amp;$B$44</f>
        <v>1F</v>
      </c>
      <c r="AJ46" s="40">
        <v>1</v>
      </c>
      <c r="AK46" s="601" t="e" cm="1" vm="22">
        <f t="array" aca="1" ref="AK46" ca="1">Ver_flag_visit</f>
        <v>#VALUE!</v>
      </c>
      <c r="AL46" s="34" t="str">
        <f ca="1">IFERROR(INDEX($BD$6:$BD$53,MATCH(AI46,$BN$6:$BN$53,0)),"")</f>
        <v>Países Bajos</v>
      </c>
      <c r="AM46" s="35">
        <f t="shared" ref="AM46:AT49" ca="1" si="147">INDEX($BE$6:$BN$53,MATCH($AL46,$BD$6:$BD$53,0),MATCH(AM$5,$BE$5:$BN$5,0))</f>
        <v>9</v>
      </c>
      <c r="AN46" s="36">
        <f t="shared" ca="1" si="147"/>
        <v>3</v>
      </c>
      <c r="AO46" s="36">
        <f t="shared" ca="1" si="147"/>
        <v>3</v>
      </c>
      <c r="AP46" s="36">
        <f t="shared" ca="1" si="147"/>
        <v>0</v>
      </c>
      <c r="AQ46" s="36">
        <f t="shared" ca="1" si="147"/>
        <v>0</v>
      </c>
      <c r="AR46" s="36">
        <f t="shared" ca="1" si="147"/>
        <v>8</v>
      </c>
      <c r="AS46" s="36">
        <f t="shared" ca="1" si="147"/>
        <v>4</v>
      </c>
      <c r="AT46" s="41">
        <f t="shared" ca="1" si="147"/>
        <v>4</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41"/>
        <v>3</v>
      </c>
      <c r="BG46" s="16">
        <f t="shared" ca="1" si="17"/>
        <v>2</v>
      </c>
      <c r="BH46" s="16">
        <f t="shared" ca="1" si="18"/>
        <v>1</v>
      </c>
      <c r="BI46" s="16">
        <f t="shared" ca="1" si="19"/>
        <v>0</v>
      </c>
      <c r="BJ46" s="16">
        <f t="shared" ca="1" si="20"/>
        <v>9</v>
      </c>
      <c r="BK46" s="16">
        <f t="shared" ca="1" si="21"/>
        <v>2</v>
      </c>
      <c r="BL46" s="16">
        <f t="shared" ca="1" si="42"/>
        <v>7</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4"/>
        <v>0</v>
      </c>
      <c r="BV46" s="16">
        <f t="shared" ca="1" si="25"/>
        <v>1</v>
      </c>
      <c r="BW46" s="16">
        <f t="shared" ca="1" si="26"/>
        <v>0</v>
      </c>
      <c r="BX46" s="16">
        <f t="shared" ca="1" si="48"/>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27"/>
        <v>2</v>
      </c>
      <c r="CB46" s="16">
        <f t="shared" ca="1" si="28"/>
        <v>2</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29"/>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0"/>
        <v>0</v>
      </c>
      <c r="CJ46" s="16">
        <f t="shared" ca="1" si="31"/>
        <v>1</v>
      </c>
      <c r="CK46" s="16">
        <f t="shared" ca="1" si="32"/>
        <v>0</v>
      </c>
      <c r="CL46" s="16">
        <f t="shared" ca="1" si="50"/>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33"/>
        <v>2</v>
      </c>
      <c r="CP46" s="16">
        <f t="shared" ca="1" si="34"/>
        <v>2</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35"/>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36"/>
        <v>7</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12</v>
      </c>
      <c r="DL46" s="16">
        <f t="shared" ca="1" si="40"/>
        <v>1</v>
      </c>
      <c r="DM46" s="16" t="str">
        <f t="shared" ca="1" si="46"/>
        <v>1.1</v>
      </c>
      <c r="DN46" s="16" cm="1">
        <f t="array" aca="1" ref="DN46" ca="1">OFFSET(Horarios!$P$3,DJ46-1,0,DL46,1)</f>
        <v>1</v>
      </c>
      <c r="DO46" s="16"/>
      <c r="DP46" s="16" t="s">
        <v>690</v>
      </c>
      <c r="DQ46" s="16" t="str">
        <f t="shared" ca="1" si="47"/>
        <v>Portugal</v>
      </c>
    </row>
    <row r="47" spans="1:121" ht="16" customHeight="1">
      <c r="A47" s="16" t="str">
        <f ca="1">+Equipos!B24</f>
        <v>Suecia</v>
      </c>
      <c r="B47" s="16"/>
      <c r="C47" s="16"/>
      <c r="D47" s="16" t="str">
        <f t="shared" si="131"/>
        <v>Visitante</v>
      </c>
      <c r="E47" s="16" t="str">
        <f t="shared" ca="1" si="132"/>
        <v>-</v>
      </c>
      <c r="F47" s="16" t="str">
        <f t="shared" ca="1" si="133"/>
        <v>P.2 (2)</v>
      </c>
      <c r="G47" s="16"/>
      <c r="H47" s="16" t="str">
        <f t="shared" ca="1" si="134"/>
        <v>-</v>
      </c>
      <c r="I47" s="16" t="str">
        <f t="shared" ca="1" si="135"/>
        <v>P.2 (2)</v>
      </c>
      <c r="J47" s="16"/>
      <c r="K47" s="16" t="str">
        <f t="shared" ca="1" si="136"/>
        <v>-</v>
      </c>
      <c r="L47" s="16" t="str">
        <f t="shared" ca="1" si="137"/>
        <v>P.2 (2)</v>
      </c>
      <c r="M47" s="16"/>
      <c r="N47" s="16" t="str">
        <f t="shared" ca="1" si="138"/>
        <v>-</v>
      </c>
      <c r="O47" s="16" t="str">
        <f t="shared" ca="1" si="139"/>
        <v>P.2 (2)</v>
      </c>
      <c r="P47" s="16"/>
      <c r="Q47" s="16" t="str">
        <f t="shared" ca="1" si="140"/>
        <v>-</v>
      </c>
      <c r="R47" s="16" t="str">
        <f t="shared" ca="1" si="141"/>
        <v>P.2 (2)</v>
      </c>
      <c r="S47" s="16"/>
      <c r="T47" s="16" t="str">
        <f t="shared" ca="1" si="142"/>
        <v>-</v>
      </c>
      <c r="U47" s="16" t="str">
        <f t="shared" ca="1" si="143"/>
        <v>P.2 (2)</v>
      </c>
      <c r="V47" s="17"/>
      <c r="W47" s="655"/>
      <c r="X47" s="24">
        <f ca="1">Horarios!C47</f>
        <v>46194.25</v>
      </c>
      <c r="Y47" s="25">
        <f ca="1">Horarios!C47</f>
        <v>46194.25</v>
      </c>
      <c r="Z47" s="26" t="str">
        <f>$Z$6</f>
        <v>J2</v>
      </c>
      <c r="AA47" s="27" t="str">
        <f ca="1">A48</f>
        <v>Túnez</v>
      </c>
      <c r="AB47" s="49" t="e" cm="1" vm="25">
        <f t="array" aca="1" ref="AB47" ca="1">Ver_flag_local</f>
        <v>#VALUE!</v>
      </c>
      <c r="AC47" s="50">
        <v>1</v>
      </c>
      <c r="AD47" s="51">
        <v>2</v>
      </c>
      <c r="AE47" s="595" t="e" cm="1" vm="23">
        <f t="array" aca="1" ref="AE47" ca="1">Ver_flag_visit</f>
        <v>#VALUE!</v>
      </c>
      <c r="AF47" s="32" t="str">
        <f ca="1">A46</f>
        <v>Japón</v>
      </c>
      <c r="AG47" s="323">
        <f t="shared" si="144"/>
        <v>1</v>
      </c>
      <c r="AH47" s="195">
        <v>36</v>
      </c>
      <c r="AI47" s="181" t="str">
        <f t="shared" ref="AI47:AI49" si="148">AJ47&amp;$B$44</f>
        <v>2F</v>
      </c>
      <c r="AJ47" s="42">
        <v>2</v>
      </c>
      <c r="AK47" s="602" t="e" cm="1" vm="23">
        <f t="array" aca="1" ref="AK47" ca="1">Ver_flag_visit</f>
        <v>#VALUE!</v>
      </c>
      <c r="AL47" s="37" t="str">
        <f ca="1">IFERROR(INDEX($BD$6:$BD$53,MATCH(AI47,$BN$6:$BN$53,0)),"")</f>
        <v>Japón</v>
      </c>
      <c r="AM47" s="38">
        <f t="shared" ca="1" si="147"/>
        <v>4</v>
      </c>
      <c r="AN47" s="39">
        <f t="shared" ca="1" si="147"/>
        <v>3</v>
      </c>
      <c r="AO47" s="39">
        <f t="shared" ca="1" si="147"/>
        <v>1</v>
      </c>
      <c r="AP47" s="39">
        <f t="shared" ca="1" si="147"/>
        <v>1</v>
      </c>
      <c r="AQ47" s="39">
        <f t="shared" ca="1" si="147"/>
        <v>1</v>
      </c>
      <c r="AR47" s="39">
        <f t="shared" ca="1" si="147"/>
        <v>5</v>
      </c>
      <c r="AS47" s="39">
        <f t="shared" ca="1" si="147"/>
        <v>5</v>
      </c>
      <c r="AT47" s="43">
        <f t="shared" ca="1" si="147"/>
        <v>0</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41"/>
        <v>3</v>
      </c>
      <c r="BG47" s="16">
        <f t="shared" ca="1" si="17"/>
        <v>1</v>
      </c>
      <c r="BH47" s="16">
        <f t="shared" ca="1" si="18"/>
        <v>0</v>
      </c>
      <c r="BI47" s="16">
        <f t="shared" ca="1" si="19"/>
        <v>2</v>
      </c>
      <c r="BJ47" s="16">
        <f t="shared" ca="1" si="20"/>
        <v>1</v>
      </c>
      <c r="BK47" s="16">
        <f t="shared" ca="1" si="21"/>
        <v>6</v>
      </c>
      <c r="BL47" s="16">
        <f t="shared" ca="1" si="42"/>
        <v>-5</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691</v>
      </c>
      <c r="DQ47" s="16" t="str">
        <f t="shared" ca="1" si="47"/>
        <v>Colombia</v>
      </c>
    </row>
    <row r="48" spans="1:121" ht="16" customHeight="1">
      <c r="A48" s="16" t="str">
        <f ca="1">+Equipos!B25</f>
        <v>Túnez</v>
      </c>
      <c r="B48" s="16"/>
      <c r="C48" s="16"/>
      <c r="D48" s="16" t="str">
        <f t="shared" si="131"/>
        <v>Empate</v>
      </c>
      <c r="E48" s="16" t="str">
        <f t="shared" ca="1" si="132"/>
        <v>P.2 (2)</v>
      </c>
      <c r="F48" s="16" t="str">
        <f t="shared" ca="1" si="133"/>
        <v>P.2 (2)</v>
      </c>
      <c r="G48" s="16"/>
      <c r="H48" s="16" t="str">
        <f t="shared" ca="1" si="134"/>
        <v>P.2 (2)</v>
      </c>
      <c r="I48" s="16" t="str">
        <f t="shared" ca="1" si="135"/>
        <v>P.2 (2)</v>
      </c>
      <c r="J48" s="16"/>
      <c r="K48" s="16" t="str">
        <f t="shared" ca="1" si="136"/>
        <v>P.2 (2)</v>
      </c>
      <c r="L48" s="16" t="str">
        <f t="shared" ca="1" si="137"/>
        <v>P.2 (2)</v>
      </c>
      <c r="M48" s="16"/>
      <c r="N48" s="16" t="str">
        <f t="shared" ca="1" si="138"/>
        <v>P.2 (2)</v>
      </c>
      <c r="O48" s="16" t="str">
        <f t="shared" ca="1" si="139"/>
        <v>P.2 (2)</v>
      </c>
      <c r="P48" s="16"/>
      <c r="Q48" s="16" t="str">
        <f t="shared" ca="1" si="140"/>
        <v>P.2 (2)</v>
      </c>
      <c r="R48" s="16" t="str">
        <f t="shared" ca="1" si="141"/>
        <v>P.2 (2)</v>
      </c>
      <c r="S48" s="16"/>
      <c r="T48" s="16" t="str">
        <f t="shared" ca="1" si="142"/>
        <v>P.2 (2)</v>
      </c>
      <c r="U48" s="16" t="str">
        <f t="shared" ca="1" si="143"/>
        <v>P.2 (2)</v>
      </c>
      <c r="V48" s="17"/>
      <c r="W48" s="655"/>
      <c r="X48" s="24">
        <f ca="1">Horarios!C48</f>
        <v>46199.041666666664</v>
      </c>
      <c r="Y48" s="25">
        <f ca="1">Horarios!C48</f>
        <v>46199.041666666664</v>
      </c>
      <c r="Z48" s="26" t="str">
        <f>$Z$8</f>
        <v>J3</v>
      </c>
      <c r="AA48" s="27" t="str">
        <f ca="1">A46</f>
        <v>Japón</v>
      </c>
      <c r="AB48" s="49" t="e" cm="1" vm="23">
        <f t="array" aca="1" ref="AB48" ca="1">Ver_flag_local</f>
        <v>#VALUE!</v>
      </c>
      <c r="AC48" s="50">
        <v>1</v>
      </c>
      <c r="AD48" s="51">
        <v>1</v>
      </c>
      <c r="AE48" s="595" t="e" cm="1" vm="24">
        <f t="array" aca="1" ref="AE48" ca="1">Ver_flag_visit</f>
        <v>#VALUE!</v>
      </c>
      <c r="AF48" s="32" t="str">
        <f ca="1">A47</f>
        <v>Suecia</v>
      </c>
      <c r="AG48" s="323">
        <f t="shared" si="144"/>
        <v>1</v>
      </c>
      <c r="AH48" s="195">
        <v>57</v>
      </c>
      <c r="AI48" s="181" t="str">
        <f t="shared" si="148"/>
        <v>3F</v>
      </c>
      <c r="AJ48" s="42">
        <v>3</v>
      </c>
      <c r="AK48" s="602" t="e" cm="1" vm="24">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3</v>
      </c>
      <c r="AS48" s="39">
        <f t="shared" ca="1" si="147"/>
        <v>4</v>
      </c>
      <c r="AT48" s="43">
        <f t="shared" ca="1" si="147"/>
        <v>-1</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1</v>
      </c>
      <c r="BK48" s="16">
        <f t="shared" ca="1" si="21"/>
        <v>7</v>
      </c>
      <c r="BL48" s="16">
        <f t="shared" ca="1" si="42"/>
        <v>-6</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56"/>
      <c r="X49" s="28">
        <f ca="1">Horarios!C49</f>
        <v>46199.041666666664</v>
      </c>
      <c r="Y49" s="29">
        <f ca="1">Horarios!C49</f>
        <v>46199.041666666664</v>
      </c>
      <c r="Z49" s="30" t="str">
        <f>$Z$8</f>
        <v>J3</v>
      </c>
      <c r="AA49" s="31" t="str">
        <f ca="1">A48</f>
        <v>Túnez</v>
      </c>
      <c r="AB49" s="52" t="e" cm="1" vm="25">
        <f t="array" aca="1" ref="AB49" ca="1">Ver_flag_local</f>
        <v>#VALUE!</v>
      </c>
      <c r="AC49" s="53">
        <v>1</v>
      </c>
      <c r="AD49" s="54">
        <v>2</v>
      </c>
      <c r="AE49" s="596" t="e" cm="1" vm="22">
        <f t="array" aca="1" ref="AE49" ca="1">Ver_flag_visit</f>
        <v>#VALUE!</v>
      </c>
      <c r="AF49" s="33" t="str">
        <f ca="1">A45</f>
        <v>Países Bajos</v>
      </c>
      <c r="AG49" s="323">
        <f t="shared" si="144"/>
        <v>1</v>
      </c>
      <c r="AH49" s="195">
        <v>58</v>
      </c>
      <c r="AI49" s="181" t="str">
        <f t="shared" si="148"/>
        <v>4F</v>
      </c>
      <c r="AJ49" s="44">
        <v>4</v>
      </c>
      <c r="AK49" s="604" t="e" cm="1" vm="25">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5</v>
      </c>
      <c r="AT49" s="48">
        <f t="shared" ca="1" si="147"/>
        <v>-3</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7</v>
      </c>
      <c r="BK49" s="16">
        <f t="shared" ca="1" si="21"/>
        <v>3</v>
      </c>
      <c r="BL49" s="16">
        <f t="shared" ca="1" si="42"/>
        <v>4</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4"/>
        <v>0</v>
      </c>
      <c r="BV49" s="16">
        <f t="shared" ca="1" si="25"/>
        <v>1</v>
      </c>
      <c r="BW49" s="16">
        <f t="shared" ca="1" si="26"/>
        <v>0</v>
      </c>
      <c r="BX49" s="16">
        <f t="shared" ca="1" si="48"/>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27"/>
        <v>2</v>
      </c>
      <c r="CB49" s="16">
        <f t="shared" ca="1" si="28"/>
        <v>2</v>
      </c>
      <c r="CC49" s="16">
        <f t="shared" ca="1" si="49"/>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29"/>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0"/>
        <v>0</v>
      </c>
      <c r="CJ49" s="16">
        <f t="shared" ca="1" si="31"/>
        <v>1</v>
      </c>
      <c r="CK49" s="16">
        <f t="shared" ca="1" si="32"/>
        <v>0</v>
      </c>
      <c r="CL49" s="16">
        <f t="shared" ca="1" si="50"/>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33"/>
        <v>2</v>
      </c>
      <c r="CP49" s="16">
        <f t="shared" ca="1" si="34"/>
        <v>2</v>
      </c>
      <c r="CQ49" s="16">
        <f t="shared" ca="1" si="51"/>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35"/>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36"/>
        <v>4</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12</v>
      </c>
      <c r="DL49" s="16">
        <f t="shared" ca="1" si="40"/>
        <v>1</v>
      </c>
      <c r="DM49" s="16" t="str">
        <f t="shared" ca="1" si="46"/>
        <v>4.1</v>
      </c>
      <c r="DN49" s="16" cm="1">
        <f t="array" aca="1" ref="DN49" ca="1">OFFSET(Horarios!$P$3,DJ49-1,0,DL49,1)</f>
        <v>4</v>
      </c>
      <c r="DO49" s="16"/>
      <c r="DP49" s="16" t="s">
        <v>692</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41"/>
        <v>3</v>
      </c>
      <c r="BG50" s="16">
        <f t="shared" ca="1" si="17"/>
        <v>3</v>
      </c>
      <c r="BH50" s="16">
        <f t="shared" ca="1" si="18"/>
        <v>0</v>
      </c>
      <c r="BI50" s="16">
        <f t="shared" ca="1" si="19"/>
        <v>0</v>
      </c>
      <c r="BJ50" s="16">
        <f t="shared" ca="1" si="20"/>
        <v>7</v>
      </c>
      <c r="BK50" s="16">
        <f t="shared" ca="1" si="21"/>
        <v>1</v>
      </c>
      <c r="BL50" s="16">
        <f t="shared" ca="1" si="42"/>
        <v>6</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693</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4</v>
      </c>
      <c r="BF51" s="16">
        <f t="shared" ca="1" si="41"/>
        <v>3</v>
      </c>
      <c r="BG51" s="16">
        <f t="shared" ca="1" si="17"/>
        <v>1</v>
      </c>
      <c r="BH51" s="16">
        <f t="shared" ca="1" si="18"/>
        <v>1</v>
      </c>
      <c r="BI51" s="16">
        <f t="shared" ca="1" si="19"/>
        <v>1</v>
      </c>
      <c r="BJ51" s="16">
        <f t="shared" ca="1" si="20"/>
        <v>6</v>
      </c>
      <c r="BK51" s="16">
        <f t="shared" ca="1" si="21"/>
        <v>5</v>
      </c>
      <c r="BL51" s="16">
        <f t="shared" ca="1" si="42"/>
        <v>1</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P.2 (2)</v>
      </c>
      <c r="BU51" s="16">
        <f t="shared" ca="1" si="24"/>
        <v>0</v>
      </c>
      <c r="BV51" s="16">
        <f t="shared" ca="1" si="25"/>
        <v>1</v>
      </c>
      <c r="BW51" s="16">
        <f t="shared" ca="1" si="26"/>
        <v>0</v>
      </c>
      <c r="BX51" s="16">
        <f t="shared" ca="1" si="48"/>
        <v>1</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P.2 (2)</v>
      </c>
      <c r="CA51" s="16">
        <f t="shared" ca="1" si="27"/>
        <v>2</v>
      </c>
      <c r="CB51" s="16">
        <f t="shared" ca="1" si="28"/>
        <v>2</v>
      </c>
      <c r="CC51" s="16">
        <f t="shared" ca="1" si="49"/>
        <v>0</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P.2 (2)</v>
      </c>
      <c r="CF51" s="16">
        <f t="shared" ca="1" si="29"/>
        <v>2</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P.2 (2)</v>
      </c>
      <c r="CI51" s="16">
        <f t="shared" ca="1" si="30"/>
        <v>0</v>
      </c>
      <c r="CJ51" s="16">
        <f t="shared" ca="1" si="31"/>
        <v>1</v>
      </c>
      <c r="CK51" s="16">
        <f t="shared" ca="1" si="32"/>
        <v>0</v>
      </c>
      <c r="CL51" s="16">
        <f t="shared" ca="1" si="50"/>
        <v>1</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P.2 (2)</v>
      </c>
      <c r="CO51" s="16">
        <f t="shared" ca="1" si="33"/>
        <v>2</v>
      </c>
      <c r="CP51" s="16">
        <f t="shared" ca="1" si="34"/>
        <v>2</v>
      </c>
      <c r="CQ51" s="16">
        <f t="shared" ca="1" si="51"/>
        <v>0</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P.2 (2)</v>
      </c>
      <c r="CT51" s="16">
        <f t="shared" ca="1" si="35"/>
        <v>2</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P.2 (2)</v>
      </c>
      <c r="CW51" s="16">
        <f t="shared" ca="1" si="36"/>
        <v>1</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694</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Local</v>
      </c>
      <c r="E52" s="16" t="str">
        <f t="shared" ref="E52:E57" ca="1" si="150">IF(D52="Pendiente","-",INDEX($BT$6:$BT$53,MATCH($AA52,$BD$6:$BD$53,0)))</f>
        <v>-</v>
      </c>
      <c r="F52" s="16" t="str">
        <f t="shared" ref="F52:F57" ca="1" si="151">IF(D52="Pendiente","-",INDEX($BT$6:$BT$53,MATCH($AF52,$BD$6:$BD$53,0)))</f>
        <v>-</v>
      </c>
      <c r="G52" s="16"/>
      <c r="H52" s="16" t="str">
        <f t="shared" ref="H52:H57" ca="1" si="152">IF(D52="Pendiente","-",INDEX($BZ$6:$BZ$53,MATCH($AA52,$BD$6:$BD$53,0)))</f>
        <v>-</v>
      </c>
      <c r="I52" s="16" t="str">
        <f t="shared" ref="I52:I57" ca="1" si="153">IF(D52="Pendiente","-",INDEX($BZ$6:$BZ$53,MATCH($AF52,$BD$6:$BD$53,0)))</f>
        <v>-</v>
      </c>
      <c r="J52" s="16"/>
      <c r="K52" s="16" t="str">
        <f t="shared" ref="K52:K57" ca="1" si="154">IF(D52="Pendiente","-",INDEX($CE$6:$CE$53,MATCH($AA52,$BD$6:$BD$53,0)))</f>
        <v>-</v>
      </c>
      <c r="L52" s="16" t="str">
        <f t="shared" ref="L52:L57" ca="1" si="155">IF(D52="Pendiente","-",INDEX($CE$6:$CE$53,MATCH($AF52,$BD$6:$BD$53,0)))</f>
        <v>-</v>
      </c>
      <c r="M52" s="16"/>
      <c r="N52" s="16" t="str">
        <f t="shared" ref="N52:N57" ca="1" si="156">IF(D52="Pendiente","-",INDEX($CH$6:$CH$53,MATCH($AA52,$BD$6:$BD$53,0)))</f>
        <v>-</v>
      </c>
      <c r="O52" s="16" t="str">
        <f t="shared" ref="O52:O57" ca="1" si="157">IF(D52="Pendiente","-",INDEX($CH$6:$CH$53,MATCH($AF52,$BD$6:$BD$53,0)))</f>
        <v>-</v>
      </c>
      <c r="P52" s="16"/>
      <c r="Q52" s="16" t="str">
        <f t="shared" ref="Q52:Q57" ca="1" si="158">IF(D52="Pendiente","-",INDEX($CN$6:$CN$53,MATCH($AA52,$BD$6:$BD$53,0)))</f>
        <v>-</v>
      </c>
      <c r="R52" s="16" t="str">
        <f t="shared" ref="R52:R57" ca="1" si="159">IF(D52="Pendiente","-",INDEX($CN$6:$CN$53,MATCH($AF52,$BD$6:$BD$53,0)))</f>
        <v>-</v>
      </c>
      <c r="S52" s="16"/>
      <c r="T52" s="16" t="str">
        <f t="shared" ref="T52:T57" ca="1" si="160">IF(D52="Pendiente","-",INDEX($CS$6:$CS$53,MATCH($AA52,$BD$6:$BD$53,0)))</f>
        <v>-</v>
      </c>
      <c r="U52" s="16" t="str">
        <f t="shared" ref="U52:U57" ca="1" si="161">IF(D52="Pendiente","-",INDEX($CS$6:$CS$53,MATCH($AF52,$BD$6:$BD$53,0)))</f>
        <v>-</v>
      </c>
      <c r="V52" s="17"/>
      <c r="W52" s="675" t="s">
        <v>6</v>
      </c>
      <c r="X52" s="24">
        <f ca="1">Horarios!C52</f>
        <v>46188.875</v>
      </c>
      <c r="Y52" s="25">
        <f ca="1">Horarios!C52</f>
        <v>46188.875</v>
      </c>
      <c r="Z52" s="26" t="str">
        <f>$Z$4</f>
        <v>J1</v>
      </c>
      <c r="AA52" s="27" t="str">
        <f ca="1">A53</f>
        <v>Bélgica</v>
      </c>
      <c r="AB52" s="49" t="e" cm="1" vm="26">
        <f t="array" aca="1" ref="AB52" ca="1">Ver_flag_local</f>
        <v>#VALUE!</v>
      </c>
      <c r="AC52" s="50">
        <v>2</v>
      </c>
      <c r="AD52" s="51">
        <v>0</v>
      </c>
      <c r="AE52" s="595" t="e" cm="1" vm="27">
        <f t="array" aca="1" ref="AE52" ca="1">Ver_flag_visit</f>
        <v>#VALUE!</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3</v>
      </c>
      <c r="BK52" s="16">
        <f t="shared" ca="1" si="21"/>
        <v>4</v>
      </c>
      <c r="BL52" s="16">
        <f t="shared" ca="1" si="42"/>
        <v>-1</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P.2 (2)</v>
      </c>
      <c r="BU52" s="16">
        <f t="shared" ca="1" si="24"/>
        <v>0</v>
      </c>
      <c r="BV52" s="16">
        <f t="shared" ca="1" si="25"/>
        <v>1</v>
      </c>
      <c r="BW52" s="16">
        <f t="shared" ca="1" si="26"/>
        <v>0</v>
      </c>
      <c r="BX52" s="16">
        <f t="shared" ca="1" si="48"/>
        <v>1</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P.2 (2)</v>
      </c>
      <c r="CA52" s="16">
        <f t="shared" ca="1" si="27"/>
        <v>2</v>
      </c>
      <c r="CB52" s="16">
        <f t="shared" ca="1" si="28"/>
        <v>2</v>
      </c>
      <c r="CC52" s="16">
        <f t="shared" ca="1" si="49"/>
        <v>0</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P.2 (2)</v>
      </c>
      <c r="CF52" s="16">
        <f t="shared" ca="1" si="29"/>
        <v>2</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P.2 (2)</v>
      </c>
      <c r="CI52" s="16">
        <f t="shared" ca="1" si="30"/>
        <v>0</v>
      </c>
      <c r="CJ52" s="16">
        <f t="shared" ca="1" si="31"/>
        <v>1</v>
      </c>
      <c r="CK52" s="16">
        <f t="shared" ca="1" si="32"/>
        <v>0</v>
      </c>
      <c r="CL52" s="16">
        <f t="shared" ca="1" si="50"/>
        <v>1</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P.2 (2)</v>
      </c>
      <c r="CO52" s="16">
        <f t="shared" ca="1" si="33"/>
        <v>2</v>
      </c>
      <c r="CP52" s="16">
        <f t="shared" ca="1" si="34"/>
        <v>2</v>
      </c>
      <c r="CQ52" s="16">
        <f t="shared" ca="1" si="51"/>
        <v>0</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P.2 (2)</v>
      </c>
      <c r="CT52" s="16">
        <f t="shared" ca="1" si="35"/>
        <v>2</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P.2 (2)</v>
      </c>
      <c r="CW52" s="16">
        <f t="shared" ca="1" si="36"/>
        <v>-1</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Local</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75"/>
      <c r="X53" s="24">
        <f ca="1">Horarios!C53</f>
        <v>46189.125</v>
      </c>
      <c r="Y53" s="25">
        <f ca="1">Horarios!C53</f>
        <v>46189.125</v>
      </c>
      <c r="Z53" s="26" t="str">
        <f>$Z$4</f>
        <v>J1</v>
      </c>
      <c r="AA53" s="27" t="str">
        <f ca="1">A55</f>
        <v>Irán</v>
      </c>
      <c r="AB53" s="49" t="e" cm="1" vm="28">
        <f t="array" aca="1" ref="AB53" ca="1">Ver_flag_local</f>
        <v>#VALUE!</v>
      </c>
      <c r="AC53" s="50">
        <v>1</v>
      </c>
      <c r="AD53" s="51">
        <v>0</v>
      </c>
      <c r="AE53" s="595" t="e" cm="1" vm="29">
        <f t="array" aca="1" ref="AE53" ca="1">Ver_flag_visit</f>
        <v>#VALUE!</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1</v>
      </c>
      <c r="BK53" s="16">
        <f t="shared" ca="1" si="21"/>
        <v>7</v>
      </c>
      <c r="BL53" s="16">
        <f t="shared" ca="1" si="42"/>
        <v>-6</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695</v>
      </c>
      <c r="DQ53" s="16" t="str">
        <f t="shared" ca="1" si="47"/>
        <v>Panamá</v>
      </c>
    </row>
    <row r="54" spans="1:121" ht="16" customHeight="1">
      <c r="A54" s="16" t="str">
        <f ca="1">+Equipos!B27</f>
        <v>Egipto</v>
      </c>
      <c r="B54" s="16"/>
      <c r="C54" s="16"/>
      <c r="D54" s="16" t="str">
        <f t="shared" si="149"/>
        <v>Local</v>
      </c>
      <c r="E54" s="16" t="str">
        <f t="shared" ca="1" si="150"/>
        <v>-</v>
      </c>
      <c r="F54" s="16" t="str">
        <f t="shared" ca="1" si="151"/>
        <v>-</v>
      </c>
      <c r="G54" s="16"/>
      <c r="H54" s="16" t="str">
        <f t="shared" ca="1" si="152"/>
        <v>-</v>
      </c>
      <c r="I54" s="16" t="str">
        <f t="shared" ca="1" si="153"/>
        <v>-</v>
      </c>
      <c r="J54" s="16"/>
      <c r="K54" s="16" t="str">
        <f t="shared" ca="1" si="154"/>
        <v>-</v>
      </c>
      <c r="L54" s="16" t="str">
        <f t="shared" ca="1" si="155"/>
        <v>-</v>
      </c>
      <c r="M54" s="16"/>
      <c r="N54" s="16" t="str">
        <f t="shared" ca="1" si="156"/>
        <v>-</v>
      </c>
      <c r="O54" s="16" t="str">
        <f t="shared" ca="1" si="157"/>
        <v>-</v>
      </c>
      <c r="P54" s="16"/>
      <c r="Q54" s="16" t="str">
        <f t="shared" ca="1" si="158"/>
        <v>-</v>
      </c>
      <c r="R54" s="16" t="str">
        <f t="shared" ca="1" si="159"/>
        <v>-</v>
      </c>
      <c r="S54" s="16"/>
      <c r="T54" s="16" t="str">
        <f t="shared" ca="1" si="160"/>
        <v>-</v>
      </c>
      <c r="U54" s="16" t="str">
        <f t="shared" ca="1" si="161"/>
        <v>-</v>
      </c>
      <c r="V54" s="17"/>
      <c r="W54" s="675"/>
      <c r="X54" s="24">
        <f ca="1">Horarios!C54</f>
        <v>46194.875</v>
      </c>
      <c r="Y54" s="25">
        <f ca="1">Horarios!C54</f>
        <v>46194.875</v>
      </c>
      <c r="Z54" s="26" t="str">
        <f>$Z$6</f>
        <v>J2</v>
      </c>
      <c r="AA54" s="27" t="str">
        <f ca="1">A53</f>
        <v>Bélgica</v>
      </c>
      <c r="AB54" s="49" t="e" cm="1" vm="26">
        <f t="array" aca="1" ref="AB54" ca="1">Ver_flag_local</f>
        <v>#VALUE!</v>
      </c>
      <c r="AC54" s="50">
        <v>1</v>
      </c>
      <c r="AD54" s="51">
        <v>0</v>
      </c>
      <c r="AE54" s="595" t="e" cm="1" vm="28">
        <f t="array" aca="1" ref="AE54" ca="1">Ver_flag_visit</f>
        <v>#VALUE!</v>
      </c>
      <c r="AF54" s="32" t="str">
        <f ca="1">A55</f>
        <v>Irán</v>
      </c>
      <c r="AG54" s="323">
        <f t="shared" si="162"/>
        <v>1</v>
      </c>
      <c r="AH54" s="195">
        <v>39</v>
      </c>
      <c r="AI54" s="181" t="str">
        <f>AJ54&amp;$B$52</f>
        <v>1G</v>
      </c>
      <c r="AJ54" s="40">
        <v>1</v>
      </c>
      <c r="AK54" s="601" t="e" cm="1" vm="26">
        <f t="array" aca="1" ref="AK54" ca="1">Ver_flag_visit</f>
        <v>#VALUE!</v>
      </c>
      <c r="AL54" s="34" t="str">
        <f ca="1">IFERROR(INDEX($BD$6:$BD$53,MATCH(AI54,$BN$6:$BN$53,0)),"")</f>
        <v>Bélgica</v>
      </c>
      <c r="AM54" s="35">
        <f t="shared" ref="AM54:AT57" ca="1" si="165">INDEX($BE$6:$BN$53,MATCH($AL54,$BD$6:$BD$53,0),MATCH(AM$5,$BE$5:$BN$5,0))</f>
        <v>9</v>
      </c>
      <c r="AN54" s="36">
        <f t="shared" ca="1" si="165"/>
        <v>3</v>
      </c>
      <c r="AO54" s="36">
        <f t="shared" ca="1" si="165"/>
        <v>3</v>
      </c>
      <c r="AP54" s="36">
        <f t="shared" ca="1" si="165"/>
        <v>0</v>
      </c>
      <c r="AQ54" s="36">
        <f t="shared" ca="1" si="165"/>
        <v>0</v>
      </c>
      <c r="AR54" s="36">
        <f t="shared" ca="1" si="165"/>
        <v>5</v>
      </c>
      <c r="AS54" s="36">
        <f t="shared" ca="1" si="165"/>
        <v>0</v>
      </c>
      <c r="AT54" s="41">
        <f t="shared" ca="1" si="165"/>
        <v>5</v>
      </c>
      <c r="AU54" s="330">
        <f ca="1">INDEX($DL$6:$DL$53,MATCH(AI54,$DP$6:$DP$53,0))</f>
        <v>1</v>
      </c>
      <c r="AV54" s="182" t="str">
        <f ca="1">INDEX($BD$6:$BD$53,MATCH(AI54,$BM$6:$BM$53,0))</f>
        <v>Bélgica</v>
      </c>
      <c r="AW54" s="210"/>
      <c r="AX54" s="171"/>
      <c r="AY54" s="201" t="str">
        <f ca="1">+A53</f>
        <v>Bélgica</v>
      </c>
      <c r="AZ54" s="202"/>
      <c r="BA54" s="176"/>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75"/>
      <c r="X55" s="24">
        <f ca="1">Horarios!C55</f>
        <v>46195.125</v>
      </c>
      <c r="Y55" s="25">
        <f ca="1">Horarios!C55</f>
        <v>46195.125</v>
      </c>
      <c r="Z55" s="26" t="str">
        <f>$Z$6</f>
        <v>J2</v>
      </c>
      <c r="AA55" s="27" t="str">
        <f ca="1">A56</f>
        <v>Nueva Zelanda</v>
      </c>
      <c r="AB55" s="49" t="e" cm="1" vm="29">
        <f t="array" aca="1" ref="AB55" ca="1">Ver_flag_local</f>
        <v>#VALUE!</v>
      </c>
      <c r="AC55" s="50">
        <v>0</v>
      </c>
      <c r="AD55" s="51">
        <v>1</v>
      </c>
      <c r="AE55" s="595" t="e" cm="1" vm="27">
        <f t="array" aca="1" ref="AE55" ca="1">Ver_flag_visit</f>
        <v>#VALUE!</v>
      </c>
      <c r="AF55" s="32" t="str">
        <f ca="1">A54</f>
        <v>Egipto</v>
      </c>
      <c r="AG55" s="323">
        <f t="shared" si="162"/>
        <v>1</v>
      </c>
      <c r="AH55" s="195">
        <v>40</v>
      </c>
      <c r="AI55" s="181" t="str">
        <f t="shared" ref="AI55:AI57" si="166">AJ55&amp;$B$52</f>
        <v>2G</v>
      </c>
      <c r="AJ55" s="42">
        <v>2</v>
      </c>
      <c r="AK55" s="602" t="e" cm="1" vm="27">
        <f t="array" aca="1" ref="AK55" ca="1">Ver_flag_visit</f>
        <v>#VALUE!</v>
      </c>
      <c r="AL55" s="37" t="str">
        <f ca="1">IFERROR(INDEX($BD$6:$BD$53,MATCH(AI55,$BN$6:$BN$53,0)),"")</f>
        <v>Egipto</v>
      </c>
      <c r="AM55" s="38">
        <f t="shared" ca="1" si="165"/>
        <v>6</v>
      </c>
      <c r="AN55" s="39">
        <f t="shared" ca="1" si="165"/>
        <v>3</v>
      </c>
      <c r="AO55" s="39">
        <f t="shared" ca="1" si="165"/>
        <v>2</v>
      </c>
      <c r="AP55" s="39">
        <f t="shared" ca="1" si="165"/>
        <v>0</v>
      </c>
      <c r="AQ55" s="39">
        <f t="shared" ca="1" si="165"/>
        <v>1</v>
      </c>
      <c r="AR55" s="39">
        <f t="shared" ca="1" si="165"/>
        <v>2</v>
      </c>
      <c r="AS55" s="39">
        <f t="shared" ca="1" si="165"/>
        <v>2</v>
      </c>
      <c r="AT55" s="43">
        <f t="shared" ca="1" si="165"/>
        <v>0</v>
      </c>
      <c r="AU55" s="330">
        <f ca="1">INDEX($DL$6:$DL$53,MATCH(AI55,$DP$6:$DP$53,0))</f>
        <v>1</v>
      </c>
      <c r="AV55" s="182" t="str">
        <f ca="1">INDEX($BD$6:$BD$53,MATCH(AI55,$BM$6:$BM$53,0))</f>
        <v>Egipto</v>
      </c>
      <c r="AW55" s="210"/>
      <c r="AX55" s="171"/>
      <c r="AY55" s="203" t="str">
        <f ca="1">+A54</f>
        <v>Egipto</v>
      </c>
      <c r="AZ55" s="204"/>
      <c r="BA55" s="176"/>
    </row>
    <row r="56" spans="1:121" ht="16" customHeight="1">
      <c r="A56" s="16" t="str">
        <f ca="1">+Equipos!B29</f>
        <v>Nueva Zelanda</v>
      </c>
      <c r="B56" s="16"/>
      <c r="C56" s="16"/>
      <c r="D56" s="16" t="str">
        <f t="shared" si="149"/>
        <v>Local</v>
      </c>
      <c r="E56" s="16" t="str">
        <f t="shared" ca="1" si="150"/>
        <v>-</v>
      </c>
      <c r="F56" s="16" t="str">
        <f t="shared" ca="1" si="151"/>
        <v>-</v>
      </c>
      <c r="G56" s="16"/>
      <c r="H56" s="16" t="str">
        <f t="shared" ca="1" si="152"/>
        <v>-</v>
      </c>
      <c r="I56" s="16" t="str">
        <f t="shared" ca="1" si="153"/>
        <v>-</v>
      </c>
      <c r="J56" s="16"/>
      <c r="K56" s="16" t="str">
        <f t="shared" ca="1" si="154"/>
        <v>-</v>
      </c>
      <c r="L56" s="16" t="str">
        <f t="shared" ca="1" si="155"/>
        <v>-</v>
      </c>
      <c r="M56" s="16"/>
      <c r="N56" s="16" t="str">
        <f t="shared" ca="1" si="156"/>
        <v>-</v>
      </c>
      <c r="O56" s="16" t="str">
        <f t="shared" ca="1" si="157"/>
        <v>-</v>
      </c>
      <c r="P56" s="16"/>
      <c r="Q56" s="16" t="str">
        <f t="shared" ca="1" si="158"/>
        <v>-</v>
      </c>
      <c r="R56" s="16" t="str">
        <f t="shared" ca="1" si="159"/>
        <v>-</v>
      </c>
      <c r="S56" s="16"/>
      <c r="T56" s="16" t="str">
        <f t="shared" ca="1" si="160"/>
        <v>-</v>
      </c>
      <c r="U56" s="16" t="str">
        <f t="shared" ca="1" si="161"/>
        <v>-</v>
      </c>
      <c r="V56" s="17"/>
      <c r="W56" s="675"/>
      <c r="X56" s="24">
        <f ca="1">Horarios!C56</f>
        <v>46200.208333333336</v>
      </c>
      <c r="Y56" s="25">
        <f ca="1">Horarios!C56</f>
        <v>46200.208333333336</v>
      </c>
      <c r="Z56" s="26" t="str">
        <f>$Z$8</f>
        <v>J3</v>
      </c>
      <c r="AA56" s="27" t="str">
        <f ca="1">A54</f>
        <v>Egipto</v>
      </c>
      <c r="AB56" s="49" t="e" cm="1" vm="27">
        <f t="array" aca="1" ref="AB56" ca="1">Ver_flag_local</f>
        <v>#VALUE!</v>
      </c>
      <c r="AC56" s="50">
        <v>1</v>
      </c>
      <c r="AD56" s="51">
        <v>0</v>
      </c>
      <c r="AE56" s="595" t="e" cm="1" vm="28">
        <f t="array" aca="1" ref="AE56" ca="1">Ver_flag_visit</f>
        <v>#VALUE!</v>
      </c>
      <c r="AF56" s="32" t="str">
        <f ca="1">A55</f>
        <v>Irán</v>
      </c>
      <c r="AG56" s="323">
        <f t="shared" si="162"/>
        <v>1</v>
      </c>
      <c r="AH56" s="195">
        <v>63</v>
      </c>
      <c r="AI56" s="181" t="str">
        <f t="shared" si="166"/>
        <v>3G</v>
      </c>
      <c r="AJ56" s="42">
        <v>3</v>
      </c>
      <c r="AK56" s="602" t="e" cm="1" vm="28">
        <f t="array" aca="1" ref="AK56" ca="1">Ver_flag_visit</f>
        <v>#VALUE!</v>
      </c>
      <c r="AL56" s="37" t="str">
        <f ca="1">IFERROR(INDEX($BD$6:$BD$53,MATCH(AI56,$BN$6:$BN$53,0)),"")</f>
        <v>Irán</v>
      </c>
      <c r="AM56" s="38">
        <f t="shared" ca="1" si="165"/>
        <v>3</v>
      </c>
      <c r="AN56" s="39">
        <f t="shared" ca="1" si="165"/>
        <v>3</v>
      </c>
      <c r="AO56" s="39">
        <f t="shared" ca="1" si="165"/>
        <v>1</v>
      </c>
      <c r="AP56" s="39">
        <f t="shared" ca="1" si="165"/>
        <v>0</v>
      </c>
      <c r="AQ56" s="39">
        <f t="shared" ca="1" si="165"/>
        <v>2</v>
      </c>
      <c r="AR56" s="39">
        <f t="shared" ca="1" si="165"/>
        <v>1</v>
      </c>
      <c r="AS56" s="39">
        <f t="shared" ca="1" si="165"/>
        <v>2</v>
      </c>
      <c r="AT56" s="43">
        <f t="shared" ca="1" si="165"/>
        <v>-1</v>
      </c>
      <c r="AU56" s="330">
        <f ca="1">INDEX($DL$6:$DL$53,MATCH(AI56,$DP$6:$DP$53,0))</f>
        <v>1</v>
      </c>
      <c r="AV56" s="182" t="str">
        <f ca="1">INDEX($BD$6:$BD$53,MATCH(AI56,$BM$6:$BM$53,0))</f>
        <v>Irán</v>
      </c>
      <c r="AW56" s="210"/>
      <c r="AX56" s="171"/>
      <c r="AY56" s="201" t="str">
        <f ca="1">+A55</f>
        <v>Irán</v>
      </c>
      <c r="AZ56" s="202"/>
      <c r="BA56" s="176"/>
      <c r="BB56" s="16" t="s">
        <v>1488</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v>
      </c>
      <c r="G57" s="16"/>
      <c r="H57" s="16" t="str">
        <f t="shared" ca="1" si="152"/>
        <v>-</v>
      </c>
      <c r="I57" s="16" t="str">
        <f t="shared" ca="1" si="153"/>
        <v>-</v>
      </c>
      <c r="J57" s="16"/>
      <c r="K57" s="16" t="str">
        <f t="shared" ca="1" si="154"/>
        <v>-</v>
      </c>
      <c r="L57" s="16" t="str">
        <f t="shared" ca="1" si="155"/>
        <v>-</v>
      </c>
      <c r="M57" s="16"/>
      <c r="N57" s="16" t="str">
        <f t="shared" ca="1" si="156"/>
        <v>-</v>
      </c>
      <c r="O57" s="16" t="str">
        <f t="shared" ca="1" si="157"/>
        <v>-</v>
      </c>
      <c r="P57" s="16"/>
      <c r="Q57" s="16" t="str">
        <f t="shared" ca="1" si="158"/>
        <v>-</v>
      </c>
      <c r="R57" s="16" t="str">
        <f t="shared" ca="1" si="159"/>
        <v>-</v>
      </c>
      <c r="S57" s="16"/>
      <c r="T57" s="16" t="str">
        <f t="shared" ca="1" si="160"/>
        <v>-</v>
      </c>
      <c r="U57" s="16" t="str">
        <f t="shared" ca="1" si="161"/>
        <v>-</v>
      </c>
      <c r="V57" s="17"/>
      <c r="W57" s="676"/>
      <c r="X57" s="28">
        <f ca="1">Horarios!C57</f>
        <v>46200.208333333336</v>
      </c>
      <c r="Y57" s="29">
        <f ca="1">Horarios!C57</f>
        <v>46200.208333333336</v>
      </c>
      <c r="Z57" s="30" t="str">
        <f>$Z$8</f>
        <v>J3</v>
      </c>
      <c r="AA57" s="31" t="str">
        <f ca="1">A56</f>
        <v>Nueva Zelanda</v>
      </c>
      <c r="AB57" s="52" t="e" cm="1" vm="29">
        <f t="array" aca="1" ref="AB57" ca="1">Ver_flag_local</f>
        <v>#VALUE!</v>
      </c>
      <c r="AC57" s="53">
        <v>0</v>
      </c>
      <c r="AD57" s="54">
        <v>2</v>
      </c>
      <c r="AE57" s="596" t="e" cm="1" vm="26">
        <f t="array" aca="1" ref="AE57" ca="1">Ver_flag_visit</f>
        <v>#VALUE!</v>
      </c>
      <c r="AF57" s="33" t="str">
        <f ca="1">A53</f>
        <v>Bélgica</v>
      </c>
      <c r="AG57" s="323">
        <f t="shared" si="162"/>
        <v>1</v>
      </c>
      <c r="AH57" s="195">
        <v>64</v>
      </c>
      <c r="AI57" s="181" t="str">
        <f t="shared" si="166"/>
        <v>4G</v>
      </c>
      <c r="AJ57" s="44">
        <v>4</v>
      </c>
      <c r="AK57" s="604" t="e" cm="1" vm="29">
        <f t="array" aca="1" ref="AK57" ca="1">Ver_flag_visit</f>
        <v>#VALUE!</v>
      </c>
      <c r="AL57" s="45" t="str">
        <f ca="1">IFERROR(INDEX($BD$6:$BD$53,MATCH(AI57,$BN$6:$BN$53,0)),"")</f>
        <v>Nueva Zelanda</v>
      </c>
      <c r="AM57" s="46">
        <f t="shared" ca="1" si="165"/>
        <v>0</v>
      </c>
      <c r="AN57" s="47">
        <f t="shared" ca="1" si="165"/>
        <v>3</v>
      </c>
      <c r="AO57" s="47">
        <f t="shared" ca="1" si="165"/>
        <v>0</v>
      </c>
      <c r="AP57" s="47">
        <f t="shared" ca="1" si="165"/>
        <v>0</v>
      </c>
      <c r="AQ57" s="47">
        <f t="shared" ca="1" si="165"/>
        <v>3</v>
      </c>
      <c r="AR57" s="47">
        <f t="shared" ca="1" si="165"/>
        <v>0</v>
      </c>
      <c r="AS57" s="47">
        <f t="shared" ca="1" si="165"/>
        <v>4</v>
      </c>
      <c r="AT57" s="48">
        <f t="shared" ca="1" si="165"/>
        <v>-4</v>
      </c>
      <c r="AU57" s="330">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625</v>
      </c>
      <c r="BS57" s="16" t="s">
        <v>628</v>
      </c>
      <c r="BT57" s="16" t="s">
        <v>626</v>
      </c>
      <c r="BU57" s="16" t="s">
        <v>68</v>
      </c>
      <c r="BV57" s="16" t="s">
        <v>629</v>
      </c>
      <c r="BW57" s="16" t="s">
        <v>627</v>
      </c>
      <c r="BX57" s="16" t="s">
        <v>8</v>
      </c>
      <c r="BY57" s="16" t="s">
        <v>630</v>
      </c>
      <c r="BZ57" s="16" t="s">
        <v>631</v>
      </c>
      <c r="CA57" s="16" t="s">
        <v>638</v>
      </c>
      <c r="CB57" s="16" t="s">
        <v>639</v>
      </c>
      <c r="CC57" s="16"/>
      <c r="CD57" s="16" t="s">
        <v>640</v>
      </c>
      <c r="CE57" s="16" t="s">
        <v>641</v>
      </c>
      <c r="CF57" s="16" t="s">
        <v>642</v>
      </c>
      <c r="DJ57" s="16" t="s">
        <v>663</v>
      </c>
      <c r="DK57" s="16"/>
      <c r="DL57" s="16" t="s">
        <v>664</v>
      </c>
      <c r="DM57" s="16" t="s">
        <v>665</v>
      </c>
      <c r="DN57" s="16" t="s">
        <v>666</v>
      </c>
      <c r="DO57" s="16"/>
      <c r="DP57" s="16" t="s">
        <v>773</v>
      </c>
      <c r="DQ57" s="16" t="s">
        <v>774</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ca="1">+BJ58-BK58</f>
        <v>-1</v>
      </c>
      <c r="BM58" s="16">
        <f ca="1">CB58</f>
        <v>6</v>
      </c>
      <c r="BN58" s="16">
        <f ca="1">CF58</f>
        <v>6</v>
      </c>
      <c r="BO58" s="16" t="str">
        <f t="shared" ref="BO58:BO69" si="174">"4"&amp;BC58</f>
        <v>4A</v>
      </c>
      <c r="BP58" s="16"/>
      <c r="BQ58" s="16"/>
      <c r="BR58" s="16">
        <f t="shared" ref="BR58:BR69" ca="1" si="175">+BE58</f>
        <v>3</v>
      </c>
      <c r="BS58" s="16">
        <f ca="1">COUNTIFS(BR$58:BR$69,"&gt;"&amp;BR58)+1</f>
        <v>5</v>
      </c>
      <c r="BT58" s="16" t="str">
        <f ca="1">IF(COUNTIF(BS$58:BS$69,BS58)=1,"-","Pos. "&amp;BS58&amp;" ("&amp;COUNTIF(BS$58:BS$69,BS58)&amp;")")</f>
        <v>Pos. 5 (6)</v>
      </c>
      <c r="BU58" s="16">
        <f t="shared" ref="BU58:BU69" ca="1" si="176">IF(BT58="-","-",BL58)</f>
        <v>-1</v>
      </c>
      <c r="BV58" s="16">
        <f t="shared" ref="BV58:BV69" ca="1" si="177">BS58+COUNTIFS(BT$58:BT$69,BT58,BU$58:BU$69,"&gt;"&amp;BU58)</f>
        <v>6</v>
      </c>
      <c r="BW58" s="16" t="str">
        <f t="shared" ref="BW58:BW69" ca="1" si="178">IF(COUNTIF(BV$58:BV$69,BV58)=1,"-","Pos. "&amp;BV58&amp;" ("&amp;COUNTIF(BV$58:BV$69,BV58)&amp;")")</f>
        <v>Pos. 6 (3)</v>
      </c>
      <c r="BX58" s="16">
        <f t="shared" ref="BX58:BX69" ca="1" si="179">IF(BW58="-","-",BJ58)</f>
        <v>4</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Paraguay</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3</v>
      </c>
      <c r="BF59" s="16">
        <f t="shared" ref="BF59:BF69" ca="1" si="189">+BG59+BH59+BI59</f>
        <v>3</v>
      </c>
      <c r="BG59" s="16">
        <f t="shared" ca="1" si="169"/>
        <v>1</v>
      </c>
      <c r="BH59" s="16">
        <f t="shared" ca="1" si="170"/>
        <v>0</v>
      </c>
      <c r="BI59" s="16">
        <f t="shared" ca="1" si="171"/>
        <v>2</v>
      </c>
      <c r="BJ59" s="16">
        <f t="shared" ca="1" si="172"/>
        <v>2</v>
      </c>
      <c r="BK59" s="16">
        <f t="shared" ca="1" si="173"/>
        <v>3</v>
      </c>
      <c r="BL59" s="16">
        <f t="shared" ref="BL59:BL69" ca="1" si="190">+BJ59-BK59</f>
        <v>-1</v>
      </c>
      <c r="BM59" s="16">
        <f t="shared" ref="BM59:BM69" ca="1" si="191">CB59</f>
        <v>7</v>
      </c>
      <c r="BN59" s="16">
        <f t="shared" ref="BN59:BN69" ca="1" si="192">CF59</f>
        <v>7</v>
      </c>
      <c r="BO59" s="16" t="str">
        <f t="shared" si="174"/>
        <v>4B</v>
      </c>
      <c r="BP59" s="16"/>
      <c r="BQ59" s="16"/>
      <c r="BR59" s="16">
        <f t="shared" ca="1" si="175"/>
        <v>3</v>
      </c>
      <c r="BS59" s="16">
        <f t="shared" ref="BS59:BS69" ca="1" si="193">COUNTIFS(BR$58:BR$69,"&gt;"&amp;BR59)+1</f>
        <v>5</v>
      </c>
      <c r="BT59" s="16" t="str">
        <f t="shared" ref="BT59:BT69" ca="1" si="194">IF(COUNTIF(BS$58:BS$69,BS59)=1,"-","Pos. "&amp;BS59&amp;" ("&amp;COUNTIF(BS$58:BS$69,BS59)&amp;")")</f>
        <v>Pos. 5 (6)</v>
      </c>
      <c r="BU59" s="16">
        <f t="shared" ca="1" si="176"/>
        <v>-1</v>
      </c>
      <c r="BV59" s="16">
        <f t="shared" ca="1" si="177"/>
        <v>6</v>
      </c>
      <c r="BW59" s="16" t="str">
        <f t="shared" ca="1" si="178"/>
        <v>Pos. 6 (3)</v>
      </c>
      <c r="BX59" s="16">
        <f t="shared" ca="1" si="179"/>
        <v>2</v>
      </c>
      <c r="BY59" s="16">
        <f t="shared" ca="1" si="180"/>
        <v>7</v>
      </c>
      <c r="BZ59" s="16" t="str">
        <f t="shared" ca="1" si="181"/>
        <v>-</v>
      </c>
      <c r="CA59" s="16" t="str">
        <f t="shared" ca="1" si="182"/>
        <v>-</v>
      </c>
      <c r="CB59" s="16">
        <f t="shared" ref="CB59:CB68" ca="1" si="195">BY59+COUNTIFS(BZ$58:BZ$69,BZ59,CA$58:CA$69,"&gt;"&amp;CA59)</f>
        <v>7</v>
      </c>
      <c r="CC59" s="16"/>
      <c r="CD59" s="16">
        <f t="shared" ca="1" si="183"/>
        <v>7</v>
      </c>
      <c r="CE59" s="16" t="str">
        <f t="shared" ref="CE59:CE69" ca="1" si="196">IF(BZ59="-","-",COUNTIF(CD$58:CD$69,"&lt;"&amp;CD59))</f>
        <v>-</v>
      </c>
      <c r="CF59" s="16">
        <f t="shared" ref="CF59:CF69" ca="1" si="197">BY59+COUNTIFS(BZ$58:BZ$69,BZ59,CE$58:CE$69,"&lt;"&amp;CE59)</f>
        <v>7</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Ecuador</v>
      </c>
    </row>
    <row r="60" spans="1:121" ht="16" customHeight="1" thickBot="1">
      <c r="A60" s="16" t="s">
        <v>32</v>
      </c>
      <c r="B60" s="16" t="s">
        <v>447</v>
      </c>
      <c r="C60" s="16">
        <f>COUNTIF(Equipos!$C$2:$C$49,WORLDCUP!B60)</f>
        <v>4</v>
      </c>
      <c r="D60" s="16" t="str">
        <f t="shared" ref="D60:D65" si="199">IF(OR(AC60="",AD60=""),"Pendiente",IF(AC60&gt;AD60,"Local",IF(AC60&lt;AD60,"Visitante","Empate")))</f>
        <v>Local</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57" t="s">
        <v>447</v>
      </c>
      <c r="X60" s="24">
        <f ca="1">Horarios!C60</f>
        <v>46188.75</v>
      </c>
      <c r="Y60" s="25">
        <f ca="1">Horarios!C60</f>
        <v>46188.75</v>
      </c>
      <c r="Z60" s="26" t="str">
        <f>$Z$4</f>
        <v>J1</v>
      </c>
      <c r="AA60" s="27" t="str">
        <f ca="1">A61</f>
        <v>España</v>
      </c>
      <c r="AB60" s="49" t="e" cm="1" vm="30">
        <f t="array" aca="1" ref="AB60" ca="1">Ver_flag_local</f>
        <v>#VALUE!</v>
      </c>
      <c r="AC60" s="50">
        <v>3</v>
      </c>
      <c r="AD60" s="51">
        <v>1</v>
      </c>
      <c r="AE60" s="595" t="e" cm="1" vm="31">
        <f t="array" aca="1" ref="AE60" ca="1">Ver_flag_visit</f>
        <v>#VALUE!</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4</v>
      </c>
      <c r="BK60" s="16">
        <f t="shared" ca="1" si="173"/>
        <v>7</v>
      </c>
      <c r="BL60" s="16">
        <f t="shared" ca="1" si="190"/>
        <v>-3</v>
      </c>
      <c r="BM60" s="16">
        <f t="shared" ca="1" si="191"/>
        <v>9</v>
      </c>
      <c r="BN60" s="16">
        <f t="shared" ca="1" si="192"/>
        <v>9</v>
      </c>
      <c r="BO60" s="16" t="str">
        <f t="shared" si="174"/>
        <v>4C</v>
      </c>
      <c r="BP60" s="16"/>
      <c r="BQ60" s="16"/>
      <c r="BR60" s="16">
        <f t="shared" ca="1" si="175"/>
        <v>3</v>
      </c>
      <c r="BS60" s="16">
        <f t="shared" ca="1" si="193"/>
        <v>5</v>
      </c>
      <c r="BT60" s="16" t="str">
        <f t="shared" ca="1" si="194"/>
        <v>Pos. 5 (6)</v>
      </c>
      <c r="BU60" s="16">
        <f t="shared" ca="1" si="176"/>
        <v>-3</v>
      </c>
      <c r="BV60" s="16">
        <f t="shared" ca="1" si="177"/>
        <v>9</v>
      </c>
      <c r="BW60" s="16" t="str">
        <f t="shared" ca="1" si="178"/>
        <v>-</v>
      </c>
      <c r="BX60" s="16" t="str">
        <f t="shared" ca="1" si="179"/>
        <v>-</v>
      </c>
      <c r="BY60" s="16">
        <f t="shared" ca="1" si="180"/>
        <v>9</v>
      </c>
      <c r="BZ60" s="16" t="str">
        <f t="shared" ca="1" si="181"/>
        <v>-</v>
      </c>
      <c r="CA60" s="16" t="str">
        <f t="shared" ca="1" si="182"/>
        <v>-</v>
      </c>
      <c r="CB60" s="16">
        <f t="shared" ca="1" si="195"/>
        <v>9</v>
      </c>
      <c r="CC60" s="16"/>
      <c r="CD60" s="16">
        <f t="shared" ca="1" si="183"/>
        <v>9</v>
      </c>
      <c r="CE60" s="16" t="str">
        <f t="shared" ca="1" si="196"/>
        <v>-</v>
      </c>
      <c r="CF60" s="16">
        <f t="shared" ca="1" si="197"/>
        <v>9</v>
      </c>
      <c r="DJ60" s="16">
        <f t="shared" ca="1" si="184"/>
        <v>3</v>
      </c>
      <c r="DK60" s="16"/>
      <c r="DL60" s="16">
        <f t="shared" ca="1" si="185"/>
        <v>2</v>
      </c>
      <c r="DM60" s="16" t="str">
        <f t="shared" ca="1" si="186"/>
        <v>3.2</v>
      </c>
      <c r="DN60" s="16" t="e" cm="1" vm="5">
        <f t="array" aca="1" ref="DN60" ca="1">OFFSET(Horarios!$P$3,DJ60-1,0,DL60,1)</f>
        <v>#VALUE!</v>
      </c>
      <c r="DO60" s="16"/>
      <c r="DP60" s="16">
        <v>3</v>
      </c>
      <c r="DQ60" s="16" t="str">
        <f t="shared" ca="1" si="198"/>
        <v>Ghana</v>
      </c>
    </row>
    <row r="61" spans="1:121" ht="16" customHeight="1">
      <c r="A61" s="16" t="str">
        <f ca="1">+Equipos!B30</f>
        <v>España</v>
      </c>
      <c r="B61" s="16"/>
      <c r="C61" s="16"/>
      <c r="D61" s="16" t="str">
        <f t="shared" si="199"/>
        <v>Empate</v>
      </c>
      <c r="E61" s="16" t="str">
        <f t="shared" ca="1" si="200"/>
        <v>-</v>
      </c>
      <c r="F61" s="16" t="str">
        <f t="shared" ca="1" si="201"/>
        <v>-</v>
      </c>
      <c r="G61" s="16"/>
      <c r="H61" s="16" t="str">
        <f t="shared" ca="1" si="202"/>
        <v>-</v>
      </c>
      <c r="I61" s="16" t="str">
        <f t="shared" ca="1" si="203"/>
        <v>-</v>
      </c>
      <c r="J61" s="16"/>
      <c r="K61" s="16" t="str">
        <f t="shared" ca="1" si="204"/>
        <v>-</v>
      </c>
      <c r="L61" s="16" t="str">
        <f t="shared" ca="1" si="205"/>
        <v>-</v>
      </c>
      <c r="M61" s="16"/>
      <c r="N61" s="16" t="str">
        <f t="shared" ca="1" si="206"/>
        <v>-</v>
      </c>
      <c r="O61" s="16" t="str">
        <f t="shared" ca="1" si="207"/>
        <v>-</v>
      </c>
      <c r="P61" s="16"/>
      <c r="Q61" s="16" t="str">
        <f t="shared" ca="1" si="208"/>
        <v>-</v>
      </c>
      <c r="R61" s="16" t="str">
        <f t="shared" ca="1" si="209"/>
        <v>-</v>
      </c>
      <c r="S61" s="16"/>
      <c r="T61" s="16" t="str">
        <f t="shared" ca="1" si="210"/>
        <v>-</v>
      </c>
      <c r="U61" s="16" t="str">
        <f t="shared" ca="1" si="211"/>
        <v>-</v>
      </c>
      <c r="V61" s="17"/>
      <c r="W61" s="657"/>
      <c r="X61" s="24">
        <f ca="1">Horarios!C61</f>
        <v>46189</v>
      </c>
      <c r="Y61" s="25">
        <f ca="1">Horarios!C61</f>
        <v>46189</v>
      </c>
      <c r="Z61" s="26" t="str">
        <f>$Z$4</f>
        <v>J1</v>
      </c>
      <c r="AA61" s="27" t="str">
        <f ca="1">A63</f>
        <v>Arabia Saudita</v>
      </c>
      <c r="AB61" s="49" t="e" cm="1" vm="32">
        <f t="array" aca="1" ref="AB61" ca="1">Ver_flag_local</f>
        <v>#VALUE!</v>
      </c>
      <c r="AC61" s="50">
        <v>1</v>
      </c>
      <c r="AD61" s="51">
        <v>1</v>
      </c>
      <c r="AE61" s="595" t="e" cm="1" vm="33">
        <f t="array" aca="1" ref="AE61" ca="1">Ver_flag_visit</f>
        <v>#VALUE!</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Paraguay</v>
      </c>
      <c r="BE61" s="16">
        <f t="shared" ca="1" si="188"/>
        <v>5</v>
      </c>
      <c r="BF61" s="16">
        <f t="shared" ca="1" si="189"/>
        <v>3</v>
      </c>
      <c r="BG61" s="16">
        <f t="shared" ca="1" si="169"/>
        <v>1</v>
      </c>
      <c r="BH61" s="16">
        <f t="shared" ca="1" si="170"/>
        <v>2</v>
      </c>
      <c r="BI61" s="16">
        <f t="shared" ca="1" si="171"/>
        <v>0</v>
      </c>
      <c r="BJ61" s="16">
        <f t="shared" ca="1" si="172"/>
        <v>5</v>
      </c>
      <c r="BK61" s="16">
        <f t="shared" ca="1" si="173"/>
        <v>4</v>
      </c>
      <c r="BL61" s="16">
        <f t="shared" ca="1" si="190"/>
        <v>1</v>
      </c>
      <c r="BM61" s="16">
        <f t="shared" ca="1" si="191"/>
        <v>1</v>
      </c>
      <c r="BN61" s="16">
        <f t="shared" ca="1" si="192"/>
        <v>1</v>
      </c>
      <c r="BO61" s="16" t="str">
        <f t="shared" si="174"/>
        <v>4D</v>
      </c>
      <c r="BP61" s="16"/>
      <c r="BQ61" s="16"/>
      <c r="BR61" s="16">
        <f t="shared" ca="1" si="175"/>
        <v>5</v>
      </c>
      <c r="BS61" s="16">
        <f t="shared" ca="1" si="193"/>
        <v>1</v>
      </c>
      <c r="BT61" s="16" t="str">
        <f t="shared" ca="1" si="194"/>
        <v>-</v>
      </c>
      <c r="BU61" s="16" t="str">
        <f t="shared" ca="1" si="176"/>
        <v>-</v>
      </c>
      <c r="BV61" s="16">
        <f t="shared" ca="1" si="177"/>
        <v>1</v>
      </c>
      <c r="BW61" s="16" t="str">
        <f t="shared" ca="1" si="178"/>
        <v>-</v>
      </c>
      <c r="BX61" s="16" t="str">
        <f t="shared" ca="1" si="179"/>
        <v>-</v>
      </c>
      <c r="BY61" s="16">
        <f t="shared" ca="1" si="180"/>
        <v>1</v>
      </c>
      <c r="BZ61" s="16" t="str">
        <f t="shared" ca="1" si="181"/>
        <v>-</v>
      </c>
      <c r="CA61" s="16" t="str">
        <f t="shared" ca="1" si="182"/>
        <v>-</v>
      </c>
      <c r="CB61" s="16">
        <f t="shared" ca="1" si="195"/>
        <v>1</v>
      </c>
      <c r="CC61" s="16"/>
      <c r="CD61" s="16">
        <f t="shared" ca="1" si="183"/>
        <v>1</v>
      </c>
      <c r="CE61" s="16" t="str">
        <f t="shared" ca="1" si="196"/>
        <v>-</v>
      </c>
      <c r="CF61" s="16">
        <f t="shared" ca="1" si="197"/>
        <v>1</v>
      </c>
      <c r="DJ61" s="16">
        <f t="shared" ca="1" si="184"/>
        <v>3</v>
      </c>
      <c r="DK61" s="16"/>
      <c r="DL61" s="16">
        <f t="shared" ca="1" si="185"/>
        <v>2</v>
      </c>
      <c r="DM61" s="16" t="str">
        <f t="shared" ca="1" si="186"/>
        <v>3.2</v>
      </c>
      <c r="DN61" s="16" t="e" cm="1" vm="5">
        <f t="array" aca="1" ref="DN61" ca="1">OFFSET(Horarios!$P$3,DJ61-1,0,DL61,1)</f>
        <v>#VALUE!</v>
      </c>
      <c r="DO61" s="16"/>
      <c r="DP61" s="16">
        <v>4</v>
      </c>
      <c r="DQ61" s="16" t="str">
        <f t="shared" ca="1" si="198"/>
        <v>Suecia</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57"/>
      <c r="X62" s="24">
        <f ca="1">Horarios!C62</f>
        <v>46194.75</v>
      </c>
      <c r="Y62" s="25">
        <f ca="1">Horarios!C62</f>
        <v>46194.75</v>
      </c>
      <c r="Z62" s="26" t="str">
        <f>$Z$6</f>
        <v>J2</v>
      </c>
      <c r="AA62" s="27" t="str">
        <f ca="1">A61</f>
        <v>España</v>
      </c>
      <c r="AB62" s="49" t="e" cm="1" vm="30">
        <f t="array" aca="1" ref="AB62" ca="1">Ver_flag_local</f>
        <v>#VALUE!</v>
      </c>
      <c r="AC62" s="50">
        <v>1</v>
      </c>
      <c r="AD62" s="51">
        <v>0</v>
      </c>
      <c r="AE62" s="595" t="e" cm="1" vm="32">
        <f t="array" aca="1" ref="AE62" ca="1">Ver_flag_visit</f>
        <v>#VALUE!</v>
      </c>
      <c r="AF62" s="32" t="str">
        <f ca="1">A63</f>
        <v>Arabia Saudita</v>
      </c>
      <c r="AG62" s="323">
        <f t="shared" si="212"/>
        <v>1</v>
      </c>
      <c r="AH62" s="195">
        <v>38</v>
      </c>
      <c r="AI62" s="181" t="str">
        <f>AJ62&amp;$B$60</f>
        <v>1H</v>
      </c>
      <c r="AJ62" s="40">
        <v>1</v>
      </c>
      <c r="AK62" s="601" t="e" cm="1" vm="30">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6</v>
      </c>
      <c r="AS62" s="36">
        <f t="shared" ca="1" si="215"/>
        <v>3</v>
      </c>
      <c r="AT62" s="41">
        <f t="shared" ca="1" si="215"/>
        <v>3</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6</v>
      </c>
      <c r="BK62" s="16">
        <f t="shared" ca="1" si="173"/>
        <v>5</v>
      </c>
      <c r="BL62" s="16">
        <f t="shared" ca="1" si="190"/>
        <v>1</v>
      </c>
      <c r="BM62" s="16">
        <f t="shared" ca="1" si="191"/>
        <v>2</v>
      </c>
      <c r="BN62" s="16">
        <f t="shared" ca="1" si="192"/>
        <v>2</v>
      </c>
      <c r="BO62" s="16" t="str">
        <f t="shared" si="174"/>
        <v>4E</v>
      </c>
      <c r="BP62" s="16"/>
      <c r="BQ62" s="16"/>
      <c r="BR62" s="16">
        <f t="shared" ca="1" si="175"/>
        <v>4</v>
      </c>
      <c r="BS62" s="16">
        <f t="shared" ca="1" si="193"/>
        <v>2</v>
      </c>
      <c r="BT62" s="16" t="str">
        <f t="shared" ca="1" si="194"/>
        <v>Pos. 2 (3)</v>
      </c>
      <c r="BU62" s="16">
        <f t="shared" ca="1" si="176"/>
        <v>1</v>
      </c>
      <c r="BV62" s="16">
        <f t="shared" ca="1" si="177"/>
        <v>2</v>
      </c>
      <c r="BW62" s="16" t="str">
        <f t="shared" ca="1" si="178"/>
        <v>-</v>
      </c>
      <c r="BX62" s="16" t="str">
        <f t="shared" ca="1" si="179"/>
        <v>-</v>
      </c>
      <c r="BY62" s="16">
        <f t="shared" ca="1" si="180"/>
        <v>2</v>
      </c>
      <c r="BZ62" s="16" t="str">
        <f t="shared" ca="1" si="181"/>
        <v>-</v>
      </c>
      <c r="CA62" s="16" t="str">
        <f t="shared" ca="1" si="182"/>
        <v>-</v>
      </c>
      <c r="CB62" s="16">
        <f t="shared" ca="1" si="195"/>
        <v>2</v>
      </c>
      <c r="CC62" s="16"/>
      <c r="CD62" s="16">
        <f t="shared" ca="1" si="183"/>
        <v>2</v>
      </c>
      <c r="CE62" s="16" t="str">
        <f t="shared" ca="1" si="196"/>
        <v>-</v>
      </c>
      <c r="CF62" s="16">
        <f t="shared" ca="1" si="197"/>
        <v>2</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Senegal</v>
      </c>
    </row>
    <row r="63" spans="1:121" ht="16" customHeight="1">
      <c r="A63" s="16" t="str">
        <f ca="1">+Equipos!B32</f>
        <v>Arabia Saudita</v>
      </c>
      <c r="B63" s="16"/>
      <c r="C63" s="16"/>
      <c r="D63" s="16" t="str">
        <f t="shared" si="199"/>
        <v>Local</v>
      </c>
      <c r="E63" s="16" t="str">
        <f t="shared" ca="1" si="200"/>
        <v>-</v>
      </c>
      <c r="F63" s="16" t="str">
        <f t="shared" ca="1" si="201"/>
        <v>-</v>
      </c>
      <c r="G63" s="16"/>
      <c r="H63" s="16" t="str">
        <f t="shared" ca="1" si="202"/>
        <v>-</v>
      </c>
      <c r="I63" s="16" t="str">
        <f t="shared" ca="1" si="203"/>
        <v>-</v>
      </c>
      <c r="J63" s="16"/>
      <c r="K63" s="16" t="str">
        <f t="shared" ca="1" si="204"/>
        <v>-</v>
      </c>
      <c r="L63" s="16" t="str">
        <f t="shared" ca="1" si="205"/>
        <v>-</v>
      </c>
      <c r="M63" s="16"/>
      <c r="N63" s="16" t="str">
        <f t="shared" ca="1" si="206"/>
        <v>-</v>
      </c>
      <c r="O63" s="16" t="str">
        <f t="shared" ca="1" si="207"/>
        <v>-</v>
      </c>
      <c r="P63" s="16"/>
      <c r="Q63" s="16" t="str">
        <f t="shared" ca="1" si="208"/>
        <v>-</v>
      </c>
      <c r="R63" s="16" t="str">
        <f t="shared" ca="1" si="209"/>
        <v>-</v>
      </c>
      <c r="S63" s="16"/>
      <c r="T63" s="16" t="str">
        <f t="shared" ca="1" si="210"/>
        <v>-</v>
      </c>
      <c r="U63" s="16" t="str">
        <f t="shared" ca="1" si="211"/>
        <v>-</v>
      </c>
      <c r="V63" s="17"/>
      <c r="W63" s="657"/>
      <c r="X63" s="24">
        <f ca="1">Horarios!C63</f>
        <v>46195</v>
      </c>
      <c r="Y63" s="25">
        <f ca="1">Horarios!C63</f>
        <v>46195</v>
      </c>
      <c r="Z63" s="26" t="str">
        <f>$Z$6</f>
        <v>J2</v>
      </c>
      <c r="AA63" s="27" t="str">
        <f ca="1">A64</f>
        <v>Uruguay</v>
      </c>
      <c r="AB63" s="49" t="e" cm="1" vm="33">
        <f t="array" aca="1" ref="AB63" ca="1">Ver_flag_local</f>
        <v>#VALUE!</v>
      </c>
      <c r="AC63" s="50">
        <v>1</v>
      </c>
      <c r="AD63" s="51">
        <v>0</v>
      </c>
      <c r="AE63" s="595" t="e" cm="1" vm="31">
        <f t="array" aca="1" ref="AE63" ca="1">Ver_flag_visit</f>
        <v>#VALUE!</v>
      </c>
      <c r="AF63" s="32" t="str">
        <f ca="1">A62</f>
        <v>Cabo Verde</v>
      </c>
      <c r="AG63" s="323">
        <f t="shared" si="212"/>
        <v>1</v>
      </c>
      <c r="AH63" s="195">
        <v>37</v>
      </c>
      <c r="AI63" s="181" t="str">
        <f t="shared" ref="AI63:AI65" si="216">AJ63&amp;$B$60</f>
        <v>2H</v>
      </c>
      <c r="AJ63" s="42">
        <v>2</v>
      </c>
      <c r="AK63" s="602" t="e" cm="1" vm="33">
        <f t="array" aca="1" ref="AK63" ca="1">Ver_flag_visit</f>
        <v>#VALUE!</v>
      </c>
      <c r="AL63" s="37" t="str">
        <f ca="1">IFERROR(INDEX($BD$6:$BD$53,MATCH(AI63,$BN$6:$BN$53,0)),"")</f>
        <v>Uruguay</v>
      </c>
      <c r="AM63" s="38">
        <f t="shared" ca="1" si="215"/>
        <v>5</v>
      </c>
      <c r="AN63" s="39">
        <f t="shared" ca="1" si="215"/>
        <v>3</v>
      </c>
      <c r="AO63" s="39">
        <f t="shared" ca="1" si="215"/>
        <v>1</v>
      </c>
      <c r="AP63" s="39">
        <f t="shared" ca="1" si="215"/>
        <v>2</v>
      </c>
      <c r="AQ63" s="39">
        <f t="shared" ca="1" si="215"/>
        <v>0</v>
      </c>
      <c r="AR63" s="39">
        <f t="shared" ca="1" si="215"/>
        <v>4</v>
      </c>
      <c r="AS63" s="39">
        <f t="shared" ca="1" si="215"/>
        <v>3</v>
      </c>
      <c r="AT63" s="43">
        <f t="shared" ca="1" si="215"/>
        <v>1</v>
      </c>
      <c r="AU63" s="330">
        <f ca="1">INDEX($DL$6:$DL$53,MATCH(AI63,$DP$6:$DP$53,0))</f>
        <v>1</v>
      </c>
      <c r="AV63" s="182" t="str">
        <f ca="1">INDEX($BD$6:$BD$53,MATCH(AI63,$BM$6:$BM$53,0))</f>
        <v>Uruguay</v>
      </c>
      <c r="AW63" s="210"/>
      <c r="AX63" s="171"/>
      <c r="AY63" s="203" t="str">
        <f ca="1">+A62</f>
        <v>Cabo Verde</v>
      </c>
      <c r="AZ63" s="204"/>
      <c r="BA63" s="176"/>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3</v>
      </c>
      <c r="BK63" s="16">
        <f t="shared" ca="1" si="173"/>
        <v>4</v>
      </c>
      <c r="BL63" s="16">
        <f t="shared" ca="1" si="190"/>
        <v>-1</v>
      </c>
      <c r="BM63" s="16">
        <f t="shared" ca="1" si="191"/>
        <v>4</v>
      </c>
      <c r="BN63" s="16">
        <f t="shared" ca="1" si="192"/>
        <v>3</v>
      </c>
      <c r="BO63" s="16" t="str">
        <f t="shared" si="174"/>
        <v>4F</v>
      </c>
      <c r="BP63" s="16"/>
      <c r="BQ63" s="16"/>
      <c r="BR63" s="16">
        <f t="shared" ca="1" si="175"/>
        <v>4</v>
      </c>
      <c r="BS63" s="16">
        <f t="shared" ca="1" si="193"/>
        <v>2</v>
      </c>
      <c r="BT63" s="16" t="str">
        <f t="shared" ca="1" si="194"/>
        <v>Pos. 2 (3)</v>
      </c>
      <c r="BU63" s="16">
        <f t="shared" ca="1" si="176"/>
        <v>-1</v>
      </c>
      <c r="BV63" s="16">
        <f t="shared" ca="1" si="177"/>
        <v>3</v>
      </c>
      <c r="BW63" s="16" t="str">
        <f t="shared" ca="1" si="178"/>
        <v>Pos. 3 (2)</v>
      </c>
      <c r="BX63" s="16">
        <f t="shared" ca="1" si="179"/>
        <v>3</v>
      </c>
      <c r="BY63" s="16">
        <f t="shared" ca="1" si="180"/>
        <v>3</v>
      </c>
      <c r="BZ63" s="16" t="str">
        <f t="shared" ca="1" si="181"/>
        <v>Pos. 3 (2)</v>
      </c>
      <c r="CA63" s="16">
        <f t="shared" ca="1" si="182"/>
        <v>0</v>
      </c>
      <c r="CB63" s="16">
        <f t="shared" ca="1" si="195"/>
        <v>4</v>
      </c>
      <c r="CC63" s="16"/>
      <c r="CD63" s="16">
        <f t="shared" ca="1" si="183"/>
        <v>3.004</v>
      </c>
      <c r="CE63" s="16">
        <f t="shared" ca="1" si="196"/>
        <v>2</v>
      </c>
      <c r="CF63" s="16">
        <f t="shared" ca="1" si="197"/>
        <v>3</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República Checa</v>
      </c>
    </row>
    <row r="64" spans="1:121" ht="16" customHeight="1">
      <c r="A64" s="16" t="str">
        <f ca="1">+Equipos!B33</f>
        <v>Uruguay</v>
      </c>
      <c r="B64" s="16"/>
      <c r="C64" s="16"/>
      <c r="D64" s="16" t="str">
        <f t="shared" si="199"/>
        <v>Empate</v>
      </c>
      <c r="E64" s="16" t="str">
        <f t="shared" ca="1" si="200"/>
        <v>-</v>
      </c>
      <c r="F64" s="16" t="str">
        <f t="shared" ca="1" si="201"/>
        <v>-</v>
      </c>
      <c r="G64" s="16"/>
      <c r="H64" s="16" t="str">
        <f t="shared" ca="1" si="202"/>
        <v>-</v>
      </c>
      <c r="I64" s="16" t="str">
        <f t="shared" ca="1" si="203"/>
        <v>-</v>
      </c>
      <c r="J64" s="16"/>
      <c r="K64" s="16" t="str">
        <f t="shared" ca="1" si="204"/>
        <v>-</v>
      </c>
      <c r="L64" s="16" t="str">
        <f t="shared" ca="1" si="205"/>
        <v>-</v>
      </c>
      <c r="M64" s="16"/>
      <c r="N64" s="16" t="str">
        <f t="shared" ca="1" si="206"/>
        <v>-</v>
      </c>
      <c r="O64" s="16" t="str">
        <f t="shared" ca="1" si="207"/>
        <v>-</v>
      </c>
      <c r="P64" s="16"/>
      <c r="Q64" s="16" t="str">
        <f t="shared" ca="1" si="208"/>
        <v>-</v>
      </c>
      <c r="R64" s="16" t="str">
        <f t="shared" ca="1" si="209"/>
        <v>-</v>
      </c>
      <c r="S64" s="16"/>
      <c r="T64" s="16" t="str">
        <f t="shared" ca="1" si="210"/>
        <v>-</v>
      </c>
      <c r="U64" s="16" t="str">
        <f t="shared" ca="1" si="211"/>
        <v>-</v>
      </c>
      <c r="V64" s="17"/>
      <c r="W64" s="657"/>
      <c r="X64" s="24">
        <f ca="1">Horarios!C64</f>
        <v>46200.083333333336</v>
      </c>
      <c r="Y64" s="25">
        <f ca="1">Horarios!C64</f>
        <v>46200.083333333336</v>
      </c>
      <c r="Z64" s="26" t="str">
        <f>$Z$8</f>
        <v>J3</v>
      </c>
      <c r="AA64" s="27" t="str">
        <f ca="1">A62</f>
        <v>Cabo Verde</v>
      </c>
      <c r="AB64" s="49" t="e" cm="1" vm="31">
        <f t="array" aca="1" ref="AB64" ca="1">Ver_flag_local</f>
        <v>#VALUE!</v>
      </c>
      <c r="AC64" s="50">
        <v>1</v>
      </c>
      <c r="AD64" s="51">
        <v>1</v>
      </c>
      <c r="AE64" s="595" t="e" cm="1" vm="32">
        <f t="array" aca="1" ref="AE64" ca="1">Ver_flag_visit</f>
        <v>#VALUE!</v>
      </c>
      <c r="AF64" s="32" t="str">
        <f ca="1">A63</f>
        <v>Arabia Saudita</v>
      </c>
      <c r="AG64" s="323">
        <f t="shared" si="212"/>
        <v>1</v>
      </c>
      <c r="AH64" s="195">
        <v>65</v>
      </c>
      <c r="AI64" s="181" t="str">
        <f t="shared" si="216"/>
        <v>3H</v>
      </c>
      <c r="AJ64" s="42">
        <v>3</v>
      </c>
      <c r="AK64" s="602" t="e" cm="1" vm="32">
        <f t="array" aca="1" ref="AK64" ca="1">Ver_flag_visit</f>
        <v>#VALUE!</v>
      </c>
      <c r="AL64" s="37" t="str">
        <f ca="1">IFERROR(INDEX($BD$6:$BD$53,MATCH(AI64,$BN$6:$BN$53,0)),"")</f>
        <v>Arabia Saudita</v>
      </c>
      <c r="AM64" s="38">
        <f t="shared" ca="1" si="215"/>
        <v>2</v>
      </c>
      <c r="AN64" s="39">
        <f t="shared" ca="1" si="215"/>
        <v>3</v>
      </c>
      <c r="AO64" s="39">
        <f t="shared" ca="1" si="215"/>
        <v>0</v>
      </c>
      <c r="AP64" s="39">
        <f t="shared" ca="1" si="215"/>
        <v>2</v>
      </c>
      <c r="AQ64" s="39">
        <f t="shared" ca="1" si="215"/>
        <v>1</v>
      </c>
      <c r="AR64" s="39">
        <f t="shared" ca="1" si="215"/>
        <v>2</v>
      </c>
      <c r="AS64" s="39">
        <f t="shared" ca="1" si="215"/>
        <v>3</v>
      </c>
      <c r="AT64" s="43">
        <f t="shared" ca="1" si="215"/>
        <v>-1</v>
      </c>
      <c r="AU64" s="330">
        <f ca="1">INDEX($DL$6:$DL$53,MATCH(AI64,$DP$6:$DP$53,0))</f>
        <v>1</v>
      </c>
      <c r="AV64" s="182" t="str">
        <f ca="1">INDEX($BD$6:$BD$53,MATCH(AI64,$BM$6:$BM$53,0))</f>
        <v>Arabia Saudita</v>
      </c>
      <c r="AW64" s="210"/>
      <c r="AX64" s="171"/>
      <c r="AY64" s="201" t="str">
        <f ca="1">+A63</f>
        <v>Arabia Saudita</v>
      </c>
      <c r="AZ64" s="202"/>
      <c r="BA64" s="176"/>
      <c r="BB64" s="16" t="str">
        <f t="shared" si="187"/>
        <v>3G</v>
      </c>
      <c r="BC64" s="16" t="s">
        <v>6</v>
      </c>
      <c r="BD64" s="16" t="str">
        <f t="shared" ca="1" si="168"/>
        <v>Irán</v>
      </c>
      <c r="BE64" s="16">
        <f t="shared" ca="1" si="188"/>
        <v>3</v>
      </c>
      <c r="BF64" s="16">
        <f t="shared" ca="1" si="189"/>
        <v>3</v>
      </c>
      <c r="BG64" s="16">
        <f t="shared" ca="1" si="169"/>
        <v>1</v>
      </c>
      <c r="BH64" s="16">
        <f t="shared" ca="1" si="170"/>
        <v>0</v>
      </c>
      <c r="BI64" s="16">
        <f t="shared" ca="1" si="171"/>
        <v>2</v>
      </c>
      <c r="BJ64" s="16">
        <f t="shared" ca="1" si="172"/>
        <v>1</v>
      </c>
      <c r="BK64" s="16">
        <f t="shared" ca="1" si="173"/>
        <v>2</v>
      </c>
      <c r="BL64" s="16">
        <f t="shared" ca="1" si="190"/>
        <v>-1</v>
      </c>
      <c r="BM64" s="16">
        <f t="shared" ca="1" si="191"/>
        <v>8</v>
      </c>
      <c r="BN64" s="16">
        <f t="shared" ca="1" si="192"/>
        <v>8</v>
      </c>
      <c r="BO64" s="16" t="str">
        <f t="shared" si="174"/>
        <v>4G</v>
      </c>
      <c r="BP64" s="16"/>
      <c r="BQ64" s="16"/>
      <c r="BR64" s="16">
        <f t="shared" ca="1" si="175"/>
        <v>3</v>
      </c>
      <c r="BS64" s="16">
        <f t="shared" ca="1" si="193"/>
        <v>5</v>
      </c>
      <c r="BT64" s="16" t="str">
        <f t="shared" ca="1" si="194"/>
        <v>Pos. 5 (6)</v>
      </c>
      <c r="BU64" s="16">
        <f t="shared" ca="1" si="176"/>
        <v>-1</v>
      </c>
      <c r="BV64" s="16">
        <f t="shared" ca="1" si="177"/>
        <v>6</v>
      </c>
      <c r="BW64" s="16" t="str">
        <f t="shared" ca="1" si="178"/>
        <v>Pos. 6 (3)</v>
      </c>
      <c r="BX64" s="16">
        <f t="shared" ca="1" si="179"/>
        <v>1</v>
      </c>
      <c r="BY64" s="16">
        <f t="shared" ca="1" si="180"/>
        <v>8</v>
      </c>
      <c r="BZ64" s="16" t="str">
        <f t="shared" ca="1" si="181"/>
        <v>-</v>
      </c>
      <c r="CA64" s="16" t="str">
        <f t="shared" ca="1" si="182"/>
        <v>-</v>
      </c>
      <c r="CB64" s="16">
        <f t="shared" ca="1" si="195"/>
        <v>8</v>
      </c>
      <c r="CC64" s="16"/>
      <c r="CD64" s="16">
        <f t="shared" ca="1" si="183"/>
        <v>8</v>
      </c>
      <c r="CE64" s="16" t="str">
        <f t="shared" ca="1" si="196"/>
        <v>-</v>
      </c>
      <c r="CF64" s="16">
        <f t="shared" ca="1" si="197"/>
        <v>8</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Bosnia y Herzegovina</v>
      </c>
    </row>
    <row r="65" spans="1:121" ht="16" customHeight="1" thickBot="1">
      <c r="A65" s="16"/>
      <c r="B65" s="16"/>
      <c r="C65" s="16"/>
      <c r="D65" s="16" t="str">
        <f t="shared" si="199"/>
        <v>Empate</v>
      </c>
      <c r="E65" s="16" t="str">
        <f t="shared" ca="1" si="200"/>
        <v>-</v>
      </c>
      <c r="F65" s="16" t="str">
        <f t="shared" ca="1" si="201"/>
        <v>-</v>
      </c>
      <c r="G65" s="16"/>
      <c r="H65" s="16" t="str">
        <f t="shared" ca="1" si="202"/>
        <v>-</v>
      </c>
      <c r="I65" s="16" t="str">
        <f t="shared" ca="1" si="203"/>
        <v>-</v>
      </c>
      <c r="J65" s="16"/>
      <c r="K65" s="16" t="str">
        <f t="shared" ca="1" si="204"/>
        <v>-</v>
      </c>
      <c r="L65" s="16" t="str">
        <f t="shared" ca="1" si="205"/>
        <v>-</v>
      </c>
      <c r="M65" s="16"/>
      <c r="N65" s="16" t="str">
        <f t="shared" ca="1" si="206"/>
        <v>-</v>
      </c>
      <c r="O65" s="16" t="str">
        <f t="shared" ca="1" si="207"/>
        <v>-</v>
      </c>
      <c r="P65" s="16"/>
      <c r="Q65" s="16" t="str">
        <f t="shared" ca="1" si="208"/>
        <v>-</v>
      </c>
      <c r="R65" s="16" t="str">
        <f t="shared" ca="1" si="209"/>
        <v>-</v>
      </c>
      <c r="S65" s="16"/>
      <c r="T65" s="16" t="str">
        <f t="shared" ca="1" si="210"/>
        <v>-</v>
      </c>
      <c r="U65" s="16" t="str">
        <f t="shared" ca="1" si="211"/>
        <v>-</v>
      </c>
      <c r="V65" s="17"/>
      <c r="W65" s="658"/>
      <c r="X65" s="28">
        <f ca="1">Horarios!C65</f>
        <v>46200.083333333336</v>
      </c>
      <c r="Y65" s="29">
        <f ca="1">Horarios!C65</f>
        <v>46200.083333333336</v>
      </c>
      <c r="Z65" s="30" t="str">
        <f>$Z$8</f>
        <v>J3</v>
      </c>
      <c r="AA65" s="31" t="str">
        <f ca="1">A64</f>
        <v>Uruguay</v>
      </c>
      <c r="AB65" s="52" t="e" cm="1" vm="33">
        <f t="array" aca="1" ref="AB65" ca="1">Ver_flag_local</f>
        <v>#VALUE!</v>
      </c>
      <c r="AC65" s="53">
        <v>2</v>
      </c>
      <c r="AD65" s="54">
        <v>2</v>
      </c>
      <c r="AE65" s="596" t="e" cm="1" vm="30">
        <f t="array" aca="1" ref="AE65" ca="1">Ver_flag_visit</f>
        <v>#VALUE!</v>
      </c>
      <c r="AF65" s="33" t="str">
        <f ca="1">A61</f>
        <v>España</v>
      </c>
      <c r="AG65" s="323">
        <f t="shared" si="212"/>
        <v>1</v>
      </c>
      <c r="AH65" s="195">
        <v>66</v>
      </c>
      <c r="AI65" s="181" t="str">
        <f t="shared" si="216"/>
        <v>4H</v>
      </c>
      <c r="AJ65" s="44">
        <v>4</v>
      </c>
      <c r="AK65" s="604" t="e" cm="1" vm="31">
        <f t="array" aca="1" ref="AK65" ca="1">Ver_flag_visit</f>
        <v>#VALUE!</v>
      </c>
      <c r="AL65" s="45" t="str">
        <f ca="1">IFERROR(INDEX($BD$6:$BD$53,MATCH(AI65,$BN$6:$BN$53,0)),"")</f>
        <v>Cabo Verde</v>
      </c>
      <c r="AM65" s="46">
        <f t="shared" ca="1" si="215"/>
        <v>1</v>
      </c>
      <c r="AN65" s="47">
        <f t="shared" ca="1" si="215"/>
        <v>3</v>
      </c>
      <c r="AO65" s="47">
        <f t="shared" ca="1" si="215"/>
        <v>0</v>
      </c>
      <c r="AP65" s="47">
        <f t="shared" ca="1" si="215"/>
        <v>1</v>
      </c>
      <c r="AQ65" s="47">
        <f t="shared" ca="1" si="215"/>
        <v>2</v>
      </c>
      <c r="AR65" s="47">
        <f t="shared" ca="1" si="215"/>
        <v>2</v>
      </c>
      <c r="AS65" s="47">
        <f t="shared" ca="1" si="215"/>
        <v>5</v>
      </c>
      <c r="AT65" s="48">
        <f t="shared" ca="1" si="215"/>
        <v>-3</v>
      </c>
      <c r="AU65" s="330">
        <f ca="1">INDEX($DL$6:$DL$53,MATCH(AI65,$DP$6:$DP$53,0))</f>
        <v>1</v>
      </c>
      <c r="AV65" s="182" t="str">
        <f ca="1">INDEX($BD$6:$BD$53,MATCH(AI65,$BM$6:$BM$53,0))</f>
        <v>Cabo Verde</v>
      </c>
      <c r="AW65" s="210"/>
      <c r="AX65" s="171"/>
      <c r="AY65" s="205" t="str">
        <f ca="1">+A64</f>
        <v>Uruguay</v>
      </c>
      <c r="AZ65" s="206"/>
      <c r="BA65" s="176"/>
      <c r="BB65" s="16" t="str">
        <f t="shared" si="187"/>
        <v>3H</v>
      </c>
      <c r="BC65" s="16" t="s">
        <v>447</v>
      </c>
      <c r="BD65" s="16" t="str">
        <f t="shared" ca="1" si="168"/>
        <v>Arabia Saudita</v>
      </c>
      <c r="BE65" s="16">
        <f t="shared" ca="1" si="188"/>
        <v>2</v>
      </c>
      <c r="BF65" s="16">
        <f t="shared" ca="1" si="189"/>
        <v>3</v>
      </c>
      <c r="BG65" s="16">
        <f t="shared" ca="1" si="169"/>
        <v>0</v>
      </c>
      <c r="BH65" s="16">
        <f t="shared" ca="1" si="170"/>
        <v>2</v>
      </c>
      <c r="BI65" s="16">
        <f t="shared" ca="1" si="171"/>
        <v>1</v>
      </c>
      <c r="BJ65" s="16">
        <f t="shared" ca="1" si="172"/>
        <v>2</v>
      </c>
      <c r="BK65" s="16">
        <f t="shared" ca="1" si="173"/>
        <v>3</v>
      </c>
      <c r="BL65" s="16">
        <f t="shared" ca="1" si="190"/>
        <v>-1</v>
      </c>
      <c r="BM65" s="16">
        <f t="shared" ca="1" si="191"/>
        <v>12</v>
      </c>
      <c r="BN65" s="16">
        <f t="shared" ca="1" si="192"/>
        <v>12</v>
      </c>
      <c r="BO65" s="16" t="str">
        <f t="shared" si="174"/>
        <v>4H</v>
      </c>
      <c r="BP65" s="16"/>
      <c r="BQ65" s="16"/>
      <c r="BR65" s="16">
        <f t="shared" ca="1" si="175"/>
        <v>2</v>
      </c>
      <c r="BS65" s="16">
        <f t="shared" ca="1" si="193"/>
        <v>11</v>
      </c>
      <c r="BT65" s="16" t="str">
        <f t="shared" ca="1" si="194"/>
        <v>Pos. 11 (2)</v>
      </c>
      <c r="BU65" s="16">
        <f t="shared" ca="1" si="176"/>
        <v>-1</v>
      </c>
      <c r="BV65" s="16">
        <f t="shared" ca="1" si="177"/>
        <v>11</v>
      </c>
      <c r="BW65" s="16" t="str">
        <f t="shared" ca="1" si="178"/>
        <v>Pos. 11 (2)</v>
      </c>
      <c r="BX65" s="16">
        <f t="shared" ca="1" si="179"/>
        <v>2</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Irán</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4</v>
      </c>
      <c r="BK66" s="16">
        <f t="shared" ca="1" si="173"/>
        <v>3</v>
      </c>
      <c r="BL66" s="16">
        <f t="shared" ca="1" si="190"/>
        <v>1</v>
      </c>
      <c r="BM66" s="16">
        <f t="shared" ca="1" si="191"/>
        <v>5</v>
      </c>
      <c r="BN66" s="16">
        <f t="shared" ca="1" si="192"/>
        <v>5</v>
      </c>
      <c r="BO66" s="16" t="str">
        <f t="shared" si="174"/>
        <v>4I</v>
      </c>
      <c r="BP66" s="16"/>
      <c r="BQ66" s="16"/>
      <c r="BR66" s="16">
        <f t="shared" ca="1" si="175"/>
        <v>3</v>
      </c>
      <c r="BS66" s="16">
        <f t="shared" ca="1" si="193"/>
        <v>5</v>
      </c>
      <c r="BT66" s="16" t="str">
        <f t="shared" ca="1" si="194"/>
        <v>Pos. 5 (6)</v>
      </c>
      <c r="BU66" s="16">
        <f t="shared" ca="1" si="176"/>
        <v>1</v>
      </c>
      <c r="BV66" s="16">
        <f t="shared" ca="1" si="177"/>
        <v>5</v>
      </c>
      <c r="BW66" s="16" t="str">
        <f t="shared" ca="1" si="178"/>
        <v>-</v>
      </c>
      <c r="BX66" s="16" t="str">
        <f t="shared" ca="1" si="179"/>
        <v>-</v>
      </c>
      <c r="BY66" s="16">
        <f t="shared" ca="1" si="180"/>
        <v>5</v>
      </c>
      <c r="BZ66" s="16" t="str">
        <f t="shared" ca="1" si="181"/>
        <v>-</v>
      </c>
      <c r="CA66" s="16" t="str">
        <f t="shared" ca="1" si="182"/>
        <v>-</v>
      </c>
      <c r="CB66" s="16">
        <f t="shared" ca="1" si="195"/>
        <v>5</v>
      </c>
      <c r="CC66" s="16"/>
      <c r="CD66" s="16">
        <f t="shared" ca="1" si="183"/>
        <v>5</v>
      </c>
      <c r="CE66" s="16" t="str">
        <f t="shared" ca="1" si="196"/>
        <v>-</v>
      </c>
      <c r="CF66" s="16">
        <f t="shared" ca="1" si="197"/>
        <v>5</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Escocia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Austria</v>
      </c>
      <c r="BE67" s="16">
        <f t="shared" ca="1" si="188"/>
        <v>2</v>
      </c>
      <c r="BF67" s="16">
        <f t="shared" ca="1" si="189"/>
        <v>3</v>
      </c>
      <c r="BG67" s="16">
        <f t="shared" ca="1" si="169"/>
        <v>0</v>
      </c>
      <c r="BH67" s="16">
        <f t="shared" ca="1" si="170"/>
        <v>2</v>
      </c>
      <c r="BI67" s="16">
        <f t="shared" ca="1" si="171"/>
        <v>1</v>
      </c>
      <c r="BJ67" s="16">
        <f t="shared" ca="1" si="172"/>
        <v>3</v>
      </c>
      <c r="BK67" s="16">
        <f t="shared" ca="1" si="173"/>
        <v>4</v>
      </c>
      <c r="BL67" s="16">
        <f t="shared" ca="1" si="190"/>
        <v>-1</v>
      </c>
      <c r="BM67" s="16">
        <f t="shared" ca="1" si="191"/>
        <v>11</v>
      </c>
      <c r="BN67" s="16">
        <f t="shared" ca="1" si="192"/>
        <v>11</v>
      </c>
      <c r="BO67" s="16" t="str">
        <f t="shared" si="174"/>
        <v>4J</v>
      </c>
      <c r="BP67" s="16"/>
      <c r="BQ67" s="16"/>
      <c r="BR67" s="16">
        <f t="shared" ca="1" si="175"/>
        <v>2</v>
      </c>
      <c r="BS67" s="16">
        <f t="shared" ca="1" si="193"/>
        <v>11</v>
      </c>
      <c r="BT67" s="16" t="str">
        <f t="shared" ca="1" si="194"/>
        <v>Pos. 11 (2)</v>
      </c>
      <c r="BU67" s="16">
        <f t="shared" ca="1" si="176"/>
        <v>-1</v>
      </c>
      <c r="BV67" s="16">
        <f t="shared" ca="1" si="177"/>
        <v>11</v>
      </c>
      <c r="BW67" s="16" t="str">
        <f t="shared" ca="1" si="178"/>
        <v>Pos. 11 (2)</v>
      </c>
      <c r="BX67" s="16">
        <f t="shared" ca="1" si="179"/>
        <v>3</v>
      </c>
      <c r="BY67" s="16">
        <f t="shared" ca="1" si="180"/>
        <v>11</v>
      </c>
      <c r="BZ67" s="16" t="str">
        <f t="shared" ca="1" si="181"/>
        <v>-</v>
      </c>
      <c r="CA67" s="16" t="str">
        <f t="shared" ca="1" si="182"/>
        <v>-</v>
      </c>
      <c r="CB67" s="16">
        <f t="shared" ca="1" si="195"/>
        <v>11</v>
      </c>
      <c r="CC67" s="16"/>
      <c r="CD67" s="16">
        <f t="shared" ca="1" si="183"/>
        <v>11</v>
      </c>
      <c r="CE67" s="16" t="str">
        <f t="shared" ca="1" si="196"/>
        <v>-</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RD Congo</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v>
      </c>
      <c r="G68" s="16"/>
      <c r="H68" s="16" t="str">
        <f t="shared" ref="H68:H73" ca="1" si="220">IF(D68="Pendiente","-",INDEX($BZ$6:$BZ$53,MATCH($AA68,$BD$6:$BD$53,0)))</f>
        <v>P.1 (2)</v>
      </c>
      <c r="I68" s="16" t="str">
        <f t="shared" ref="I68:I73" ca="1" si="221">IF(D68="Pendiente","-",INDEX($BZ$6:$BZ$53,MATCH($AF68,$BD$6:$BD$53,0)))</f>
        <v>-</v>
      </c>
      <c r="J68" s="16"/>
      <c r="K68" s="16" t="str">
        <f t="shared" ref="K68:K73" ca="1" si="222">IF(D68="Pendiente","-",INDEX($CE$6:$CE$53,MATCH($AA68,$BD$6:$BD$53,0)))</f>
        <v>P.1 (2)</v>
      </c>
      <c r="L68" s="16" t="str">
        <f t="shared" ref="L68:L73" ca="1" si="223">IF(D68="Pendiente","-",INDEX($CE$6:$CE$53,MATCH($AF68,$BD$6:$BD$53,0)))</f>
        <v>-</v>
      </c>
      <c r="M68" s="16"/>
      <c r="N68" s="16" t="str">
        <f t="shared" ref="N68:N73" ca="1" si="224">IF(D68="Pendiente","-",INDEX($CH$6:$CH$53,MATCH($AA68,$BD$6:$BD$53,0)))</f>
        <v>P.1 (2)</v>
      </c>
      <c r="O68" s="16" t="str">
        <f t="shared" ref="O68:O73" ca="1" si="225">IF(D68="Pendiente","-",INDEX($CH$6:$CH$53,MATCH($AF68,$BD$6:$BD$53,0)))</f>
        <v>-</v>
      </c>
      <c r="P68" s="16"/>
      <c r="Q68" s="16" t="str">
        <f t="shared" ref="Q68:Q73" ca="1" si="226">IF(D68="Pendiente","-",INDEX($CN$6:$CN$53,MATCH($AA68,$BD$6:$BD$53,0)))</f>
        <v>P.1 (2)</v>
      </c>
      <c r="R68" s="16" t="str">
        <f t="shared" ref="R68:R73" ca="1" si="227">IF(D68="Pendiente","-",INDEX($CN$6:$CN$53,MATCH($AF68,$BD$6:$BD$53,0)))</f>
        <v>-</v>
      </c>
      <c r="S68" s="16"/>
      <c r="T68" s="16" t="str">
        <f t="shared" ref="T68:T73" ca="1" si="228">IF(D68="Pendiente","-",INDEX($CS$6:$CS$53,MATCH($AA68,$BD$6:$BD$53,0)))</f>
        <v>P.1 (2)</v>
      </c>
      <c r="U68" s="16" t="str">
        <f t="shared" ref="U68:U73" ca="1" si="229">IF(D68="Pendiente","-",INDEX($CS$6:$CS$53,MATCH($AF68,$BD$6:$BD$53,0)))</f>
        <v>-</v>
      </c>
      <c r="V68" s="17"/>
      <c r="W68" s="663" t="s">
        <v>448</v>
      </c>
      <c r="X68" s="24">
        <f ca="1">Horarios!C68</f>
        <v>46189.875</v>
      </c>
      <c r="Y68" s="25">
        <f ca="1">Horarios!C68</f>
        <v>46189.875</v>
      </c>
      <c r="Z68" s="26" t="str">
        <f>$Z$4</f>
        <v>J1</v>
      </c>
      <c r="AA68" s="27" t="str">
        <f ca="1">A69</f>
        <v>Francia</v>
      </c>
      <c r="AB68" s="49" t="e" cm="1" vm="34">
        <f t="array" aca="1" ref="AB68" ca="1">Ver_flag_local</f>
        <v>#VALUE!</v>
      </c>
      <c r="AC68" s="50">
        <v>2</v>
      </c>
      <c r="AD68" s="51">
        <v>1</v>
      </c>
      <c r="AE68" s="595" t="e" cm="1" vm="35">
        <f t="array" aca="1" ref="AE68" ca="1">Ver_flag_visit</f>
        <v>#VALUE!</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RD Congo</v>
      </c>
      <c r="BE68" s="16">
        <f t="shared" ca="1" si="188"/>
        <v>3</v>
      </c>
      <c r="BF68" s="16">
        <f t="shared" ca="1" si="189"/>
        <v>3</v>
      </c>
      <c r="BG68" s="16">
        <f t="shared" ca="1" si="169"/>
        <v>1</v>
      </c>
      <c r="BH68" s="16">
        <f t="shared" ca="1" si="170"/>
        <v>0</v>
      </c>
      <c r="BI68" s="16">
        <f t="shared" ca="1" si="171"/>
        <v>2</v>
      </c>
      <c r="BJ68" s="16">
        <f t="shared" ca="1" si="172"/>
        <v>1</v>
      </c>
      <c r="BK68" s="16">
        <f t="shared" ca="1" si="173"/>
        <v>6</v>
      </c>
      <c r="BL68" s="16">
        <f t="shared" ca="1" si="190"/>
        <v>-5</v>
      </c>
      <c r="BM68" s="16">
        <f t="shared" ca="1" si="191"/>
        <v>10</v>
      </c>
      <c r="BN68" s="16">
        <f t="shared" ca="1" si="192"/>
        <v>10</v>
      </c>
      <c r="BO68" s="16" t="str">
        <f t="shared" si="174"/>
        <v>4K</v>
      </c>
      <c r="BP68" s="16"/>
      <c r="BQ68" s="16"/>
      <c r="BR68" s="16">
        <f t="shared" ca="1" si="175"/>
        <v>3</v>
      </c>
      <c r="BS68" s="16">
        <f t="shared" ca="1" si="193"/>
        <v>5</v>
      </c>
      <c r="BT68" s="16" t="str">
        <f t="shared" ca="1" si="194"/>
        <v>Pos. 5 (6)</v>
      </c>
      <c r="BU68" s="16">
        <f t="shared" ca="1" si="176"/>
        <v>-5</v>
      </c>
      <c r="BV68" s="16">
        <f t="shared" ca="1" si="177"/>
        <v>10</v>
      </c>
      <c r="BW68" s="16" t="str">
        <f t="shared" ca="1" si="178"/>
        <v>-</v>
      </c>
      <c r="BX68" s="16" t="str">
        <f t="shared" ca="1" si="179"/>
        <v>-</v>
      </c>
      <c r="BY68" s="16">
        <f t="shared" ca="1" si="180"/>
        <v>10</v>
      </c>
      <c r="BZ68" s="16" t="str">
        <f t="shared" ca="1" si="181"/>
        <v>-</v>
      </c>
      <c r="CA68" s="16" t="str">
        <f t="shared" ca="1" si="182"/>
        <v>-</v>
      </c>
      <c r="CB68" s="16">
        <f t="shared" ca="1" si="195"/>
        <v>10</v>
      </c>
      <c r="CC68" s="16"/>
      <c r="CD68" s="16">
        <f t="shared" ca="1" si="183"/>
        <v>10</v>
      </c>
      <c r="CE68" s="16" t="str">
        <f t="shared" ca="1" si="196"/>
        <v>-</v>
      </c>
      <c r="CF68" s="16">
        <f t="shared" ca="1" si="197"/>
        <v>10</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Austria</v>
      </c>
    </row>
    <row r="69" spans="1:121" ht="16" customHeight="1">
      <c r="A69" s="16" t="str">
        <f ca="1">+Equipos!B34</f>
        <v>Francia</v>
      </c>
      <c r="B69" s="16"/>
      <c r="C69" s="16"/>
      <c r="D69" s="16" t="str">
        <f t="shared" si="217"/>
        <v>Visitante</v>
      </c>
      <c r="E69" s="16" t="str">
        <f t="shared" ca="1" si="218"/>
        <v>-</v>
      </c>
      <c r="F69" s="16" t="str">
        <f t="shared" ca="1" si="219"/>
        <v>P.1 (2)</v>
      </c>
      <c r="G69" s="16"/>
      <c r="H69" s="16" t="str">
        <f t="shared" ca="1" si="220"/>
        <v>-</v>
      </c>
      <c r="I69" s="16" t="str">
        <f t="shared" ca="1" si="221"/>
        <v>P.1 (2)</v>
      </c>
      <c r="J69" s="16"/>
      <c r="K69" s="16" t="str">
        <f t="shared" ca="1" si="222"/>
        <v>-</v>
      </c>
      <c r="L69" s="16" t="str">
        <f t="shared" ca="1" si="223"/>
        <v>P.1 (2)</v>
      </c>
      <c r="M69" s="16"/>
      <c r="N69" s="16" t="str">
        <f t="shared" ca="1" si="224"/>
        <v>-</v>
      </c>
      <c r="O69" s="16" t="str">
        <f t="shared" ca="1" si="225"/>
        <v>P.1 (2)</v>
      </c>
      <c r="P69" s="16"/>
      <c r="Q69" s="16" t="str">
        <f t="shared" ca="1" si="226"/>
        <v>-</v>
      </c>
      <c r="R69" s="16" t="str">
        <f t="shared" ca="1" si="227"/>
        <v>P.1 (2)</v>
      </c>
      <c r="S69" s="16"/>
      <c r="T69" s="16" t="str">
        <f t="shared" ca="1" si="228"/>
        <v>-</v>
      </c>
      <c r="U69" s="16" t="str">
        <f t="shared" ca="1" si="229"/>
        <v>P.1 (2)</v>
      </c>
      <c r="V69" s="17"/>
      <c r="W69" s="663"/>
      <c r="X69" s="24">
        <f ca="1">Horarios!C69</f>
        <v>46190</v>
      </c>
      <c r="Y69" s="25">
        <f ca="1">Horarios!C69</f>
        <v>46190</v>
      </c>
      <c r="Z69" s="26" t="str">
        <f>$Z$4</f>
        <v>J1</v>
      </c>
      <c r="AA69" s="27" t="str">
        <f ca="1">A71</f>
        <v>Irak</v>
      </c>
      <c r="AB69" s="49" t="e" cm="1" vm="36">
        <f t="array" aca="1" ref="AB69" ca="1">Ver_flag_local</f>
        <v>#VALUE!</v>
      </c>
      <c r="AC69" s="50">
        <v>1</v>
      </c>
      <c r="AD69" s="51">
        <v>2</v>
      </c>
      <c r="AE69" s="595" t="e" cm="1" vm="37">
        <f t="array" aca="1" ref="AE69" ca="1">Ver_flag_visit</f>
        <v>#VALUE!</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3</v>
      </c>
      <c r="BK69" s="16">
        <f t="shared" ca="1" si="173"/>
        <v>4</v>
      </c>
      <c r="BL69" s="16">
        <f t="shared" ca="1" si="190"/>
        <v>-1</v>
      </c>
      <c r="BM69" s="16">
        <f t="shared" ca="1" si="191"/>
        <v>3</v>
      </c>
      <c r="BN69" s="16">
        <f t="shared" ca="1" si="192"/>
        <v>4</v>
      </c>
      <c r="BO69" s="16" t="str">
        <f t="shared" si="174"/>
        <v>4L</v>
      </c>
      <c r="BP69" s="16"/>
      <c r="BQ69" s="16"/>
      <c r="BR69" s="16">
        <f t="shared" ca="1" si="175"/>
        <v>4</v>
      </c>
      <c r="BS69" s="16">
        <f t="shared" ca="1" si="193"/>
        <v>2</v>
      </c>
      <c r="BT69" s="16" t="str">
        <f t="shared" ca="1" si="194"/>
        <v>Pos. 2 (3)</v>
      </c>
      <c r="BU69" s="16">
        <f t="shared" ca="1" si="176"/>
        <v>-1</v>
      </c>
      <c r="BV69" s="16">
        <f t="shared" ca="1" si="177"/>
        <v>3</v>
      </c>
      <c r="BW69" s="16" t="str">
        <f t="shared" ca="1" si="178"/>
        <v>Pos. 3 (2)</v>
      </c>
      <c r="BX69" s="16">
        <f t="shared" ca="1" si="179"/>
        <v>3</v>
      </c>
      <c r="BY69" s="16">
        <f t="shared" ca="1" si="180"/>
        <v>3</v>
      </c>
      <c r="BZ69" s="16" t="str">
        <f t="shared" ca="1" si="181"/>
        <v>Pos. 3 (2)</v>
      </c>
      <c r="CA69" s="16">
        <f t="shared" ca="1" si="182"/>
        <v>6</v>
      </c>
      <c r="CB69" s="16">
        <f ca="1">BY69+COUNTIFS(BZ$58:BZ$69,BZ69,CA$58:CA$69,"&gt;"&amp;CA69)</f>
        <v>3</v>
      </c>
      <c r="CC69" s="16"/>
      <c r="CD69" s="16">
        <f t="shared" ca="1" si="183"/>
        <v>4.0030000000000001</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Arabia Saudita</v>
      </c>
    </row>
    <row r="70" spans="1:121" ht="16" customHeight="1">
      <c r="A70" s="16" t="str">
        <f ca="1">+Equipos!B35</f>
        <v>Senegal</v>
      </c>
      <c r="B70" s="16"/>
      <c r="C70" s="16"/>
      <c r="D70" s="16" t="str">
        <f t="shared" si="217"/>
        <v>Local</v>
      </c>
      <c r="E70" s="16" t="str">
        <f t="shared" ca="1" si="218"/>
        <v>P.1 (2)</v>
      </c>
      <c r="F70" s="16" t="str">
        <f t="shared" ca="1" si="219"/>
        <v>-</v>
      </c>
      <c r="G70" s="16"/>
      <c r="H70" s="16" t="str">
        <f t="shared" ca="1" si="220"/>
        <v>P.1 (2)</v>
      </c>
      <c r="I70" s="16" t="str">
        <f t="shared" ca="1" si="221"/>
        <v>-</v>
      </c>
      <c r="J70" s="16"/>
      <c r="K70" s="16" t="str">
        <f t="shared" ca="1" si="222"/>
        <v>P.1 (2)</v>
      </c>
      <c r="L70" s="16" t="str">
        <f t="shared" ca="1" si="223"/>
        <v>-</v>
      </c>
      <c r="M70" s="16"/>
      <c r="N70" s="16" t="str">
        <f t="shared" ca="1" si="224"/>
        <v>P.1 (2)</v>
      </c>
      <c r="O70" s="16" t="str">
        <f t="shared" ca="1" si="225"/>
        <v>-</v>
      </c>
      <c r="P70" s="16"/>
      <c r="Q70" s="16" t="str">
        <f t="shared" ca="1" si="226"/>
        <v>P.1 (2)</v>
      </c>
      <c r="R70" s="16" t="str">
        <f t="shared" ca="1" si="227"/>
        <v>-</v>
      </c>
      <c r="S70" s="16"/>
      <c r="T70" s="16" t="str">
        <f t="shared" ca="1" si="228"/>
        <v>P.1 (2)</v>
      </c>
      <c r="U70" s="16" t="str">
        <f t="shared" ca="1" si="229"/>
        <v>-</v>
      </c>
      <c r="V70" s="17"/>
      <c r="W70" s="663"/>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95" t="e" cm="1" vm="36">
        <f t="array" aca="1" ref="AE70" ca="1">Ver_flag_visit</f>
        <v>#VALUE!</v>
      </c>
      <c r="AF70" s="32" t="str">
        <f ca="1">A71</f>
        <v>Irak</v>
      </c>
      <c r="AG70" s="323">
        <f t="shared" si="230"/>
        <v>1</v>
      </c>
      <c r="AH70" s="195">
        <v>42</v>
      </c>
      <c r="AI70" s="181" t="str">
        <f>AJ70&amp;$B$68</f>
        <v>1I</v>
      </c>
      <c r="AJ70" s="40">
        <v>1</v>
      </c>
      <c r="AK70" s="601" t="e" cm="1" vm="34">
        <f t="array" aca="1" ref="AK70" ca="1">Ver_flag_visit</f>
        <v>#VALUE!</v>
      </c>
      <c r="AL70" s="34" t="str">
        <f ca="1">IFERROR(INDEX($BD$6:$BD$53,MATCH(AI70,$BN$6:$BN$53,0)),"")</f>
        <v>Francia</v>
      </c>
      <c r="AM70" s="35">
        <f t="shared" ref="AM70:AT73" ca="1" si="233">INDEX($BE$6:$BN$53,MATCH($AL70,$BD$6:$BD$53,0),MATCH(AM$5,$BE$5:$BN$5,0))</f>
        <v>7</v>
      </c>
      <c r="AN70" s="36">
        <f t="shared" ca="1" si="233"/>
        <v>3</v>
      </c>
      <c r="AO70" s="36">
        <f t="shared" ca="1" si="233"/>
        <v>2</v>
      </c>
      <c r="AP70" s="36">
        <f t="shared" ca="1" si="233"/>
        <v>1</v>
      </c>
      <c r="AQ70" s="36">
        <f t="shared" ca="1" si="233"/>
        <v>0</v>
      </c>
      <c r="AR70" s="36">
        <f t="shared" ca="1" si="233"/>
        <v>6</v>
      </c>
      <c r="AS70" s="36">
        <f t="shared" ca="1" si="233"/>
        <v>2</v>
      </c>
      <c r="AT70" s="41">
        <f t="shared" ca="1" si="233"/>
        <v>4</v>
      </c>
      <c r="AU70" s="330">
        <f ca="1">INDEX($DL$6:$DL$53,MATCH(AI70,$DP$6:$DP$53,0))</f>
        <v>1</v>
      </c>
      <c r="AV70" s="182" t="str">
        <f ca="1">INDEX($BD$6:$BD$53,MATCH(AI70,$BM$6:$BM$53,0))</f>
        <v>Francia</v>
      </c>
      <c r="AW70" s="210"/>
      <c r="AX70" s="171"/>
      <c r="AY70" s="201" t="str">
        <f ca="1">+A69</f>
        <v>Francia</v>
      </c>
      <c r="AZ70" s="202"/>
      <c r="BA70" s="176"/>
      <c r="DN70" s="16"/>
    </row>
    <row r="71" spans="1:121" ht="16" customHeight="1">
      <c r="A71" s="16" t="str">
        <f ca="1">+Equipos!B36</f>
        <v>Irak</v>
      </c>
      <c r="B71" s="16"/>
      <c r="C71" s="16"/>
      <c r="D71" s="16" t="str">
        <f t="shared" si="217"/>
        <v>Local</v>
      </c>
      <c r="E71" s="16" t="str">
        <f t="shared" ca="1" si="218"/>
        <v>P.1 (2)</v>
      </c>
      <c r="F71" s="16" t="str">
        <f t="shared" ca="1" si="219"/>
        <v>-</v>
      </c>
      <c r="G71" s="16"/>
      <c r="H71" s="16" t="str">
        <f t="shared" ca="1" si="220"/>
        <v>P.1 (2)</v>
      </c>
      <c r="I71" s="16" t="str">
        <f t="shared" ca="1" si="221"/>
        <v>-</v>
      </c>
      <c r="J71" s="16"/>
      <c r="K71" s="16" t="str">
        <f t="shared" ca="1" si="222"/>
        <v>P.1 (2)</v>
      </c>
      <c r="L71" s="16" t="str">
        <f t="shared" ca="1" si="223"/>
        <v>-</v>
      </c>
      <c r="M71" s="16"/>
      <c r="N71" s="16" t="str">
        <f t="shared" ca="1" si="224"/>
        <v>P.1 (2)</v>
      </c>
      <c r="O71" s="16" t="str">
        <f t="shared" ca="1" si="225"/>
        <v>-</v>
      </c>
      <c r="P71" s="16"/>
      <c r="Q71" s="16" t="str">
        <f t="shared" ca="1" si="226"/>
        <v>P.1 (2)</v>
      </c>
      <c r="R71" s="16" t="str">
        <f t="shared" ca="1" si="227"/>
        <v>-</v>
      </c>
      <c r="S71" s="16"/>
      <c r="T71" s="16" t="str">
        <f t="shared" ca="1" si="228"/>
        <v>P.1 (2)</v>
      </c>
      <c r="U71" s="16" t="str">
        <f t="shared" ca="1" si="229"/>
        <v>-</v>
      </c>
      <c r="V71" s="17"/>
      <c r="W71" s="663"/>
      <c r="X71" s="24">
        <f ca="1">Horarios!C71</f>
        <v>46196.083333333336</v>
      </c>
      <c r="Y71" s="25">
        <f ca="1">Horarios!C71</f>
        <v>46196.083333333336</v>
      </c>
      <c r="Z71" s="26" t="str">
        <f>$Z$6</f>
        <v>J2</v>
      </c>
      <c r="AA71" s="27" t="str">
        <f ca="1">A72</f>
        <v>Noruega</v>
      </c>
      <c r="AB71" s="49" t="e" cm="1" vm="37">
        <f t="array" aca="1" ref="AB71" ca="1">Ver_flag_local</f>
        <v>#VALUE!</v>
      </c>
      <c r="AC71" s="50">
        <v>1</v>
      </c>
      <c r="AD71" s="51">
        <v>0</v>
      </c>
      <c r="AE71" s="595" t="e" cm="1" vm="35">
        <f t="array" aca="1" ref="AE71" ca="1">Ver_flag_visit</f>
        <v>#VALUE!</v>
      </c>
      <c r="AF71" s="32" t="str">
        <f ca="1">A70</f>
        <v>Senegal</v>
      </c>
      <c r="AG71" s="323">
        <f t="shared" si="230"/>
        <v>1</v>
      </c>
      <c r="AH71" s="195">
        <v>41</v>
      </c>
      <c r="AI71" s="181" t="str">
        <f t="shared" ref="AI71:AI73" si="234">AJ71&amp;$B$68</f>
        <v>2I</v>
      </c>
      <c r="AJ71" s="42">
        <v>2</v>
      </c>
      <c r="AK71" s="602" t="e" cm="1" vm="37">
        <f t="array" aca="1" ref="AK71" ca="1">Ver_flag_visit</f>
        <v>#VALUE!</v>
      </c>
      <c r="AL71" s="37" t="str">
        <f ca="1">IFERROR(INDEX($BD$6:$BD$53,MATCH(AI71,$BN$6:$BN$53,0)),"")</f>
        <v>Noruega</v>
      </c>
      <c r="AM71" s="38">
        <f t="shared" ca="1" si="233"/>
        <v>7</v>
      </c>
      <c r="AN71" s="39">
        <f t="shared" ca="1" si="233"/>
        <v>3</v>
      </c>
      <c r="AO71" s="39">
        <f t="shared" ca="1" si="233"/>
        <v>2</v>
      </c>
      <c r="AP71" s="39">
        <f t="shared" ca="1" si="233"/>
        <v>1</v>
      </c>
      <c r="AQ71" s="39">
        <f t="shared" ca="1" si="233"/>
        <v>0</v>
      </c>
      <c r="AR71" s="39">
        <f t="shared" ca="1" si="233"/>
        <v>4</v>
      </c>
      <c r="AS71" s="39">
        <f t="shared" ca="1" si="233"/>
        <v>2</v>
      </c>
      <c r="AT71" s="43">
        <f t="shared" ca="1" si="233"/>
        <v>2</v>
      </c>
      <c r="AU71" s="330">
        <f ca="1">INDEX($DL$6:$DL$53,MATCH(AI71,$DP$6:$DP$53,0))</f>
        <v>1</v>
      </c>
      <c r="AV71" s="182" t="str">
        <f ca="1">INDEX($BD$6:$BD$53,MATCH(AI71,$BM$6:$BM$53,0))</f>
        <v>Noruega</v>
      </c>
      <c r="AW71" s="210"/>
      <c r="AX71" s="171"/>
      <c r="AY71" s="203" t="str">
        <f ca="1">+A70</f>
        <v>Senegal</v>
      </c>
      <c r="AZ71" s="204"/>
      <c r="BA71" s="176"/>
      <c r="DN71" s="16"/>
    </row>
    <row r="72" spans="1:121" ht="16" customHeight="1">
      <c r="A72" s="16" t="str">
        <f ca="1">+Equipos!B37</f>
        <v>Noruega</v>
      </c>
      <c r="B72" s="16"/>
      <c r="C72" s="16"/>
      <c r="D72" s="16" t="str">
        <f t="shared" si="217"/>
        <v>Empate</v>
      </c>
      <c r="E72" s="16" t="str">
        <f t="shared" ca="1" si="218"/>
        <v>P.1 (2)</v>
      </c>
      <c r="F72" s="16" t="str">
        <f t="shared" ca="1" si="219"/>
        <v>P.1 (2)</v>
      </c>
      <c r="G72" s="16"/>
      <c r="H72" s="16" t="str">
        <f t="shared" ca="1" si="220"/>
        <v>P.1 (2)</v>
      </c>
      <c r="I72" s="16" t="str">
        <f t="shared" ca="1" si="221"/>
        <v>P.1 (2)</v>
      </c>
      <c r="J72" s="16"/>
      <c r="K72" s="16" t="str">
        <f t="shared" ca="1" si="222"/>
        <v>P.1 (2)</v>
      </c>
      <c r="L72" s="16" t="str">
        <f t="shared" ca="1" si="223"/>
        <v>P.1 (2)</v>
      </c>
      <c r="M72" s="16"/>
      <c r="N72" s="16" t="str">
        <f t="shared" ca="1" si="224"/>
        <v>P.1 (2)</v>
      </c>
      <c r="O72" s="16" t="str">
        <f t="shared" ca="1" si="225"/>
        <v>P.1 (2)</v>
      </c>
      <c r="P72" s="16"/>
      <c r="Q72" s="16" t="str">
        <f t="shared" ca="1" si="226"/>
        <v>P.1 (2)</v>
      </c>
      <c r="R72" s="16" t="str">
        <f t="shared" ca="1" si="227"/>
        <v>P.1 (2)</v>
      </c>
      <c r="S72" s="16"/>
      <c r="T72" s="16" t="str">
        <f t="shared" ca="1" si="228"/>
        <v>P.1 (2)</v>
      </c>
      <c r="U72" s="16" t="str">
        <f t="shared" ca="1" si="229"/>
        <v>P.1 (2)</v>
      </c>
      <c r="V72" s="17"/>
      <c r="W72" s="663"/>
      <c r="X72" s="24">
        <f ca="1">Horarios!C72</f>
        <v>46199.875</v>
      </c>
      <c r="Y72" s="25">
        <f ca="1">Horarios!C72</f>
        <v>46199.875</v>
      </c>
      <c r="Z72" s="26" t="str">
        <f>$Z$8</f>
        <v>J3</v>
      </c>
      <c r="AA72" s="27" t="str">
        <f ca="1">A72</f>
        <v>Noruega</v>
      </c>
      <c r="AB72" s="49" t="e" cm="1" vm="37">
        <f t="array" aca="1" ref="AB72" ca="1">Ver_flag_local</f>
        <v>#VALUE!</v>
      </c>
      <c r="AC72" s="50">
        <v>1</v>
      </c>
      <c r="AD72" s="51">
        <v>1</v>
      </c>
      <c r="AE72" s="595" t="e" cm="1" vm="34">
        <f t="array" aca="1" ref="AE72" ca="1">Ver_flag_visit</f>
        <v>#VALUE!</v>
      </c>
      <c r="AF72" s="32" t="str">
        <f ca="1">A69</f>
        <v>Francia</v>
      </c>
      <c r="AG72" s="323">
        <f t="shared" si="230"/>
        <v>1</v>
      </c>
      <c r="AH72" s="195">
        <v>61</v>
      </c>
      <c r="AI72" s="181" t="str">
        <f t="shared" si="234"/>
        <v>3I</v>
      </c>
      <c r="AJ72" s="42">
        <v>3</v>
      </c>
      <c r="AK72" s="602"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4</v>
      </c>
      <c r="AS72" s="39">
        <f t="shared" ca="1" si="233"/>
        <v>3</v>
      </c>
      <c r="AT72" s="43">
        <f t="shared" ca="1" si="233"/>
        <v>1</v>
      </c>
      <c r="AU72" s="330">
        <f ca="1">INDEX($DL$6:$DL$53,MATCH(AI72,$DP$6:$DP$53,0))</f>
        <v>1</v>
      </c>
      <c r="AV72" s="182" t="str">
        <f ca="1">INDEX($BD$6:$BD$53,MATCH(AI72,$BM$6:$BM$53,0))</f>
        <v>Senegal</v>
      </c>
      <c r="AW72" s="210"/>
      <c r="AX72" s="171"/>
      <c r="AY72" s="201" t="str">
        <f ca="1">+A71</f>
        <v>Irak</v>
      </c>
      <c r="AZ72" s="202"/>
      <c r="BA72" s="176"/>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64"/>
      <c r="X73" s="28">
        <f ca="1">Horarios!C73</f>
        <v>46199.875</v>
      </c>
      <c r="Y73" s="29">
        <f ca="1">Horarios!C73</f>
        <v>46199.875</v>
      </c>
      <c r="Z73" s="30" t="str">
        <f>$Z$8</f>
        <v>J3</v>
      </c>
      <c r="AA73" s="31" t="str">
        <f ca="1">A70</f>
        <v>Senegal</v>
      </c>
      <c r="AB73" s="52" t="e" cm="1" vm="35">
        <f t="array" aca="1" ref="AB73" ca="1">Ver_flag_local</f>
        <v>#VALUE!</v>
      </c>
      <c r="AC73" s="53">
        <v>3</v>
      </c>
      <c r="AD73" s="54">
        <v>0</v>
      </c>
      <c r="AE73" s="596" t="e" cm="1" vm="36">
        <f t="array" aca="1" ref="AE73" ca="1">Ver_flag_visit</f>
        <v>#VALUE!</v>
      </c>
      <c r="AF73" s="33" t="str">
        <f ca="1">A71</f>
        <v>Irak</v>
      </c>
      <c r="AG73" s="323">
        <f t="shared" si="230"/>
        <v>1</v>
      </c>
      <c r="AH73" s="195">
        <v>62</v>
      </c>
      <c r="AI73" s="181" t="str">
        <f t="shared" si="234"/>
        <v>4I</v>
      </c>
      <c r="AJ73" s="44">
        <v>4</v>
      </c>
      <c r="AK73" s="604"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8</v>
      </c>
      <c r="AT73" s="48">
        <f t="shared" ca="1" si="233"/>
        <v>-7</v>
      </c>
      <c r="AU73" s="330">
        <f ca="1">INDEX($DL$6:$DL$53,MATCH(AI73,$DP$6:$DP$53,0))</f>
        <v>1</v>
      </c>
      <c r="AV73" s="182" t="str">
        <f ca="1">INDEX($BD$6:$BD$53,MATCH(AI73,$BM$6:$BM$53,0))</f>
        <v>Irak</v>
      </c>
      <c r="AW73" s="210"/>
      <c r="AX73" s="171"/>
      <c r="AY73" s="205" t="str">
        <f ca="1">+A72</f>
        <v>Noruega</v>
      </c>
      <c r="AZ73" s="206"/>
      <c r="BA73" s="176"/>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v>
      </c>
      <c r="G76" s="16"/>
      <c r="H76" s="16" t="str">
        <f t="shared" ref="H76:H81" ca="1" si="238">IF(D76="Pendiente","-",INDEX($BZ$6:$BZ$53,MATCH($AA76,$BD$6:$BD$53,0)))</f>
        <v>-</v>
      </c>
      <c r="I76" s="16" t="str">
        <f t="shared" ref="I76:I81" ca="1" si="239">IF(D76="Pendiente","-",INDEX($BZ$6:$BZ$53,MATCH($AF76,$BD$6:$BD$53,0)))</f>
        <v>-</v>
      </c>
      <c r="J76" s="16"/>
      <c r="K76" s="16" t="str">
        <f t="shared" ref="K76:K81" ca="1" si="240">IF(D76="Pendiente","-",INDEX($CE$6:$CE$53,MATCH($AA76,$BD$6:$BD$53,0)))</f>
        <v>-</v>
      </c>
      <c r="L76" s="16" t="str">
        <f t="shared" ref="L76:L81" ca="1" si="241">IF(D76="Pendiente","-",INDEX($CE$6:$CE$53,MATCH($AF76,$BD$6:$BD$53,0)))</f>
        <v>-</v>
      </c>
      <c r="M76" s="16"/>
      <c r="N76" s="16" t="str">
        <f t="shared" ref="N76:N81" ca="1" si="242">IF(D76="Pendiente","-",INDEX($CH$6:$CH$53,MATCH($AA76,$BD$6:$BD$53,0)))</f>
        <v>-</v>
      </c>
      <c r="O76" s="16" t="str">
        <f t="shared" ref="O76:O81" ca="1" si="243">IF(D76="Pendiente","-",INDEX($CH$6:$CH$53,MATCH($AF76,$BD$6:$BD$53,0)))</f>
        <v>-</v>
      </c>
      <c r="P76" s="16"/>
      <c r="Q76" s="16" t="str">
        <f t="shared" ref="Q76:Q81" ca="1" si="244">IF(D76="Pendiente","-",INDEX($CN$6:$CN$53,MATCH($AA76,$BD$6:$BD$53,0)))</f>
        <v>-</v>
      </c>
      <c r="R76" s="16" t="str">
        <f t="shared" ref="R76:R81" ca="1" si="245">IF(D76="Pendiente","-",INDEX($CN$6:$CN$53,MATCH($AF76,$BD$6:$BD$53,0)))</f>
        <v>-</v>
      </c>
      <c r="S76" s="16"/>
      <c r="T76" s="16" t="str">
        <f t="shared" ref="T76:T81" ca="1" si="246">IF(D76="Pendiente","-",INDEX($CS$6:$CS$53,MATCH($AA76,$BD$6:$BD$53,0)))</f>
        <v>-</v>
      </c>
      <c r="U76" s="16" t="str">
        <f t="shared" ref="U76:U81" ca="1" si="247">IF(D76="Pendiente","-",INDEX($CS$6:$CS$53,MATCH($AF76,$BD$6:$BD$53,0)))</f>
        <v>-</v>
      </c>
      <c r="V76" s="17"/>
      <c r="W76" s="659" t="s">
        <v>5</v>
      </c>
      <c r="X76" s="24">
        <f ca="1">Horarios!C76</f>
        <v>46190.125</v>
      </c>
      <c r="Y76" s="25">
        <f ca="1">Horarios!C76</f>
        <v>46190.125</v>
      </c>
      <c r="Z76" s="26" t="str">
        <f>$Z$4</f>
        <v>J1</v>
      </c>
      <c r="AA76" s="27" t="str">
        <f ca="1">A77</f>
        <v>Argentina</v>
      </c>
      <c r="AB76" s="49" t="e" cm="1" vm="38">
        <f t="array" aca="1" ref="AB76" ca="1">Ver_flag_local</f>
        <v>#VALUE!</v>
      </c>
      <c r="AC76" s="50">
        <v>3</v>
      </c>
      <c r="AD76" s="51">
        <v>1</v>
      </c>
      <c r="AE76" s="595" t="e" cm="1" vm="39">
        <f t="array" aca="1" ref="AE76" ca="1">Ver_flag_visit</f>
        <v>#VALUE!</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6" customHeight="1">
      <c r="A77" s="16" t="str">
        <f ca="1">+Equipos!B38</f>
        <v>Argentina</v>
      </c>
      <c r="B77" s="16"/>
      <c r="C77" s="16"/>
      <c r="D77" s="16" t="str">
        <f t="shared" si="235"/>
        <v>Empate</v>
      </c>
      <c r="E77" s="16" t="str">
        <f t="shared" ca="1" si="236"/>
        <v>-</v>
      </c>
      <c r="F77" s="16" t="str">
        <f t="shared" ca="1" si="237"/>
        <v>-</v>
      </c>
      <c r="G77" s="16"/>
      <c r="H77" s="16" t="str">
        <f t="shared" ca="1" si="238"/>
        <v>-</v>
      </c>
      <c r="I77" s="16" t="str">
        <f t="shared" ca="1" si="239"/>
        <v>-</v>
      </c>
      <c r="J77" s="16"/>
      <c r="K77" s="16" t="str">
        <f t="shared" ca="1" si="240"/>
        <v>-</v>
      </c>
      <c r="L77" s="16" t="str">
        <f t="shared" ca="1" si="241"/>
        <v>-</v>
      </c>
      <c r="M77" s="16"/>
      <c r="N77" s="16" t="str">
        <f t="shared" ca="1" si="242"/>
        <v>-</v>
      </c>
      <c r="O77" s="16" t="str">
        <f t="shared" ca="1" si="243"/>
        <v>-</v>
      </c>
      <c r="P77" s="16"/>
      <c r="Q77" s="16" t="str">
        <f t="shared" ca="1" si="244"/>
        <v>-</v>
      </c>
      <c r="R77" s="16" t="str">
        <f t="shared" ca="1" si="245"/>
        <v>-</v>
      </c>
      <c r="S77" s="16"/>
      <c r="T77" s="16" t="str">
        <f t="shared" ca="1" si="246"/>
        <v>-</v>
      </c>
      <c r="U77" s="16" t="str">
        <f t="shared" ca="1" si="247"/>
        <v>-</v>
      </c>
      <c r="V77" s="17"/>
      <c r="W77" s="659"/>
      <c r="X77" s="24">
        <f ca="1">Horarios!C77</f>
        <v>46190.25</v>
      </c>
      <c r="Y77" s="25">
        <f ca="1">Horarios!C77</f>
        <v>46190.25</v>
      </c>
      <c r="Z77" s="26" t="str">
        <f>$Z$4</f>
        <v>J1</v>
      </c>
      <c r="AA77" s="27" t="str">
        <f ca="1">A79</f>
        <v>Austria</v>
      </c>
      <c r="AB77" s="49" t="e" cm="1" vm="40">
        <f t="array" aca="1" ref="AB77" ca="1">Ver_flag_local</f>
        <v>#VALUE!</v>
      </c>
      <c r="AC77" s="50">
        <v>1</v>
      </c>
      <c r="AD77" s="51">
        <v>1</v>
      </c>
      <c r="AE77" s="595" t="e" cm="1" vm="41">
        <f t="array" aca="1" ref="AE77" ca="1">Ver_flag_visit</f>
        <v>#VALUE!</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6" customHeight="1">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59"/>
      <c r="X78" s="24">
        <f ca="1">Horarios!C78</f>
        <v>46195.791666666664</v>
      </c>
      <c r="Y78" s="25">
        <f ca="1">Horarios!C78</f>
        <v>46195.791666666664</v>
      </c>
      <c r="Z78" s="26" t="str">
        <f>$Z$6</f>
        <v>J2</v>
      </c>
      <c r="AA78" s="27" t="str">
        <f ca="1">A77</f>
        <v>Argentina</v>
      </c>
      <c r="AB78" s="49" t="e" cm="1" vm="38">
        <f t="array" aca="1" ref="AB78" ca="1">Ver_flag_local</f>
        <v>#VALUE!</v>
      </c>
      <c r="AC78" s="50">
        <v>1</v>
      </c>
      <c r="AD78" s="51">
        <v>0</v>
      </c>
      <c r="AE78" s="595" t="e" cm="1" vm="40">
        <f t="array" aca="1" ref="AE78" ca="1">Ver_flag_visit</f>
        <v>#VALUE!</v>
      </c>
      <c r="AF78" s="32" t="str">
        <f ca="1">A79</f>
        <v>Austria</v>
      </c>
      <c r="AG78" s="323">
        <f t="shared" si="248"/>
        <v>1</v>
      </c>
      <c r="AH78" s="195">
        <v>43</v>
      </c>
      <c r="AI78" s="181" t="str">
        <f>AJ78&amp;$B$76</f>
        <v>1J</v>
      </c>
      <c r="AJ78" s="40">
        <v>1</v>
      </c>
      <c r="AK78" s="601"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5</v>
      </c>
      <c r="AS78" s="36">
        <f t="shared" ca="1" si="251"/>
        <v>1</v>
      </c>
      <c r="AT78" s="41">
        <f t="shared" ca="1" si="251"/>
        <v>4</v>
      </c>
      <c r="AU78" s="330">
        <f ca="1">INDEX($DL$6:$DL$53,MATCH(AI78,$DP$6:$DP$53,0))</f>
        <v>1</v>
      </c>
      <c r="AV78" s="182" t="str">
        <f ca="1">INDEX($BD$6:$BD$53,MATCH(AI78,$BM$6:$BM$53,0))</f>
        <v>Argentina</v>
      </c>
      <c r="AW78" s="210"/>
      <c r="AX78" s="171"/>
      <c r="AY78" s="201" t="str">
        <f ca="1">+A77</f>
        <v>Argentina</v>
      </c>
      <c r="AZ78" s="202"/>
      <c r="BA78" s="176"/>
      <c r="DN78" s="16"/>
    </row>
    <row r="79" spans="1:121" ht="16" customHeight="1">
      <c r="A79" s="16" t="str">
        <f ca="1">+Equipos!B40</f>
        <v>Austria</v>
      </c>
      <c r="B79" s="16"/>
      <c r="C79" s="16"/>
      <c r="D79" s="16" t="str">
        <f t="shared" si="235"/>
        <v>Visitante</v>
      </c>
      <c r="E79" s="16" t="str">
        <f t="shared" ca="1" si="236"/>
        <v>-</v>
      </c>
      <c r="F79" s="16" t="str">
        <f t="shared" ca="1" si="237"/>
        <v>-</v>
      </c>
      <c r="G79" s="16"/>
      <c r="H79" s="16" t="str">
        <f t="shared" ca="1" si="238"/>
        <v>-</v>
      </c>
      <c r="I79" s="16" t="str">
        <f t="shared" ca="1" si="239"/>
        <v>-</v>
      </c>
      <c r="J79" s="16"/>
      <c r="K79" s="16" t="str">
        <f t="shared" ca="1" si="240"/>
        <v>-</v>
      </c>
      <c r="L79" s="16" t="str">
        <f t="shared" ca="1" si="241"/>
        <v>-</v>
      </c>
      <c r="M79" s="16"/>
      <c r="N79" s="16" t="str">
        <f t="shared" ca="1" si="242"/>
        <v>-</v>
      </c>
      <c r="O79" s="16" t="str">
        <f t="shared" ca="1" si="243"/>
        <v>-</v>
      </c>
      <c r="P79" s="16"/>
      <c r="Q79" s="16" t="str">
        <f t="shared" ca="1" si="244"/>
        <v>-</v>
      </c>
      <c r="R79" s="16" t="str">
        <f t="shared" ca="1" si="245"/>
        <v>-</v>
      </c>
      <c r="S79" s="16"/>
      <c r="T79" s="16" t="str">
        <f t="shared" ca="1" si="246"/>
        <v>-</v>
      </c>
      <c r="U79" s="16" t="str">
        <f t="shared" ca="1" si="247"/>
        <v>-</v>
      </c>
      <c r="V79" s="17"/>
      <c r="W79" s="659"/>
      <c r="X79" s="24">
        <f ca="1">Horarios!C79</f>
        <v>46196.208333333336</v>
      </c>
      <c r="Y79" s="25">
        <f ca="1">Horarios!C79</f>
        <v>46196.208333333336</v>
      </c>
      <c r="Z79" s="26" t="str">
        <f>$Z$6</f>
        <v>J2</v>
      </c>
      <c r="AA79" s="27" t="str">
        <f ca="1">A80</f>
        <v>Jordania</v>
      </c>
      <c r="AB79" s="49" t="e" cm="1" vm="41">
        <f t="array" aca="1" ref="AB79" ca="1">Ver_flag_local</f>
        <v>#VALUE!</v>
      </c>
      <c r="AC79" s="50">
        <v>0</v>
      </c>
      <c r="AD79" s="51">
        <v>1</v>
      </c>
      <c r="AE79" s="595" t="e" cm="1" vm="39">
        <f t="array" aca="1" ref="AE79" ca="1">Ver_flag_visit</f>
        <v>#VALUE!</v>
      </c>
      <c r="AF79" s="32" t="str">
        <f ca="1">A78</f>
        <v>Argelia</v>
      </c>
      <c r="AG79" s="323">
        <f t="shared" si="248"/>
        <v>1</v>
      </c>
      <c r="AH79" s="195">
        <v>44</v>
      </c>
      <c r="AI79" s="181" t="str">
        <f t="shared" ref="AI79:AI81" si="252">AJ79&amp;$B$76</f>
        <v>2J</v>
      </c>
      <c r="AJ79" s="42">
        <v>2</v>
      </c>
      <c r="AK79" s="602" t="e" cm="1" vm="39">
        <f t="array" aca="1" ref="AK79" ca="1">Ver_flag_visit</f>
        <v>#VALUE!</v>
      </c>
      <c r="AL79" s="37" t="str">
        <f ca="1">IFERROR(INDEX($BD$6:$BD$53,MATCH(AI79,$BN$6:$BN$53,0)),"")</f>
        <v>Argelia</v>
      </c>
      <c r="AM79" s="38">
        <f t="shared" ca="1" si="251"/>
        <v>4</v>
      </c>
      <c r="AN79" s="39">
        <f t="shared" ca="1" si="251"/>
        <v>3</v>
      </c>
      <c r="AO79" s="39">
        <f t="shared" ca="1" si="251"/>
        <v>1</v>
      </c>
      <c r="AP79" s="39">
        <f t="shared" ca="1" si="251"/>
        <v>1</v>
      </c>
      <c r="AQ79" s="39">
        <f t="shared" ca="1" si="251"/>
        <v>1</v>
      </c>
      <c r="AR79" s="39">
        <f t="shared" ca="1" si="251"/>
        <v>4</v>
      </c>
      <c r="AS79" s="39">
        <f t="shared" ca="1" si="251"/>
        <v>5</v>
      </c>
      <c r="AT79" s="43">
        <f t="shared" ca="1" si="251"/>
        <v>-1</v>
      </c>
      <c r="AU79" s="330">
        <f ca="1">INDEX($DL$6:$DL$53,MATCH(AI79,$DP$6:$DP$53,0))</f>
        <v>1</v>
      </c>
      <c r="AV79" s="182" t="str">
        <f ca="1">INDEX($BD$6:$BD$53,MATCH(AI79,$BM$6:$BM$53,0))</f>
        <v>Argelia</v>
      </c>
      <c r="AW79" s="210"/>
      <c r="AX79" s="171"/>
      <c r="AY79" s="203" t="str">
        <f ca="1">+A78</f>
        <v>Argelia</v>
      </c>
      <c r="AZ79" s="204"/>
      <c r="BA79" s="176"/>
      <c r="DN79" s="16"/>
    </row>
    <row r="80" spans="1:121" ht="16" customHeight="1">
      <c r="A80" s="16" t="str">
        <f ca="1">+Equipos!B41</f>
        <v>Jordania</v>
      </c>
      <c r="B80" s="16"/>
      <c r="C80" s="16"/>
      <c r="D80" s="16" t="str">
        <f t="shared" si="235"/>
        <v>Empate</v>
      </c>
      <c r="E80" s="16" t="str">
        <f t="shared" ca="1" si="236"/>
        <v>-</v>
      </c>
      <c r="F80" s="16" t="str">
        <f t="shared" ca="1" si="237"/>
        <v>-</v>
      </c>
      <c r="G80" s="16"/>
      <c r="H80" s="16" t="str">
        <f t="shared" ca="1" si="238"/>
        <v>-</v>
      </c>
      <c r="I80" s="16" t="str">
        <f t="shared" ca="1" si="239"/>
        <v>-</v>
      </c>
      <c r="J80" s="16"/>
      <c r="K80" s="16" t="str">
        <f t="shared" ca="1" si="240"/>
        <v>-</v>
      </c>
      <c r="L80" s="16" t="str">
        <f t="shared" ca="1" si="241"/>
        <v>-</v>
      </c>
      <c r="M80" s="16"/>
      <c r="N80" s="16" t="str">
        <f t="shared" ca="1" si="242"/>
        <v>-</v>
      </c>
      <c r="O80" s="16" t="str">
        <f t="shared" ca="1" si="243"/>
        <v>-</v>
      </c>
      <c r="P80" s="16"/>
      <c r="Q80" s="16" t="str">
        <f t="shared" ca="1" si="244"/>
        <v>-</v>
      </c>
      <c r="R80" s="16" t="str">
        <f t="shared" ca="1" si="245"/>
        <v>-</v>
      </c>
      <c r="S80" s="16"/>
      <c r="T80" s="16" t="str">
        <f t="shared" ca="1" si="246"/>
        <v>-</v>
      </c>
      <c r="U80" s="16" t="str">
        <f t="shared" ca="1" si="247"/>
        <v>-</v>
      </c>
      <c r="V80" s="17"/>
      <c r="W80" s="659"/>
      <c r="X80" s="24">
        <f ca="1">Horarios!C80</f>
        <v>46201.166666666664</v>
      </c>
      <c r="Y80" s="25">
        <f ca="1">Horarios!C80</f>
        <v>46201.166666666664</v>
      </c>
      <c r="Z80" s="26" t="str">
        <f>$Z$8</f>
        <v>J3</v>
      </c>
      <c r="AA80" s="27" t="str">
        <f ca="1">A78</f>
        <v>Argelia</v>
      </c>
      <c r="AB80" s="49" t="e" cm="1" vm="39">
        <f t="array" aca="1" ref="AB80" ca="1">Ver_flag_local</f>
        <v>#VALUE!</v>
      </c>
      <c r="AC80" s="50">
        <v>2</v>
      </c>
      <c r="AD80" s="51">
        <v>2</v>
      </c>
      <c r="AE80" s="595" t="e" cm="1" vm="40">
        <f t="array" aca="1" ref="AE80" ca="1">Ver_flag_visit</f>
        <v>#VALUE!</v>
      </c>
      <c r="AF80" s="32" t="str">
        <f ca="1">A79</f>
        <v>Austria</v>
      </c>
      <c r="AG80" s="323">
        <f t="shared" si="248"/>
        <v>1</v>
      </c>
      <c r="AH80" s="195">
        <v>69</v>
      </c>
      <c r="AI80" s="181" t="str">
        <f t="shared" si="252"/>
        <v>3J</v>
      </c>
      <c r="AJ80" s="42">
        <v>3</v>
      </c>
      <c r="AK80" s="602" t="e" cm="1" vm="40">
        <f t="array" aca="1" ref="AK80" ca="1">Ver_flag_visit</f>
        <v>#VALUE!</v>
      </c>
      <c r="AL80" s="37" t="str">
        <f ca="1">IFERROR(INDEX($BD$6:$BD$53,MATCH(AI80,$BN$6:$BN$53,0)),"")</f>
        <v>Austria</v>
      </c>
      <c r="AM80" s="38">
        <f t="shared" ca="1" si="251"/>
        <v>2</v>
      </c>
      <c r="AN80" s="39">
        <f t="shared" ca="1" si="251"/>
        <v>3</v>
      </c>
      <c r="AO80" s="39">
        <f t="shared" ca="1" si="251"/>
        <v>0</v>
      </c>
      <c r="AP80" s="39">
        <f t="shared" ca="1" si="251"/>
        <v>2</v>
      </c>
      <c r="AQ80" s="39">
        <f t="shared" ca="1" si="251"/>
        <v>1</v>
      </c>
      <c r="AR80" s="39">
        <f t="shared" ca="1" si="251"/>
        <v>3</v>
      </c>
      <c r="AS80" s="39">
        <f t="shared" ca="1" si="251"/>
        <v>4</v>
      </c>
      <c r="AT80" s="43">
        <f t="shared" ca="1" si="251"/>
        <v>-1</v>
      </c>
      <c r="AU80" s="330">
        <f ca="1">INDEX($DL$6:$DL$53,MATCH(AI80,$DP$6:$DP$53,0))</f>
        <v>1</v>
      </c>
      <c r="AV80" s="182" t="str">
        <f ca="1">INDEX($BD$6:$BD$53,MATCH(AI80,$BM$6:$BM$53,0))</f>
        <v>Austria</v>
      </c>
      <c r="AW80" s="210"/>
      <c r="AX80" s="171"/>
      <c r="AY80" s="201" t="str">
        <f ca="1">+A79</f>
        <v>Austria</v>
      </c>
      <c r="AZ80" s="202"/>
      <c r="BA80" s="176"/>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60"/>
      <c r="X81" s="28">
        <f ca="1">Horarios!C81</f>
        <v>46201.166666666664</v>
      </c>
      <c r="Y81" s="29">
        <f ca="1">Horarios!C81</f>
        <v>46201.166666666664</v>
      </c>
      <c r="Z81" s="30" t="str">
        <f>$Z$8</f>
        <v>J3</v>
      </c>
      <c r="AA81" s="31" t="str">
        <f ca="1">A80</f>
        <v>Jordania</v>
      </c>
      <c r="AB81" s="52" t="e" cm="1" vm="41">
        <f t="array" aca="1" ref="AB81" ca="1">Ver_flag_local</f>
        <v>#VALUE!</v>
      </c>
      <c r="AC81" s="53">
        <v>0</v>
      </c>
      <c r="AD81" s="54">
        <v>1</v>
      </c>
      <c r="AE81" s="596" t="e" cm="1" vm="38">
        <f t="array" aca="1" ref="AE81" ca="1">Ver_flag_visit</f>
        <v>#VALUE!</v>
      </c>
      <c r="AF81" s="33" t="str">
        <f ca="1">A77</f>
        <v>Argentina</v>
      </c>
      <c r="AG81" s="323">
        <f t="shared" si="248"/>
        <v>1</v>
      </c>
      <c r="AH81" s="195">
        <v>70</v>
      </c>
      <c r="AI81" s="181" t="str">
        <f t="shared" si="252"/>
        <v>4J</v>
      </c>
      <c r="AJ81" s="44">
        <v>4</v>
      </c>
      <c r="AK81" s="604" t="e" cm="1" vm="41">
        <f t="array" aca="1" ref="AK81" ca="1">Ver_flag_visit</f>
        <v>#VALUE!</v>
      </c>
      <c r="AL81" s="45" t="str">
        <f ca="1">IFERROR(INDEX($BD$6:$BD$53,MATCH(AI81,$BN$6:$BN$53,0)),"")</f>
        <v>Jordania</v>
      </c>
      <c r="AM81" s="46">
        <f t="shared" ca="1" si="251"/>
        <v>1</v>
      </c>
      <c r="AN81" s="47">
        <f t="shared" ca="1" si="251"/>
        <v>3</v>
      </c>
      <c r="AO81" s="47">
        <f t="shared" ca="1" si="251"/>
        <v>0</v>
      </c>
      <c r="AP81" s="47">
        <f t="shared" ca="1" si="251"/>
        <v>1</v>
      </c>
      <c r="AQ81" s="47">
        <f t="shared" ca="1" si="251"/>
        <v>2</v>
      </c>
      <c r="AR81" s="47">
        <f t="shared" ca="1" si="251"/>
        <v>1</v>
      </c>
      <c r="AS81" s="47">
        <f t="shared" ca="1" si="251"/>
        <v>3</v>
      </c>
      <c r="AT81" s="48">
        <f t="shared" ca="1" si="251"/>
        <v>-2</v>
      </c>
      <c r="AU81" s="330">
        <f ca="1">INDEX($DL$6:$DL$53,MATCH(AI81,$DP$6:$DP$53,0))</f>
        <v>1</v>
      </c>
      <c r="AV81" s="182" t="str">
        <f ca="1">INDEX($BD$6:$BD$53,MATCH(AI81,$BM$6:$BM$53,0))</f>
        <v>Jordania</v>
      </c>
      <c r="AW81" s="210"/>
      <c r="AX81" s="171"/>
      <c r="AY81" s="205" t="str">
        <f ca="1">+A80</f>
        <v>Jordania</v>
      </c>
      <c r="AZ81" s="206"/>
      <c r="BA81" s="176"/>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6" customHeight="1" thickBot="1">
      <c r="A84" s="16" t="s">
        <v>32</v>
      </c>
      <c r="B84" s="16" t="s">
        <v>449</v>
      </c>
      <c r="C84" s="16">
        <f>COUNTIF(Equipos!$C$2:$C$49,WORLDCUP!B84)</f>
        <v>4</v>
      </c>
      <c r="D84" s="16" t="str">
        <f t="shared" ref="D84:D89" si="253">IF(OR(AC84="",AD84=""),"Pendiente",IF(AC84&gt;AD84,"Local",IF(AC84&lt;AD84,"Visitante","Empate")))</f>
        <v>Local</v>
      </c>
      <c r="E84" s="16" t="str">
        <f t="shared" ref="E84:E89" ca="1" si="254">IF(D84="Pendiente","-",INDEX($BT$6:$BT$53,MATCH($AA84,$BD$6:$BD$53,0)))</f>
        <v>P.1 (2)</v>
      </c>
      <c r="F84" s="16" t="str">
        <f t="shared" ref="F84:F89" ca="1" si="255">IF(D84="Pendiente","-",INDEX($BT$6:$BT$53,MATCH($AF84,$BD$6:$BD$53,0)))</f>
        <v>-</v>
      </c>
      <c r="G84" s="16"/>
      <c r="H84" s="16" t="str">
        <f t="shared" ref="H84:H89" ca="1" si="256">IF(D84="Pendiente","-",INDEX($BZ$6:$BZ$53,MATCH($AA84,$BD$6:$BD$53,0)))</f>
        <v>P.1 (2)</v>
      </c>
      <c r="I84" s="16" t="str">
        <f t="shared" ref="I84:I89" ca="1" si="257">IF(D84="Pendiente","-",INDEX($BZ$6:$BZ$53,MATCH($AF84,$BD$6:$BD$53,0)))</f>
        <v>-</v>
      </c>
      <c r="J84" s="16"/>
      <c r="K84" s="16" t="str">
        <f t="shared" ref="K84:K89" ca="1" si="258">IF(D84="Pendiente","-",INDEX($CE$6:$CE$53,MATCH($AA84,$BD$6:$BD$53,0)))</f>
        <v>P.1 (2)</v>
      </c>
      <c r="L84" s="16" t="str">
        <f t="shared" ref="L84:L89" ca="1" si="259">IF(D84="Pendiente","-",INDEX($CE$6:$CE$53,MATCH($AF84,$BD$6:$BD$53,0)))</f>
        <v>-</v>
      </c>
      <c r="M84" s="16"/>
      <c r="N84" s="16" t="str">
        <f t="shared" ref="N84:N89" ca="1" si="260">IF(D84="Pendiente","-",INDEX($CH$6:$CH$53,MATCH($AA84,$BD$6:$BD$53,0)))</f>
        <v>P.1 (2)</v>
      </c>
      <c r="O84" s="16" t="str">
        <f t="shared" ref="O84:O89" ca="1" si="261">IF(D84="Pendiente","-",INDEX($CH$6:$CH$53,MATCH($AF84,$BD$6:$BD$53,0)))</f>
        <v>-</v>
      </c>
      <c r="P84" s="16"/>
      <c r="Q84" s="16" t="str">
        <f t="shared" ref="Q84:Q89" ca="1" si="262">IF(D84="Pendiente","-",INDEX($CN$6:$CN$53,MATCH($AA84,$BD$6:$BD$53,0)))</f>
        <v>P.1 (2)</v>
      </c>
      <c r="R84" s="16" t="str">
        <f t="shared" ref="R84:R89" ca="1" si="263">IF(D84="Pendiente","-",INDEX($CN$6:$CN$53,MATCH($AF84,$BD$6:$BD$53,0)))</f>
        <v>-</v>
      </c>
      <c r="S84" s="16"/>
      <c r="T84" s="16" t="str">
        <f t="shared" ref="T84:T89" ca="1" si="264">IF(D84="Pendiente","-",INDEX($CS$6:$CS$53,MATCH($AA84,$BD$6:$BD$53,0)))</f>
        <v>P.1 (2)</v>
      </c>
      <c r="U84" s="16" t="str">
        <f t="shared" ref="U84:U89" ca="1" si="265">IF(D84="Pendiente","-",INDEX($CS$6:$CS$53,MATCH($AF84,$BD$6:$BD$53,0)))</f>
        <v>-</v>
      </c>
      <c r="V84" s="17"/>
      <c r="W84" s="665" t="s">
        <v>449</v>
      </c>
      <c r="X84" s="24">
        <f ca="1">Horarios!C84</f>
        <v>46190.791666666664</v>
      </c>
      <c r="Y84" s="25">
        <f ca="1">Horarios!C84</f>
        <v>46190.791666666664</v>
      </c>
      <c r="Z84" s="26" t="str">
        <f>$Z$4</f>
        <v>J1</v>
      </c>
      <c r="AA84" s="27" t="str">
        <f ca="1">A85</f>
        <v>Portugal</v>
      </c>
      <c r="AB84" s="49" t="e" cm="1" vm="42">
        <f t="array" aca="1" ref="AB84" ca="1">Ver_flag_local</f>
        <v>#VALUE!</v>
      </c>
      <c r="AC84" s="50">
        <v>4</v>
      </c>
      <c r="AD84" s="51">
        <v>0</v>
      </c>
      <c r="AE84" s="595" t="e" cm="1" vm="43">
        <f t="array" aca="1" ref="AE84" ca="1">Ver_flag_visit</f>
        <v>#VALUE!</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6" customHeight="1">
      <c r="A85" s="16" t="str">
        <f ca="1">+Equipos!B42</f>
        <v>Portugal</v>
      </c>
      <c r="B85" s="16"/>
      <c r="C85" s="16"/>
      <c r="D85" s="16" t="str">
        <f t="shared" si="253"/>
        <v>Visitante</v>
      </c>
      <c r="E85" s="16" t="str">
        <f t="shared" ca="1" si="254"/>
        <v>-</v>
      </c>
      <c r="F85" s="16" t="str">
        <f t="shared" ca="1" si="255"/>
        <v>P.1 (2)</v>
      </c>
      <c r="G85" s="16"/>
      <c r="H85" s="16" t="str">
        <f t="shared" ca="1" si="256"/>
        <v>-</v>
      </c>
      <c r="I85" s="16" t="str">
        <f t="shared" ca="1" si="257"/>
        <v>P.1 (2)</v>
      </c>
      <c r="J85" s="16"/>
      <c r="K85" s="16" t="str">
        <f t="shared" ca="1" si="258"/>
        <v>-</v>
      </c>
      <c r="L85" s="16" t="str">
        <f t="shared" ca="1" si="259"/>
        <v>P.1 (2)</v>
      </c>
      <c r="M85" s="16"/>
      <c r="N85" s="16" t="str">
        <f t="shared" ca="1" si="260"/>
        <v>-</v>
      </c>
      <c r="O85" s="16" t="str">
        <f t="shared" ca="1" si="261"/>
        <v>P.1 (2)</v>
      </c>
      <c r="P85" s="16"/>
      <c r="Q85" s="16" t="str">
        <f t="shared" ca="1" si="262"/>
        <v>-</v>
      </c>
      <c r="R85" s="16" t="str">
        <f t="shared" ca="1" si="263"/>
        <v>P.1 (2)</v>
      </c>
      <c r="S85" s="16"/>
      <c r="T85" s="16" t="str">
        <f t="shared" ca="1" si="264"/>
        <v>-</v>
      </c>
      <c r="U85" s="16" t="str">
        <f t="shared" ca="1" si="265"/>
        <v>P.1 (2)</v>
      </c>
      <c r="V85" s="17"/>
      <c r="W85" s="665"/>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95" t="e" cm="1" vm="45">
        <f t="array" aca="1" ref="AE85" ca="1">Ver_flag_visit</f>
        <v>#VALUE!</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6" customHeight="1">
      <c r="A86" s="16" t="str">
        <f ca="1">+Equipos!B43</f>
        <v>RD Congo</v>
      </c>
      <c r="B86" s="16"/>
      <c r="C86" s="16"/>
      <c r="D86" s="16" t="str">
        <f t="shared" si="253"/>
        <v>Local</v>
      </c>
      <c r="E86" s="16" t="str">
        <f t="shared" ca="1" si="254"/>
        <v>P.1 (2)</v>
      </c>
      <c r="F86" s="16" t="str">
        <f t="shared" ca="1" si="255"/>
        <v>-</v>
      </c>
      <c r="G86" s="16"/>
      <c r="H86" s="16" t="str">
        <f t="shared" ca="1" si="256"/>
        <v>P.1 (2)</v>
      </c>
      <c r="I86" s="16" t="str">
        <f t="shared" ca="1" si="257"/>
        <v>-</v>
      </c>
      <c r="J86" s="16"/>
      <c r="K86" s="16" t="str">
        <f t="shared" ca="1" si="258"/>
        <v>P.1 (2)</v>
      </c>
      <c r="L86" s="16" t="str">
        <f t="shared" ca="1" si="259"/>
        <v>-</v>
      </c>
      <c r="M86" s="16"/>
      <c r="N86" s="16" t="str">
        <f t="shared" ca="1" si="260"/>
        <v>P.1 (2)</v>
      </c>
      <c r="O86" s="16" t="str">
        <f t="shared" ca="1" si="261"/>
        <v>-</v>
      </c>
      <c r="P86" s="16"/>
      <c r="Q86" s="16" t="str">
        <f t="shared" ca="1" si="262"/>
        <v>P.1 (2)</v>
      </c>
      <c r="R86" s="16" t="str">
        <f t="shared" ca="1" si="263"/>
        <v>-</v>
      </c>
      <c r="S86" s="16"/>
      <c r="T86" s="16" t="str">
        <f t="shared" ca="1" si="264"/>
        <v>P.1 (2)</v>
      </c>
      <c r="U86" s="16" t="str">
        <f t="shared" ca="1" si="265"/>
        <v>-</v>
      </c>
      <c r="V86" s="17"/>
      <c r="W86" s="665"/>
      <c r="X86" s="24">
        <f ca="1">Horarios!C86</f>
        <v>46196.791666666664</v>
      </c>
      <c r="Y86" s="25">
        <f ca="1">Horarios!C86</f>
        <v>46196.791666666664</v>
      </c>
      <c r="Z86" s="26" t="str">
        <f>$Z$6</f>
        <v>J2</v>
      </c>
      <c r="AA86" s="27" t="str">
        <f ca="1">A85</f>
        <v>Portugal</v>
      </c>
      <c r="AB86" s="49" t="e" cm="1" vm="42">
        <f t="array" aca="1" ref="AB86" ca="1">Ver_flag_local</f>
        <v>#VALUE!</v>
      </c>
      <c r="AC86" s="50">
        <v>3</v>
      </c>
      <c r="AD86" s="51">
        <v>0</v>
      </c>
      <c r="AE86" s="595" t="e" cm="1" vm="44">
        <f t="array" aca="1" ref="AE86" ca="1">Ver_flag_visit</f>
        <v>#VALUE!</v>
      </c>
      <c r="AF86" s="32" t="str">
        <f ca="1">A87</f>
        <v>Uzbekistán</v>
      </c>
      <c r="AG86" s="323">
        <f t="shared" si="266"/>
        <v>1</v>
      </c>
      <c r="AH86" s="195">
        <v>47</v>
      </c>
      <c r="AI86" s="181" t="str">
        <f>AJ86&amp;$B$84</f>
        <v>1K</v>
      </c>
      <c r="AJ86" s="40">
        <v>1</v>
      </c>
      <c r="AK86" s="601" t="e" cm="1" vm="42">
        <f t="array" aca="1" ref="AK86" ca="1">Ver_flag_visit</f>
        <v>#VALUE!</v>
      </c>
      <c r="AL86" s="34" t="str">
        <f ca="1">IFERROR(INDEX($BD$6:$BD$53,MATCH(AI86,$BN$6:$BN$53,0)),"")</f>
        <v>Portugal</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9</v>
      </c>
      <c r="AS86" s="36">
        <f t="shared" ca="1" si="269"/>
        <v>2</v>
      </c>
      <c r="AT86" s="41">
        <f t="shared" ca="1" si="269"/>
        <v>7</v>
      </c>
      <c r="AU86" s="330">
        <f ca="1">INDEX($DL$6:$DL$53,MATCH(AI86,$DP$6:$DP$53,0))</f>
        <v>1</v>
      </c>
      <c r="AV86" s="182" t="str">
        <f ca="1">INDEX($BD$6:$BD$53,MATCH(AI86,$BM$6:$BM$53,0))</f>
        <v>Portugal</v>
      </c>
      <c r="AW86" s="210"/>
      <c r="AX86" s="171"/>
      <c r="AY86" s="201" t="str">
        <f ca="1">+A85</f>
        <v>Portugal</v>
      </c>
      <c r="AZ86" s="202"/>
      <c r="BA86" s="176"/>
      <c r="DN86" s="16"/>
    </row>
    <row r="87" spans="1:118" ht="16" customHeight="1">
      <c r="A87" s="16" t="str">
        <f ca="1">+Equipos!B44</f>
        <v>Uzbekistán</v>
      </c>
      <c r="B87" s="16"/>
      <c r="C87" s="16"/>
      <c r="D87" s="16" t="str">
        <f t="shared" si="253"/>
        <v>Local</v>
      </c>
      <c r="E87" s="16" t="str">
        <f t="shared" ca="1" si="254"/>
        <v>P.1 (2)</v>
      </c>
      <c r="F87" s="16" t="str">
        <f t="shared" ca="1" si="255"/>
        <v>-</v>
      </c>
      <c r="G87" s="16"/>
      <c r="H87" s="16" t="str">
        <f t="shared" ca="1" si="256"/>
        <v>P.1 (2)</v>
      </c>
      <c r="I87" s="16" t="str">
        <f t="shared" ca="1" si="257"/>
        <v>-</v>
      </c>
      <c r="J87" s="16"/>
      <c r="K87" s="16" t="str">
        <f t="shared" ca="1" si="258"/>
        <v>P.1 (2)</v>
      </c>
      <c r="L87" s="16" t="str">
        <f t="shared" ca="1" si="259"/>
        <v>-</v>
      </c>
      <c r="M87" s="16"/>
      <c r="N87" s="16" t="str">
        <f t="shared" ca="1" si="260"/>
        <v>P.1 (2)</v>
      </c>
      <c r="O87" s="16" t="str">
        <f t="shared" ca="1" si="261"/>
        <v>-</v>
      </c>
      <c r="P87" s="16"/>
      <c r="Q87" s="16" t="str">
        <f t="shared" ca="1" si="262"/>
        <v>P.1 (2)</v>
      </c>
      <c r="R87" s="16" t="str">
        <f t="shared" ca="1" si="263"/>
        <v>-</v>
      </c>
      <c r="S87" s="16"/>
      <c r="T87" s="16" t="str">
        <f t="shared" ca="1" si="264"/>
        <v>P.1 (2)</v>
      </c>
      <c r="U87" s="16" t="str">
        <f t="shared" ca="1" si="265"/>
        <v>-</v>
      </c>
      <c r="V87" s="17"/>
      <c r="W87" s="665"/>
      <c r="X87" s="24">
        <f ca="1">Horarios!C87</f>
        <v>46197.166666666664</v>
      </c>
      <c r="Y87" s="25">
        <f ca="1">Horarios!C87</f>
        <v>46197.166666666664</v>
      </c>
      <c r="Z87" s="26" t="str">
        <f>$Z$6</f>
        <v>J2</v>
      </c>
      <c r="AA87" s="27" t="str">
        <f ca="1">A88</f>
        <v>Colombia</v>
      </c>
      <c r="AB87" s="49" t="e" cm="1" vm="45">
        <f t="array" aca="1" ref="AB87" ca="1">Ver_flag_local</f>
        <v>#VALUE!</v>
      </c>
      <c r="AC87" s="50">
        <v>2</v>
      </c>
      <c r="AD87" s="51">
        <v>0</v>
      </c>
      <c r="AE87" s="595" t="e" cm="1" vm="43">
        <f t="array" aca="1" ref="AE87" ca="1">Ver_flag_visit</f>
        <v>#VALUE!</v>
      </c>
      <c r="AF87" s="32" t="str">
        <f ca="1">A86</f>
        <v>RD Congo</v>
      </c>
      <c r="AG87" s="323">
        <f t="shared" si="266"/>
        <v>1</v>
      </c>
      <c r="AH87" s="195">
        <v>48</v>
      </c>
      <c r="AI87" s="181" t="str">
        <f t="shared" ref="AI87:AI89" si="270">AJ87&amp;$B$84</f>
        <v>2K</v>
      </c>
      <c r="AJ87" s="42">
        <v>2</v>
      </c>
      <c r="AK87" s="602" t="e" cm="1" vm="45">
        <f t="array" aca="1" ref="AK87" ca="1">Ver_flag_visit</f>
        <v>#VALUE!</v>
      </c>
      <c r="AL87" s="37" t="str">
        <f ca="1">IFERROR(INDEX($BD$6:$BD$53,MATCH(AI87,$BN$6:$BN$53,0)),"")</f>
        <v>Colombia</v>
      </c>
      <c r="AM87" s="38">
        <f t="shared" ca="1" si="269"/>
        <v>7</v>
      </c>
      <c r="AN87" s="39">
        <f t="shared" ca="1" si="269"/>
        <v>3</v>
      </c>
      <c r="AO87" s="39">
        <f t="shared" ca="1" si="269"/>
        <v>2</v>
      </c>
      <c r="AP87" s="39">
        <f t="shared" ca="1" si="269"/>
        <v>1</v>
      </c>
      <c r="AQ87" s="39">
        <f t="shared" ca="1" si="269"/>
        <v>0</v>
      </c>
      <c r="AR87" s="39">
        <f t="shared" ca="1" si="269"/>
        <v>7</v>
      </c>
      <c r="AS87" s="39">
        <f t="shared" ca="1" si="269"/>
        <v>3</v>
      </c>
      <c r="AT87" s="43">
        <f t="shared" ca="1" si="269"/>
        <v>4</v>
      </c>
      <c r="AU87" s="330">
        <f ca="1">INDEX($DL$6:$DL$53,MATCH(AI87,$DP$6:$DP$53,0))</f>
        <v>1</v>
      </c>
      <c r="AV87" s="182" t="str">
        <f ca="1">INDEX($BD$6:$BD$53,MATCH(AI87,$BM$6:$BM$53,0))</f>
        <v>Colombia</v>
      </c>
      <c r="AW87" s="210"/>
      <c r="AX87" s="171"/>
      <c r="AY87" s="203" t="str">
        <f ca="1">+A86</f>
        <v>RD Congo</v>
      </c>
      <c r="AZ87" s="204"/>
      <c r="BA87" s="176"/>
      <c r="DN87" s="16"/>
    </row>
    <row r="88" spans="1:118" ht="16" customHeight="1">
      <c r="A88" s="16" t="str">
        <f ca="1">+Equipos!B45</f>
        <v>Colombia</v>
      </c>
      <c r="B88" s="16"/>
      <c r="C88" s="16"/>
      <c r="D88" s="16" t="str">
        <f t="shared" si="253"/>
        <v>Empate</v>
      </c>
      <c r="E88" s="16" t="str">
        <f t="shared" ca="1" si="254"/>
        <v>P.1 (2)</v>
      </c>
      <c r="F88" s="16" t="str">
        <f t="shared" ca="1" si="255"/>
        <v>P.1 (2)</v>
      </c>
      <c r="G88" s="16"/>
      <c r="H88" s="16" t="str">
        <f t="shared" ca="1" si="256"/>
        <v>P.1 (2)</v>
      </c>
      <c r="I88" s="16" t="str">
        <f t="shared" ca="1" si="257"/>
        <v>P.1 (2)</v>
      </c>
      <c r="J88" s="16"/>
      <c r="K88" s="16" t="str">
        <f t="shared" ca="1" si="258"/>
        <v>P.1 (2)</v>
      </c>
      <c r="L88" s="16" t="str">
        <f t="shared" ca="1" si="259"/>
        <v>P.1 (2)</v>
      </c>
      <c r="M88" s="16"/>
      <c r="N88" s="16" t="str">
        <f t="shared" ca="1" si="260"/>
        <v>P.1 (2)</v>
      </c>
      <c r="O88" s="16" t="str">
        <f t="shared" ca="1" si="261"/>
        <v>P.1 (2)</v>
      </c>
      <c r="P88" s="16"/>
      <c r="Q88" s="16" t="str">
        <f t="shared" ca="1" si="262"/>
        <v>P.1 (2)</v>
      </c>
      <c r="R88" s="16" t="str">
        <f t="shared" ca="1" si="263"/>
        <v>P.1 (2)</v>
      </c>
      <c r="S88" s="16"/>
      <c r="T88" s="16" t="str">
        <f t="shared" ca="1" si="264"/>
        <v>P.1 (2)</v>
      </c>
      <c r="U88" s="16" t="str">
        <f t="shared" ca="1" si="265"/>
        <v>P.1 (2)</v>
      </c>
      <c r="V88" s="17"/>
      <c r="W88" s="665"/>
      <c r="X88" s="24">
        <f ca="1">Horarios!C88</f>
        <v>46201.0625</v>
      </c>
      <c r="Y88" s="25">
        <f ca="1">Horarios!C88</f>
        <v>46201.0625</v>
      </c>
      <c r="Z88" s="26" t="str">
        <f>$Z$8</f>
        <v>J3</v>
      </c>
      <c r="AA88" s="27" t="str">
        <f ca="1">A88</f>
        <v>Colombia</v>
      </c>
      <c r="AB88" s="49" t="e" cm="1" vm="45">
        <f t="array" aca="1" ref="AB88" ca="1">Ver_flag_local</f>
        <v>#VALUE!</v>
      </c>
      <c r="AC88" s="50">
        <v>2</v>
      </c>
      <c r="AD88" s="51">
        <v>2</v>
      </c>
      <c r="AE88" s="595" t="e" cm="1" vm="42">
        <f t="array" aca="1" ref="AE88" ca="1">Ver_flag_visit</f>
        <v>#VALUE!</v>
      </c>
      <c r="AF88" s="32" t="str">
        <f ca="1">A85</f>
        <v>Portugal</v>
      </c>
      <c r="AG88" s="323">
        <f t="shared" si="266"/>
        <v>1</v>
      </c>
      <c r="AH88" s="195">
        <v>71</v>
      </c>
      <c r="AI88" s="181" t="str">
        <f t="shared" si="270"/>
        <v>3K</v>
      </c>
      <c r="AJ88" s="42">
        <v>3</v>
      </c>
      <c r="AK88" s="602" t="e" cm="1" vm="43">
        <f t="array" aca="1" ref="AK88" ca="1">Ver_flag_visit</f>
        <v>#VALUE!</v>
      </c>
      <c r="AL88" s="37" t="str">
        <f ca="1">IFERROR(INDEX($BD$6:$BD$53,MATCH(AI88,$BN$6:$BN$53,0)),"")</f>
        <v>RD Congo</v>
      </c>
      <c r="AM88" s="38">
        <f t="shared" ca="1" si="269"/>
        <v>3</v>
      </c>
      <c r="AN88" s="39">
        <f t="shared" ca="1" si="269"/>
        <v>3</v>
      </c>
      <c r="AO88" s="39">
        <f t="shared" ca="1" si="269"/>
        <v>1</v>
      </c>
      <c r="AP88" s="39">
        <f t="shared" ca="1" si="269"/>
        <v>0</v>
      </c>
      <c r="AQ88" s="39">
        <f t="shared" ca="1" si="269"/>
        <v>2</v>
      </c>
      <c r="AR88" s="39">
        <f t="shared" ca="1" si="269"/>
        <v>1</v>
      </c>
      <c r="AS88" s="39">
        <f t="shared" ca="1" si="269"/>
        <v>6</v>
      </c>
      <c r="AT88" s="43">
        <f t="shared" ca="1" si="269"/>
        <v>-5</v>
      </c>
      <c r="AU88" s="330">
        <f ca="1">INDEX($DL$6:$DL$53,MATCH(AI88,$DP$6:$DP$53,0))</f>
        <v>1</v>
      </c>
      <c r="AV88" s="182" t="str">
        <f ca="1">INDEX($BD$6:$BD$53,MATCH(AI88,$BM$6:$BM$53,0))</f>
        <v>RD Congo</v>
      </c>
      <c r="AW88" s="210"/>
      <c r="AX88" s="171"/>
      <c r="AY88" s="201" t="str">
        <f ca="1">+A87</f>
        <v>Uzbekistán</v>
      </c>
      <c r="AZ88" s="202"/>
      <c r="BA88" s="176"/>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66"/>
      <c r="X89" s="28">
        <f ca="1">Horarios!C89</f>
        <v>46201.0625</v>
      </c>
      <c r="Y89" s="29">
        <f ca="1">Horarios!C89</f>
        <v>46201.0625</v>
      </c>
      <c r="Z89" s="30" t="str">
        <f>$Z$8</f>
        <v>J3</v>
      </c>
      <c r="AA89" s="31" t="str">
        <f ca="1">A86</f>
        <v>RD Congo</v>
      </c>
      <c r="AB89" s="52" t="e" cm="1" vm="43">
        <f t="array" aca="1" ref="AB89" ca="1">Ver_flag_local</f>
        <v>#VALUE!</v>
      </c>
      <c r="AC89" s="53">
        <v>1</v>
      </c>
      <c r="AD89" s="54">
        <v>0</v>
      </c>
      <c r="AE89" s="596" t="e" cm="1" vm="44">
        <f t="array" aca="1" ref="AE89" ca="1">Ver_flag_visit</f>
        <v>#VALUE!</v>
      </c>
      <c r="AF89" s="33" t="str">
        <f ca="1">A87</f>
        <v>Uzbekistán</v>
      </c>
      <c r="AG89" s="323">
        <f t="shared" si="266"/>
        <v>1</v>
      </c>
      <c r="AH89" s="195">
        <v>72</v>
      </c>
      <c r="AI89" s="181" t="str">
        <f t="shared" si="270"/>
        <v>4K</v>
      </c>
      <c r="AJ89" s="44">
        <v>4</v>
      </c>
      <c r="AK89" s="604"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1</v>
      </c>
      <c r="AS89" s="47">
        <f t="shared" ca="1" si="269"/>
        <v>7</v>
      </c>
      <c r="AT89" s="48">
        <f t="shared" ca="1" si="269"/>
        <v>-6</v>
      </c>
      <c r="AU89" s="330">
        <f ca="1">INDEX($DL$6:$DL$53,MATCH(AI89,$DP$6:$DP$53,0))</f>
        <v>1</v>
      </c>
      <c r="AV89" s="182" t="str">
        <f ca="1">INDEX($BD$6:$BD$53,MATCH(AI89,$BM$6:$BM$53,0))</f>
        <v>Uzbekistán</v>
      </c>
      <c r="AW89" s="210"/>
      <c r="AX89" s="171"/>
      <c r="AY89" s="205" t="str">
        <f ca="1">+A88</f>
        <v>Colombia</v>
      </c>
      <c r="AZ89" s="206"/>
      <c r="BA89" s="176"/>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P.2 (2)</v>
      </c>
      <c r="G92" s="16"/>
      <c r="H92" s="16" t="str">
        <f t="shared" ref="H92:H97" ca="1" si="274">IF(D92="Pendiente","-",INDEX($BZ$6:$BZ$53,MATCH($AA92,$BD$6:$BD$53,0)))</f>
        <v>-</v>
      </c>
      <c r="I92" s="16" t="str">
        <f t="shared" ref="I92:I97" ca="1" si="275">IF(D92="Pendiente","-",INDEX($BZ$6:$BZ$53,MATCH($AF92,$BD$6:$BD$53,0)))</f>
        <v>P.2 (2)</v>
      </c>
      <c r="J92" s="16"/>
      <c r="K92" s="16" t="str">
        <f t="shared" ref="K92:K97" ca="1" si="276">IF(D92="Pendiente","-",INDEX($CE$6:$CE$53,MATCH($AA92,$BD$6:$BD$53,0)))</f>
        <v>-</v>
      </c>
      <c r="L92" s="16" t="str">
        <f t="shared" ref="L92:L97" ca="1" si="277">IF(D92="Pendiente","-",INDEX($CE$6:$CE$53,MATCH($AF92,$BD$6:$BD$53,0)))</f>
        <v>P.2 (2)</v>
      </c>
      <c r="M92" s="16"/>
      <c r="N92" s="16" t="str">
        <f t="shared" ref="N92:N97" ca="1" si="278">IF(D92="Pendiente","-",INDEX($CH$6:$CH$53,MATCH($AA92,$BD$6:$BD$53,0)))</f>
        <v>-</v>
      </c>
      <c r="O92" s="16" t="str">
        <f t="shared" ref="O92:O97" ca="1" si="279">IF(D92="Pendiente","-",INDEX($CH$6:$CH$53,MATCH($AF92,$BD$6:$BD$53,0)))</f>
        <v>P.2 (2)</v>
      </c>
      <c r="P92" s="16"/>
      <c r="Q92" s="16" t="str">
        <f t="shared" ref="Q92:Q97" ca="1" si="280">IF(D92="Pendiente","-",INDEX($CN$6:$CN$53,MATCH($AA92,$BD$6:$BD$53,0)))</f>
        <v>-</v>
      </c>
      <c r="R92" s="16" t="str">
        <f t="shared" ref="R92:R97" ca="1" si="281">IF(D92="Pendiente","-",INDEX($CN$6:$CN$53,MATCH($AF92,$BD$6:$BD$53,0)))</f>
        <v>P.2 (2)</v>
      </c>
      <c r="S92" s="16"/>
      <c r="T92" s="16" t="str">
        <f t="shared" ref="T92:T97" ca="1" si="282">IF(D92="Pendiente","-",INDEX($CS$6:$CS$53,MATCH($AA92,$BD$6:$BD$53,0)))</f>
        <v>-</v>
      </c>
      <c r="U92" s="16" t="str">
        <f t="shared" ref="U92:U97" ca="1" si="283">IF(D92="Pendiente","-",INDEX($CS$6:$CS$53,MATCH($AF92,$BD$6:$BD$53,0)))</f>
        <v>P.2 (2)</v>
      </c>
      <c r="V92" s="17"/>
      <c r="W92" s="661" t="s">
        <v>247</v>
      </c>
      <c r="X92" s="24">
        <f ca="1">Horarios!C92</f>
        <v>46190.916666666664</v>
      </c>
      <c r="Y92" s="25">
        <f ca="1">Horarios!C92</f>
        <v>46190.916666666664</v>
      </c>
      <c r="Z92" s="26" t="str">
        <f>$Z$4</f>
        <v>J1</v>
      </c>
      <c r="AA92" s="27" t="str">
        <f ca="1">A93</f>
        <v>Inglaterra</v>
      </c>
      <c r="AB92" s="49" t="e" cm="1" vm="46">
        <f t="array" aca="1" ref="AB92" ca="1">Ver_flag_local</f>
        <v>#VALUE!</v>
      </c>
      <c r="AC92" s="50">
        <v>2</v>
      </c>
      <c r="AD92" s="51">
        <v>1</v>
      </c>
      <c r="AE92" s="595" t="e" cm="1" vm="47">
        <f t="array" aca="1" ref="AE92" ca="1">Ver_flag_visit</f>
        <v>#VALUE!</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6" customHeight="1">
      <c r="A93" s="16" t="str">
        <f ca="1">+Equipos!B46</f>
        <v>Inglaterra</v>
      </c>
      <c r="B93" s="16"/>
      <c r="C93" s="16"/>
      <c r="D93" s="16" t="str">
        <f t="shared" si="271"/>
        <v>Local</v>
      </c>
      <c r="E93" s="16" t="str">
        <f t="shared" ca="1" si="272"/>
        <v>P.2 (2)</v>
      </c>
      <c r="F93" s="16" t="str">
        <f t="shared" ca="1" si="273"/>
        <v>-</v>
      </c>
      <c r="G93" s="16"/>
      <c r="H93" s="16" t="str">
        <f t="shared" ca="1" si="274"/>
        <v>P.2 (2)</v>
      </c>
      <c r="I93" s="16" t="str">
        <f t="shared" ca="1" si="275"/>
        <v>-</v>
      </c>
      <c r="J93" s="16"/>
      <c r="K93" s="16" t="str">
        <f t="shared" ca="1" si="276"/>
        <v>P.2 (2)</v>
      </c>
      <c r="L93" s="16" t="str">
        <f t="shared" ca="1" si="277"/>
        <v>-</v>
      </c>
      <c r="M93" s="16"/>
      <c r="N93" s="16" t="str">
        <f t="shared" ca="1" si="278"/>
        <v>P.2 (2)</v>
      </c>
      <c r="O93" s="16" t="str">
        <f t="shared" ca="1" si="279"/>
        <v>-</v>
      </c>
      <c r="P93" s="16"/>
      <c r="Q93" s="16" t="str">
        <f t="shared" ca="1" si="280"/>
        <v>P.2 (2)</v>
      </c>
      <c r="R93" s="16" t="str">
        <f t="shared" ca="1" si="281"/>
        <v>-</v>
      </c>
      <c r="S93" s="16"/>
      <c r="T93" s="16" t="str">
        <f t="shared" ca="1" si="282"/>
        <v>P.2 (2)</v>
      </c>
      <c r="U93" s="16" t="str">
        <f t="shared" ca="1" si="283"/>
        <v>-</v>
      </c>
      <c r="V93" s="17"/>
      <c r="W93" s="661"/>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95" t="e" cm="1" vm="49">
        <f t="array" aca="1" ref="AE93" ca="1">Ver_flag_visit</f>
        <v>#VALUE!</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6" customHeight="1">
      <c r="A94" s="16" t="str">
        <f ca="1">+Equipos!B47</f>
        <v>Croacia</v>
      </c>
      <c r="B94" s="16"/>
      <c r="C94" s="16"/>
      <c r="D94" s="16" t="str">
        <f t="shared" si="271"/>
        <v>Local</v>
      </c>
      <c r="E94" s="16" t="str">
        <f t="shared" ca="1" si="272"/>
        <v>-</v>
      </c>
      <c r="F94" s="16" t="str">
        <f t="shared" ca="1" si="273"/>
        <v>P.2 (2)</v>
      </c>
      <c r="G94" s="16"/>
      <c r="H94" s="16" t="str">
        <f t="shared" ca="1" si="274"/>
        <v>-</v>
      </c>
      <c r="I94" s="16" t="str">
        <f t="shared" ca="1" si="275"/>
        <v>P.2 (2)</v>
      </c>
      <c r="J94" s="16"/>
      <c r="K94" s="16" t="str">
        <f t="shared" ca="1" si="276"/>
        <v>-</v>
      </c>
      <c r="L94" s="16" t="str">
        <f t="shared" ca="1" si="277"/>
        <v>P.2 (2)</v>
      </c>
      <c r="M94" s="16"/>
      <c r="N94" s="16" t="str">
        <f t="shared" ca="1" si="278"/>
        <v>-</v>
      </c>
      <c r="O94" s="16" t="str">
        <f t="shared" ca="1" si="279"/>
        <v>P.2 (2)</v>
      </c>
      <c r="P94" s="16"/>
      <c r="Q94" s="16" t="str">
        <f t="shared" ca="1" si="280"/>
        <v>-</v>
      </c>
      <c r="R94" s="16" t="str">
        <f t="shared" ca="1" si="281"/>
        <v>P.2 (2)</v>
      </c>
      <c r="S94" s="16"/>
      <c r="T94" s="16" t="str">
        <f t="shared" ca="1" si="282"/>
        <v>-</v>
      </c>
      <c r="U94" s="16" t="str">
        <f t="shared" ca="1" si="283"/>
        <v>P.2 (2)</v>
      </c>
      <c r="V94" s="17"/>
      <c r="W94" s="661"/>
      <c r="X94" s="24">
        <f ca="1">Horarios!C94</f>
        <v>46196.916666666664</v>
      </c>
      <c r="Y94" s="25">
        <f ca="1">Horarios!C94</f>
        <v>46196.916666666664</v>
      </c>
      <c r="Z94" s="26" t="str">
        <f>$Z$6</f>
        <v>J2</v>
      </c>
      <c r="AA94" s="27" t="str">
        <f ca="1">A93</f>
        <v>Inglaterra</v>
      </c>
      <c r="AB94" s="49" t="e" cm="1" vm="46">
        <f t="array" aca="1" ref="AB94" ca="1">Ver_flag_local</f>
        <v>#VALUE!</v>
      </c>
      <c r="AC94" s="50">
        <v>2</v>
      </c>
      <c r="AD94" s="51">
        <v>0</v>
      </c>
      <c r="AE94" s="595" t="e" cm="1" vm="48">
        <f t="array" aca="1" ref="AE94" ca="1">Ver_flag_visit</f>
        <v>#VALUE!</v>
      </c>
      <c r="AF94" s="32" t="str">
        <f ca="1">A95</f>
        <v>Ghana</v>
      </c>
      <c r="AG94" s="323">
        <f t="shared" si="284"/>
        <v>1</v>
      </c>
      <c r="AH94" s="195">
        <v>45</v>
      </c>
      <c r="AI94" s="181" t="str">
        <f>AJ94&amp;$B$92</f>
        <v>1L</v>
      </c>
      <c r="AJ94" s="40">
        <v>1</v>
      </c>
      <c r="AK94" s="601" t="e" cm="1" vm="46">
        <f t="array" aca="1" ref="AK94" ca="1">Ver_flag_visit</f>
        <v>#VALUE!</v>
      </c>
      <c r="AL94" s="34" t="str">
        <f ca="1">IFERROR(INDEX($BD$6:$BD$53,MATCH(AI94,$BN$6:$BN$53,0)),"")</f>
        <v>Inglaterra</v>
      </c>
      <c r="AM94" s="35">
        <f t="shared" ref="AM94:AT97" ca="1" si="287">INDEX($BE$6:$BN$53,MATCH($AL94,$BD$6:$BD$53,0),MATCH(AM$5,$BE$5:$BN$5,0))</f>
        <v>9</v>
      </c>
      <c r="AN94" s="36">
        <f t="shared" ca="1" si="287"/>
        <v>3</v>
      </c>
      <c r="AO94" s="36">
        <f t="shared" ca="1" si="287"/>
        <v>3</v>
      </c>
      <c r="AP94" s="36">
        <f t="shared" ca="1" si="287"/>
        <v>0</v>
      </c>
      <c r="AQ94" s="36">
        <f t="shared" ca="1" si="287"/>
        <v>0</v>
      </c>
      <c r="AR94" s="36">
        <f t="shared" ca="1" si="287"/>
        <v>7</v>
      </c>
      <c r="AS94" s="36">
        <f t="shared" ca="1" si="287"/>
        <v>1</v>
      </c>
      <c r="AT94" s="41">
        <f t="shared" ca="1" si="287"/>
        <v>6</v>
      </c>
      <c r="AU94" s="330">
        <f ca="1">INDEX($DL$6:$DL$53,MATCH(AI94,$DP$6:$DP$53,0))</f>
        <v>1</v>
      </c>
      <c r="AV94" s="182" t="str">
        <f ca="1">INDEX($BD$6:$BD$53,MATCH(AI94,$BM$6:$BM$53,0))</f>
        <v>Inglaterra</v>
      </c>
      <c r="AW94" s="210"/>
      <c r="AX94" s="171"/>
      <c r="AY94" s="201" t="str">
        <f ca="1">+A93</f>
        <v>Inglaterra</v>
      </c>
      <c r="AZ94" s="202"/>
      <c r="BA94" s="176"/>
    </row>
    <row r="95" spans="1:118" ht="16" customHeight="1">
      <c r="A95" s="16" t="str">
        <f ca="1">+Equipos!B48</f>
        <v>Ghana</v>
      </c>
      <c r="B95" s="16"/>
      <c r="C95" s="16"/>
      <c r="D95" s="16" t="str">
        <f t="shared" si="271"/>
        <v>Visitante</v>
      </c>
      <c r="E95" s="16" t="str">
        <f t="shared" ca="1" si="272"/>
        <v>-</v>
      </c>
      <c r="F95" s="16" t="str">
        <f t="shared" ca="1" si="273"/>
        <v>P.2 (2)</v>
      </c>
      <c r="G95" s="16"/>
      <c r="H95" s="16" t="str">
        <f t="shared" ca="1" si="274"/>
        <v>-</v>
      </c>
      <c r="I95" s="16" t="str">
        <f t="shared" ca="1" si="275"/>
        <v>P.2 (2)</v>
      </c>
      <c r="J95" s="16"/>
      <c r="K95" s="16" t="str">
        <f t="shared" ca="1" si="276"/>
        <v>-</v>
      </c>
      <c r="L95" s="16" t="str">
        <f t="shared" ca="1" si="277"/>
        <v>P.2 (2)</v>
      </c>
      <c r="M95" s="16"/>
      <c r="N95" s="16" t="str">
        <f t="shared" ca="1" si="278"/>
        <v>-</v>
      </c>
      <c r="O95" s="16" t="str">
        <f t="shared" ca="1" si="279"/>
        <v>P.2 (2)</v>
      </c>
      <c r="P95" s="16"/>
      <c r="Q95" s="16" t="str">
        <f t="shared" ca="1" si="280"/>
        <v>-</v>
      </c>
      <c r="R95" s="16" t="str">
        <f t="shared" ca="1" si="281"/>
        <v>P.2 (2)</v>
      </c>
      <c r="S95" s="16"/>
      <c r="T95" s="16" t="str">
        <f t="shared" ca="1" si="282"/>
        <v>-</v>
      </c>
      <c r="U95" s="16" t="str">
        <f t="shared" ca="1" si="283"/>
        <v>P.2 (2)</v>
      </c>
      <c r="V95" s="17"/>
      <c r="W95" s="661"/>
      <c r="X95" s="24">
        <f ca="1">Horarios!C95</f>
        <v>46197.041666666664</v>
      </c>
      <c r="Y95" s="25">
        <f ca="1">Horarios!C95</f>
        <v>46197.041666666664</v>
      </c>
      <c r="Z95" s="26" t="str">
        <f>$Z$6</f>
        <v>J2</v>
      </c>
      <c r="AA95" s="27" t="str">
        <f ca="1">A96</f>
        <v>Panamá</v>
      </c>
      <c r="AB95" s="49" t="e" cm="1" vm="49">
        <f t="array" aca="1" ref="AB95" ca="1">Ver_flag_local</f>
        <v>#VALUE!</v>
      </c>
      <c r="AC95" s="50">
        <v>1</v>
      </c>
      <c r="AD95" s="51">
        <v>3</v>
      </c>
      <c r="AE95" s="595" t="e" cm="1" vm="47">
        <f t="array" aca="1" ref="AE95" ca="1">Ver_flag_visit</f>
        <v>#VALUE!</v>
      </c>
      <c r="AF95" s="32" t="str">
        <f ca="1">A94</f>
        <v>Croacia</v>
      </c>
      <c r="AG95" s="323">
        <f t="shared" si="284"/>
        <v>1</v>
      </c>
      <c r="AH95" s="195">
        <v>46</v>
      </c>
      <c r="AI95" s="181" t="str">
        <f t="shared" ref="AI95:AI97" si="288">AJ95&amp;$B$92</f>
        <v>2L</v>
      </c>
      <c r="AJ95" s="42">
        <v>2</v>
      </c>
      <c r="AK95" s="602" t="e" cm="1" vm="47">
        <f t="array" aca="1" ref="AK95" ca="1">Ver_flag_visit</f>
        <v>#VALUE!</v>
      </c>
      <c r="AL95" s="37" t="str">
        <f ca="1">IFERROR(INDEX($BD$6:$BD$53,MATCH(AI95,$BN$6:$BN$53,0)),"")</f>
        <v>Croacia</v>
      </c>
      <c r="AM95" s="38">
        <f t="shared" ca="1" si="287"/>
        <v>4</v>
      </c>
      <c r="AN95" s="39">
        <f t="shared" ca="1" si="287"/>
        <v>3</v>
      </c>
      <c r="AO95" s="39">
        <f t="shared" ca="1" si="287"/>
        <v>1</v>
      </c>
      <c r="AP95" s="39">
        <f t="shared" ca="1" si="287"/>
        <v>1</v>
      </c>
      <c r="AQ95" s="39">
        <f t="shared" ca="1" si="287"/>
        <v>1</v>
      </c>
      <c r="AR95" s="39">
        <f t="shared" ca="1" si="287"/>
        <v>6</v>
      </c>
      <c r="AS95" s="39">
        <f t="shared" ca="1" si="287"/>
        <v>5</v>
      </c>
      <c r="AT95" s="43">
        <f t="shared" ca="1" si="287"/>
        <v>1</v>
      </c>
      <c r="AU95" s="330">
        <f ca="1">INDEX($DL$6:$DL$53,MATCH(AI95,$DP$6:$DP$53,0))</f>
        <v>1</v>
      </c>
      <c r="AV95" s="182" t="str">
        <f ca="1">INDEX($BD$6:$BD$53,MATCH(AI95,$BM$6:$BM$53,0))</f>
        <v>Croacia</v>
      </c>
      <c r="AW95" s="210"/>
      <c r="AX95" s="171"/>
      <c r="AY95" s="203" t="str">
        <f ca="1">+A94</f>
        <v>Croacia</v>
      </c>
      <c r="AZ95" s="204"/>
      <c r="BA95" s="176"/>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61"/>
      <c r="X96" s="24">
        <f ca="1">Horarios!C96</f>
        <v>46200.958333333336</v>
      </c>
      <c r="Y96" s="25">
        <f ca="1">Horarios!C96</f>
        <v>46200.958333333336</v>
      </c>
      <c r="Z96" s="26" t="str">
        <f>$Z$8</f>
        <v>J3</v>
      </c>
      <c r="AA96" s="27" t="str">
        <f ca="1">A96</f>
        <v>Panamá</v>
      </c>
      <c r="AB96" s="49" t="e" cm="1" vm="49">
        <f t="array" aca="1" ref="AB96" ca="1">Ver_flag_local</f>
        <v>#VALUE!</v>
      </c>
      <c r="AC96" s="50">
        <v>0</v>
      </c>
      <c r="AD96" s="51">
        <v>3</v>
      </c>
      <c r="AE96" s="595" t="e" cm="1" vm="46">
        <f t="array" aca="1" ref="AE96" ca="1">Ver_flag_visit</f>
        <v>#VALUE!</v>
      </c>
      <c r="AF96" s="32" t="str">
        <f ca="1">A93</f>
        <v>Inglaterra</v>
      </c>
      <c r="AG96" s="323">
        <f t="shared" si="284"/>
        <v>1</v>
      </c>
      <c r="AH96" s="195">
        <v>67</v>
      </c>
      <c r="AI96" s="181" t="str">
        <f t="shared" si="288"/>
        <v>3L</v>
      </c>
      <c r="AJ96" s="42">
        <v>3</v>
      </c>
      <c r="AK96" s="602"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3</v>
      </c>
      <c r="AS96" s="39">
        <f t="shared" ca="1" si="287"/>
        <v>4</v>
      </c>
      <c r="AT96" s="43">
        <f t="shared" ca="1" si="287"/>
        <v>-1</v>
      </c>
      <c r="AU96" s="330">
        <f ca="1">INDEX($DL$6:$DL$53,MATCH(AI96,$DP$6:$DP$53,0))</f>
        <v>1</v>
      </c>
      <c r="AV96" s="182" t="str">
        <f ca="1">INDEX($BD$6:$BD$53,MATCH(AI96,$BM$6:$BM$53,0))</f>
        <v>Ghana</v>
      </c>
      <c r="AW96" s="210"/>
      <c r="AX96" s="171"/>
      <c r="AY96" s="201" t="str">
        <f ca="1">+A95</f>
        <v>Ghana</v>
      </c>
      <c r="AZ96" s="202"/>
      <c r="BA96" s="176"/>
    </row>
    <row r="97" spans="1:62" ht="16" customHeight="1" thickBot="1">
      <c r="A97" s="16"/>
      <c r="B97" s="16"/>
      <c r="C97" s="16"/>
      <c r="D97" s="16" t="str">
        <f t="shared" si="271"/>
        <v>Empate</v>
      </c>
      <c r="E97" s="16" t="str">
        <f t="shared" ca="1" si="272"/>
        <v>P.2 (2)</v>
      </c>
      <c r="F97" s="16" t="str">
        <f t="shared" ca="1" si="273"/>
        <v>P.2 (2)</v>
      </c>
      <c r="G97" s="16"/>
      <c r="H97" s="16" t="str">
        <f t="shared" ca="1" si="274"/>
        <v>P.2 (2)</v>
      </c>
      <c r="I97" s="16" t="str">
        <f t="shared" ca="1" si="275"/>
        <v>P.2 (2)</v>
      </c>
      <c r="J97" s="16"/>
      <c r="K97" s="16" t="str">
        <f t="shared" ca="1" si="276"/>
        <v>P.2 (2)</v>
      </c>
      <c r="L97" s="16" t="str">
        <f t="shared" ca="1" si="277"/>
        <v>P.2 (2)</v>
      </c>
      <c r="M97" s="16"/>
      <c r="N97" s="16" t="str">
        <f t="shared" ca="1" si="278"/>
        <v>P.2 (2)</v>
      </c>
      <c r="O97" s="16" t="str">
        <f t="shared" ca="1" si="279"/>
        <v>P.2 (2)</v>
      </c>
      <c r="P97" s="16"/>
      <c r="Q97" s="16" t="str">
        <f t="shared" ca="1" si="280"/>
        <v>P.2 (2)</v>
      </c>
      <c r="R97" s="16" t="str">
        <f t="shared" ca="1" si="281"/>
        <v>P.2 (2)</v>
      </c>
      <c r="S97" s="16"/>
      <c r="T97" s="16" t="str">
        <f t="shared" ca="1" si="282"/>
        <v>P.2 (2)</v>
      </c>
      <c r="U97" s="16" t="str">
        <f t="shared" ca="1" si="283"/>
        <v>P.2 (2)</v>
      </c>
      <c r="V97" s="17"/>
      <c r="W97" s="662"/>
      <c r="X97" s="28">
        <f ca="1">Horarios!C97</f>
        <v>46200.958333333336</v>
      </c>
      <c r="Y97" s="29">
        <f ca="1">Horarios!C97</f>
        <v>46200.958333333336</v>
      </c>
      <c r="Z97" s="30" t="str">
        <f>$Z$8</f>
        <v>J3</v>
      </c>
      <c r="AA97" s="31" t="str">
        <f ca="1">A94</f>
        <v>Croacia</v>
      </c>
      <c r="AB97" s="52" t="e" cm="1" vm="47">
        <f t="array" aca="1" ref="AB97" ca="1">Ver_flag_local</f>
        <v>#VALUE!</v>
      </c>
      <c r="AC97" s="53">
        <v>2</v>
      </c>
      <c r="AD97" s="54">
        <v>2</v>
      </c>
      <c r="AE97" s="596" t="e" cm="1" vm="48">
        <f t="array" aca="1" ref="AE97" ca="1">Ver_flag_visit</f>
        <v>#VALUE!</v>
      </c>
      <c r="AF97" s="33" t="str">
        <f ca="1">A95</f>
        <v>Ghana</v>
      </c>
      <c r="AG97" s="323">
        <f t="shared" si="284"/>
        <v>1</v>
      </c>
      <c r="AH97" s="195">
        <v>68</v>
      </c>
      <c r="AI97" s="181" t="str">
        <f t="shared" si="288"/>
        <v>4L</v>
      </c>
      <c r="AJ97" s="44">
        <v>4</v>
      </c>
      <c r="AK97" s="604"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1</v>
      </c>
      <c r="AS97" s="47">
        <f t="shared" ca="1" si="287"/>
        <v>7</v>
      </c>
      <c r="AT97" s="48">
        <f t="shared" ca="1" si="287"/>
        <v>-6</v>
      </c>
      <c r="AU97" s="330">
        <f ca="1">INDEX($DL$6:$DL$53,MATCH(AI97,$DP$6:$DP$53,0))</f>
        <v>1</v>
      </c>
      <c r="AV97" s="182" t="str">
        <f ca="1">INDEX($BD$6:$BD$53,MATCH(AI97,$BM$6:$BM$53,0))</f>
        <v>Panamá</v>
      </c>
      <c r="AW97" s="210"/>
      <c r="AX97" s="171"/>
      <c r="AY97" s="205" t="str">
        <f ca="1">+A96</f>
        <v>Panamá</v>
      </c>
      <c r="AZ97" s="206"/>
      <c r="BA97" s="176"/>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 thickBot="1">
      <c r="A99" s="16"/>
      <c r="B99" s="16"/>
      <c r="C99" s="16"/>
      <c r="D99" s="16"/>
      <c r="E99" s="16"/>
      <c r="F99" s="16"/>
      <c r="G99" s="16"/>
      <c r="H99" s="16"/>
      <c r="I99" s="16"/>
      <c r="J99" s="16" t="s">
        <v>1299</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6" customHeight="1">
      <c r="A100" s="16" t="s">
        <v>1300</v>
      </c>
      <c r="B100" s="16"/>
      <c r="C100" s="16"/>
      <c r="D100" s="16"/>
      <c r="E100" s="16"/>
      <c r="F100" s="16"/>
      <c r="G100" s="16"/>
      <c r="H100" s="16"/>
      <c r="I100" s="16"/>
      <c r="J100" s="16" t="s">
        <v>1202</v>
      </c>
      <c r="K100" s="16" t="s">
        <v>731</v>
      </c>
      <c r="L100" s="16"/>
      <c r="M100" s="16" t="s">
        <v>1203</v>
      </c>
      <c r="N100" s="16" t="s">
        <v>1204</v>
      </c>
      <c r="O100" s="16"/>
      <c r="P100" s="16"/>
      <c r="Q100" s="16"/>
      <c r="R100" s="16"/>
      <c r="S100" s="16"/>
      <c r="T100" s="16"/>
      <c r="U100" s="16"/>
      <c r="V100" s="17"/>
      <c r="W100" s="8"/>
      <c r="X100" s="69" t="str">
        <f>X3</f>
        <v>Fecha</v>
      </c>
      <c r="Y100" s="69" t="str">
        <f>Y3</f>
        <v>Hora</v>
      </c>
      <c r="Z100" s="69" t="s">
        <v>728</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6" customHeight="1" thickBot="1">
      <c r="A101" s="16" t="s">
        <v>657</v>
      </c>
      <c r="B101" s="16" t="s">
        <v>660</v>
      </c>
      <c r="C101" s="16"/>
      <c r="D101" s="16" t="str">
        <f t="shared" ref="D101:D116" ca="1" si="289">IF(AND(OR(AC101="",AD101="")),"W"&amp;AH101,IF(AC101&gt;AD101,AA101,IF(AC101&lt;AD101,AF101,IF(AND(AC101=AD101,AB101=AE101),"W"&amp;AH101,IF(AND(AC101=AD101,OR(AB101="",AE101="")),"W"&amp;AH101,IF(AND(AC101=AD101,AB101&gt;AE101),AA101,AF101))))))</f>
        <v>Corea del Sur</v>
      </c>
      <c r="E101" s="16" t="s">
        <v>0</v>
      </c>
      <c r="F101" s="16" t="s">
        <v>1</v>
      </c>
      <c r="G101" s="16" t="s">
        <v>0</v>
      </c>
      <c r="H101" s="16">
        <f t="shared" ref="H101:H112" ca="1" si="290">+SUMIF($BC$6:$BC$53,G101,$BF$6:$BF$53)</f>
        <v>12</v>
      </c>
      <c r="I101" s="16"/>
      <c r="J101" s="16">
        <v>73</v>
      </c>
      <c r="K101" s="16">
        <v>46201.75</v>
      </c>
      <c r="L101" s="16" t="s">
        <v>696</v>
      </c>
      <c r="M101" s="16" t="str">
        <f t="shared" ref="M101:M116" ca="1" si="291">+IF(OR(INDEX($H$101:$H$113,MATCH(E101,$G$101:$G$113,0))=12,$AJ$99=144),INDEX($AL$6:$AL$97,MATCH(A101,$AI$6:$AI$97,0)),A101)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67" t="s">
        <v>493</v>
      </c>
      <c r="X101" s="24">
        <f ca="1">Horarios!C101</f>
        <v>46201.875</v>
      </c>
      <c r="Y101" s="25">
        <f ca="1">Horarios!C101</f>
        <v>46201.875</v>
      </c>
      <c r="Z101" s="280">
        <f>AH101</f>
        <v>73</v>
      </c>
      <c r="AA101" s="88" t="str">
        <f t="shared" ref="AA101:AA116" ca="1" si="292">+INDEX($M$101:$M$147,MATCH(AH101,$J$101:$J$147,0))</f>
        <v>Corea del Sur</v>
      </c>
      <c r="AB101" s="89"/>
      <c r="AC101" s="51">
        <v>1</v>
      </c>
      <c r="AD101" s="51">
        <v>0</v>
      </c>
      <c r="AE101" s="90"/>
      <c r="AF101" s="91" t="str">
        <f t="shared" ref="AF101:AF116" ca="1" si="293">+INDEX($N$101:$N$147,MATCH(AH101,$J$101:$J$147,0))</f>
        <v>Canadá</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2</v>
      </c>
      <c r="AV101" s="188"/>
      <c r="AW101" s="214"/>
      <c r="AX101" s="214"/>
      <c r="AY101" s="335" t="str">
        <f ca="1">+IF(OR($H$113&gt;=48,$AJ$99=144),Idiomas!D68,"")</f>
        <v xml:space="preserve">Grupos mejores 3ºs: </v>
      </c>
      <c r="AZ101" s="336" t="str">
        <f ca="1">+IF(OR($H$113&gt;=48,$AJ$99=144),BI112,"")</f>
        <v>ABDEFGIL</v>
      </c>
      <c r="BA101" s="176"/>
    </row>
    <row r="102" spans="1:62" ht="16" customHeight="1">
      <c r="A102" s="16" t="s">
        <v>672</v>
      </c>
      <c r="B102" s="16" t="s">
        <v>733</v>
      </c>
      <c r="C102" s="16"/>
      <c r="D102" s="16" t="str">
        <f t="shared" ca="1" si="289"/>
        <v>Brasil</v>
      </c>
      <c r="E102" s="16" t="s">
        <v>3</v>
      </c>
      <c r="F102" s="16" t="s">
        <v>732</v>
      </c>
      <c r="G102" s="16" t="s">
        <v>1</v>
      </c>
      <c r="H102" s="16">
        <f t="shared" ca="1" si="290"/>
        <v>12</v>
      </c>
      <c r="I102" s="16"/>
      <c r="J102" s="16">
        <v>74</v>
      </c>
      <c r="K102" s="16">
        <v>46202.75</v>
      </c>
      <c r="L102" s="16" t="s">
        <v>697</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67"/>
      <c r="X102" s="24">
        <f ca="1">Horarios!C102</f>
        <v>46202.791666666664</v>
      </c>
      <c r="Y102" s="25">
        <f ca="1">Horarios!C102</f>
        <v>46202.791666666664</v>
      </c>
      <c r="Z102" s="280">
        <f t="shared" ref="Z102:Z116" si="296">AH102</f>
        <v>76</v>
      </c>
      <c r="AA102" s="88" t="str">
        <f t="shared" ca="1" si="292"/>
        <v>Brasil</v>
      </c>
      <c r="AB102" s="89"/>
      <c r="AC102" s="92">
        <v>2</v>
      </c>
      <c r="AD102" s="92">
        <v>0</v>
      </c>
      <c r="AE102" s="89"/>
      <c r="AF102" s="91" t="str">
        <f t="shared" ca="1" si="293"/>
        <v>Japón</v>
      </c>
      <c r="AG102" s="327">
        <f t="shared" ca="1" si="294"/>
        <v>1</v>
      </c>
      <c r="AH102" s="195">
        <v>76</v>
      </c>
      <c r="AI102" s="182">
        <v>1</v>
      </c>
      <c r="AJ102" s="80">
        <v>1</v>
      </c>
      <c r="AK102" s="605" t="e" cm="1" vm="15">
        <f t="array" aca="1" ref="AK102" ca="1">Ver_flag_visit</f>
        <v>#VALUE!</v>
      </c>
      <c r="AL102" s="81" t="str">
        <f t="shared" ref="AL102:AL113" ca="1" si="297">+IF($H$113&gt;=48,INDEX($BD$58:$BD$69,MATCH(AI102,$BN$58:$BN$69,0)),BB58)</f>
        <v>Paraguay</v>
      </c>
      <c r="AM102" s="588">
        <f ca="1">+IF($H$113&gt;=48,INDEX($BE$58:$BN$69,MATCH($AL102,$BD$58:$BD$69,0),MATCH(AM$5,$BE$57:$BN$57,0)),$BB58)</f>
        <v>5</v>
      </c>
      <c r="AN102" s="82">
        <f ca="1">+IF($H$113&gt;=48,INDEX($BE$58:$BN$69,MATCH($AL102,$BD$58:$BD$69,0),MATCH(AN$5,$BE$57:$BN$57,0)),$BB58)</f>
        <v>3</v>
      </c>
      <c r="AO102" s="82">
        <f t="shared" ref="AO102:AT102" ca="1" si="298">+IF($H$113&gt;=48,INDEX($BE$58:$BN$69,MATCH($AL102,$BD$58:$BD$69,0),MATCH(AO$5,$BE$57:$BN$57,0)),$BB58)</f>
        <v>1</v>
      </c>
      <c r="AP102" s="82">
        <f t="shared" ca="1" si="298"/>
        <v>2</v>
      </c>
      <c r="AQ102" s="83">
        <f t="shared" ca="1" si="298"/>
        <v>0</v>
      </c>
      <c r="AR102" s="83">
        <f t="shared" ca="1" si="298"/>
        <v>5</v>
      </c>
      <c r="AS102" s="83">
        <f t="shared" ca="1" si="298"/>
        <v>4</v>
      </c>
      <c r="AT102" s="84">
        <f t="shared" ca="1" si="298"/>
        <v>1</v>
      </c>
      <c r="AU102" s="330">
        <f t="shared" ref="AU102:AU113" ca="1" si="299">IF($H$113=144,INDEX($DL$58:$DL$69,MATCH(AI102,$DP$58:$DP$69,0)),"")</f>
        <v>1</v>
      </c>
      <c r="AV102" s="182" t="str">
        <f t="shared" ref="AV102:AV113" ca="1" si="300">INDEX($BD$58:$BD$69,MATCH(AI102,$BM$58:$BM$69,0))</f>
        <v>Paraguay</v>
      </c>
      <c r="AW102" s="215"/>
      <c r="AX102" s="170"/>
      <c r="AY102" s="154"/>
      <c r="AZ102" s="155"/>
      <c r="BA102" s="176"/>
      <c r="BE102" t="s">
        <v>454</v>
      </c>
      <c r="BF102" t="s">
        <v>730</v>
      </c>
      <c r="BG102" t="s">
        <v>775</v>
      </c>
      <c r="BI102" t="s">
        <v>86</v>
      </c>
    </row>
    <row r="103" spans="1:62" ht="16" customHeight="1">
      <c r="A103" s="16" t="s">
        <v>675</v>
      </c>
      <c r="B103" s="16" t="s">
        <v>667</v>
      </c>
      <c r="C103" s="16"/>
      <c r="D103" s="16" t="str">
        <f t="shared" ca="1" si="289"/>
        <v>Alemania</v>
      </c>
      <c r="E103" s="16" t="s">
        <v>4</v>
      </c>
      <c r="F103" s="16" t="s">
        <v>2</v>
      </c>
      <c r="G103" s="16" t="s">
        <v>2</v>
      </c>
      <c r="H103" s="16">
        <f t="shared" ca="1" si="290"/>
        <v>12</v>
      </c>
      <c r="I103" s="16"/>
      <c r="J103" s="16">
        <v>75</v>
      </c>
      <c r="K103" s="16">
        <v>46202.75</v>
      </c>
      <c r="L103" s="16" t="s">
        <v>698</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67"/>
      <c r="X103" s="24">
        <f ca="1">Horarios!C103</f>
        <v>46202.9375</v>
      </c>
      <c r="Y103" s="25">
        <f ca="1">Horarios!C103</f>
        <v>46202.9375</v>
      </c>
      <c r="Z103" s="280">
        <f t="shared" si="296"/>
        <v>74</v>
      </c>
      <c r="AA103" s="88" t="str">
        <f t="shared" ca="1" si="292"/>
        <v>Alemania</v>
      </c>
      <c r="AB103" s="89"/>
      <c r="AC103" s="92">
        <v>2</v>
      </c>
      <c r="AD103" s="92">
        <v>0</v>
      </c>
      <c r="AE103" s="89"/>
      <c r="AF103" s="91" t="str">
        <f t="shared" ca="1" si="293"/>
        <v>Paraguay</v>
      </c>
      <c r="AG103" s="327">
        <f t="shared" ca="1" si="294"/>
        <v>1</v>
      </c>
      <c r="AH103" s="195">
        <v>74</v>
      </c>
      <c r="AI103" s="182">
        <v>2</v>
      </c>
      <c r="AJ103" s="42">
        <v>2</v>
      </c>
      <c r="AK103" s="602" t="e" cm="1" vm="21">
        <f t="array" aca="1" ref="AK103" ca="1">Ver_flag_visit</f>
        <v>#VALUE!</v>
      </c>
      <c r="AL103" s="85" t="str">
        <f t="shared" ca="1" si="297"/>
        <v>Ecuador</v>
      </c>
      <c r="AM103" s="589">
        <f t="shared" ref="AM103:AM113" ca="1" si="301">+IF($H$113&gt;=48,INDEX($BE$58:$BN$69,MATCH($AL103,$BD$58:$BD$69,0),MATCH(AM$5,$BE$57:$BN$57,0)),$BB59)</f>
        <v>4</v>
      </c>
      <c r="AN103" s="86">
        <f t="shared" ref="AN103:AT103" ca="1" si="302">+IF($H$113&gt;=48,INDEX($BE$58:$BN$69,MATCH($AL103,$BD$58:$BD$69,0),MATCH(AN$5,$BE$57:$BN$57,0)),$BB59)</f>
        <v>3</v>
      </c>
      <c r="AO103" s="86">
        <f t="shared" ca="1" si="302"/>
        <v>1</v>
      </c>
      <c r="AP103" s="86">
        <f t="shared" ca="1" si="302"/>
        <v>1</v>
      </c>
      <c r="AQ103" s="86">
        <f t="shared" ca="1" si="302"/>
        <v>1</v>
      </c>
      <c r="AR103" s="86">
        <f t="shared" ca="1" si="302"/>
        <v>6</v>
      </c>
      <c r="AS103" s="86">
        <f t="shared" ca="1" si="302"/>
        <v>5</v>
      </c>
      <c r="AT103" s="87">
        <f t="shared" ca="1" si="302"/>
        <v>1</v>
      </c>
      <c r="AU103" s="330">
        <f t="shared" ca="1" si="299"/>
        <v>1</v>
      </c>
      <c r="AV103" s="182" t="str">
        <f t="shared" ca="1" si="300"/>
        <v>Ecuador</v>
      </c>
      <c r="AW103" s="215"/>
      <c r="AX103" s="170"/>
      <c r="AY103" s="276"/>
      <c r="AZ103" s="279" t="str">
        <f t="shared" ref="AZ103:AZ110" ca="1" si="303">+IF(OR($H$113&gt;=48,$AJ$99=144),BF117&amp;" - "&amp;BG117,"")</f>
        <v>1A - 3E</v>
      </c>
      <c r="BA103" s="176"/>
      <c r="BF103" t="str">
        <f t="shared" ref="BF103:BF110" ca="1" si="304">IFERROR(INDEX($BC$6:$BC$53,MATCH(AL102,$BD$6:$BD$53,0)),"")</f>
        <v>D</v>
      </c>
      <c r="BG103">
        <f t="shared" ref="BG103:BG110" ca="1" si="305">COUNTIF($BF$103:$BF$110,"&lt;="&amp;BF103)</f>
        <v>3</v>
      </c>
      <c r="BI103">
        <v>1</v>
      </c>
      <c r="BJ103" t="str">
        <f t="shared" ref="BJ103:BJ110" ca="1" si="306">IFERROR(INDEX($BF$103:$BF$110,MATCH(BI103,$BG$103:$BG$110,0)),"Grupo")</f>
        <v>A</v>
      </c>
    </row>
    <row r="104" spans="1:62" ht="16" customHeight="1">
      <c r="A104" s="16" t="s">
        <v>662</v>
      </c>
      <c r="B104" s="16" t="s">
        <v>676</v>
      </c>
      <c r="C104" s="16"/>
      <c r="D104" s="16" t="str">
        <f t="shared" ca="1" si="289"/>
        <v>Países Bajos</v>
      </c>
      <c r="E104" s="16" t="s">
        <v>2</v>
      </c>
      <c r="F104" s="16" t="s">
        <v>4</v>
      </c>
      <c r="G104" s="16" t="s">
        <v>74</v>
      </c>
      <c r="H104" s="16">
        <f t="shared" ca="1" si="290"/>
        <v>12</v>
      </c>
      <c r="I104" s="16"/>
      <c r="J104" s="16">
        <v>76</v>
      </c>
      <c r="K104" s="16">
        <v>46202.75</v>
      </c>
      <c r="L104" s="16" t="s">
        <v>699</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67"/>
      <c r="X104" s="24">
        <f ca="1">Horarios!C104</f>
        <v>46203.125</v>
      </c>
      <c r="Y104" s="25">
        <f ca="1">Horarios!C104</f>
        <v>46203.125</v>
      </c>
      <c r="Z104" s="280">
        <f t="shared" si="296"/>
        <v>75</v>
      </c>
      <c r="AA104" s="88" t="str">
        <f t="shared" ca="1" si="292"/>
        <v>Países Bajos</v>
      </c>
      <c r="AB104" s="89"/>
      <c r="AC104" s="92">
        <v>2</v>
      </c>
      <c r="AD104" s="92">
        <v>1</v>
      </c>
      <c r="AE104" s="89"/>
      <c r="AF104" s="91" t="str">
        <f t="shared" ca="1" si="293"/>
        <v>Marruecos</v>
      </c>
      <c r="AG104" s="327">
        <f t="shared" ca="1" si="294"/>
        <v>1</v>
      </c>
      <c r="AH104" s="195">
        <v>75</v>
      </c>
      <c r="AI104" s="182">
        <v>3</v>
      </c>
      <c r="AJ104" s="42">
        <v>3</v>
      </c>
      <c r="AK104" s="602" t="e" cm="1" vm="24">
        <f t="array" aca="1" ref="AK104" ca="1">Ver_flag_visit</f>
        <v>#VALUE!</v>
      </c>
      <c r="AL104" s="85" t="str">
        <f t="shared" ca="1" si="297"/>
        <v>Suecia</v>
      </c>
      <c r="AM104" s="589">
        <f t="shared" ca="1" si="301"/>
        <v>4</v>
      </c>
      <c r="AN104" s="86">
        <f t="shared" ref="AN104:AT104" ca="1" si="307">+IF($H$113&gt;=48,INDEX($BE$58:$BN$69,MATCH($AL104,$BD$58:$BD$69,0),MATCH(AN$5,$BE$57:$BN$57,0)),$BB60)</f>
        <v>3</v>
      </c>
      <c r="AO104" s="86">
        <f t="shared" ca="1" si="307"/>
        <v>1</v>
      </c>
      <c r="AP104" s="86">
        <f t="shared" ca="1" si="307"/>
        <v>1</v>
      </c>
      <c r="AQ104" s="86">
        <f t="shared" ca="1" si="307"/>
        <v>1</v>
      </c>
      <c r="AR104" s="86">
        <f t="shared" ca="1" si="307"/>
        <v>3</v>
      </c>
      <c r="AS104" s="86">
        <f t="shared" ca="1" si="307"/>
        <v>4</v>
      </c>
      <c r="AT104" s="87">
        <f t="shared" ca="1" si="307"/>
        <v>-1</v>
      </c>
      <c r="AU104" s="330">
        <f t="shared" ca="1" si="299"/>
        <v>2</v>
      </c>
      <c r="AV104" s="182" t="str">
        <f t="shared" ca="1" si="300"/>
        <v>Ghana</v>
      </c>
      <c r="AW104" s="215">
        <v>4</v>
      </c>
      <c r="AX104" s="170"/>
      <c r="AY104" s="276"/>
      <c r="AZ104" s="279" t="str">
        <f t="shared" ca="1" si="303"/>
        <v>1B - 3G</v>
      </c>
      <c r="BA104" s="176"/>
      <c r="BF104" t="str">
        <f t="shared" ca="1" si="304"/>
        <v>E</v>
      </c>
      <c r="BG104">
        <f t="shared" ca="1" si="305"/>
        <v>4</v>
      </c>
      <c r="BI104">
        <v>2</v>
      </c>
      <c r="BJ104" t="str">
        <f t="shared" ca="1" si="306"/>
        <v>B</v>
      </c>
    </row>
    <row r="105" spans="1:62" ht="16" customHeight="1">
      <c r="A105" s="16" t="s">
        <v>684</v>
      </c>
      <c r="B105" s="16" t="s">
        <v>734</v>
      </c>
      <c r="C105" s="16"/>
      <c r="D105" s="16" t="str">
        <f t="shared" ca="1" si="289"/>
        <v>Noruega</v>
      </c>
      <c r="E105" s="16" t="s">
        <v>448</v>
      </c>
      <c r="F105" s="16" t="s">
        <v>732</v>
      </c>
      <c r="G105" s="16" t="s">
        <v>3</v>
      </c>
      <c r="H105" s="16">
        <f t="shared" ca="1" si="290"/>
        <v>12</v>
      </c>
      <c r="I105" s="16"/>
      <c r="J105" s="16">
        <v>77</v>
      </c>
      <c r="K105" s="16">
        <v>46203.75</v>
      </c>
      <c r="L105" s="16" t="s">
        <v>700</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67"/>
      <c r="X105" s="24">
        <f ca="1">Horarios!C105</f>
        <v>46203.791666666664</v>
      </c>
      <c r="Y105" s="25">
        <f ca="1">Horarios!C105</f>
        <v>46203.791666666664</v>
      </c>
      <c r="Z105" s="280">
        <f t="shared" si="296"/>
        <v>78</v>
      </c>
      <c r="AA105" s="88" t="str">
        <f t="shared" ca="1" si="292"/>
        <v>Costa de Marfil</v>
      </c>
      <c r="AB105" s="89">
        <v>3</v>
      </c>
      <c r="AC105" s="92">
        <v>1</v>
      </c>
      <c r="AD105" s="92">
        <v>1</v>
      </c>
      <c r="AE105" s="89">
        <v>5</v>
      </c>
      <c r="AF105" s="91" t="str">
        <f t="shared" ca="1" si="293"/>
        <v>Noruega</v>
      </c>
      <c r="AG105" s="327">
        <f t="shared" ca="1" si="294"/>
        <v>1</v>
      </c>
      <c r="AH105" s="195">
        <v>78</v>
      </c>
      <c r="AI105" s="182">
        <v>4</v>
      </c>
      <c r="AJ105" s="42">
        <v>4</v>
      </c>
      <c r="AK105" s="602" t="e" cm="1" vm="48">
        <f t="array" aca="1" ref="AK105" ca="1">Ver_flag_visit</f>
        <v>#VALUE!</v>
      </c>
      <c r="AL105" s="85" t="str">
        <f t="shared" ca="1" si="297"/>
        <v>Ghana</v>
      </c>
      <c r="AM105" s="589">
        <f t="shared" ca="1" si="301"/>
        <v>4</v>
      </c>
      <c r="AN105" s="86">
        <f t="shared" ref="AN105:AT105" ca="1" si="308">+IF($H$113&gt;=48,INDEX($BE$58:$BN$69,MATCH($AL105,$BD$58:$BD$69,0),MATCH(AN$5,$BE$57:$BN$57,0)),$BB61)</f>
        <v>3</v>
      </c>
      <c r="AO105" s="86">
        <f t="shared" ca="1" si="308"/>
        <v>1</v>
      </c>
      <c r="AP105" s="86">
        <f t="shared" ca="1" si="308"/>
        <v>1</v>
      </c>
      <c r="AQ105" s="86">
        <f t="shared" ca="1" si="308"/>
        <v>1</v>
      </c>
      <c r="AR105" s="86">
        <f t="shared" ca="1" si="308"/>
        <v>3</v>
      </c>
      <c r="AS105" s="86">
        <f t="shared" ca="1" si="308"/>
        <v>4</v>
      </c>
      <c r="AT105" s="87">
        <f t="shared" ca="1" si="308"/>
        <v>-1</v>
      </c>
      <c r="AU105" s="330">
        <f t="shared" ca="1" si="299"/>
        <v>2</v>
      </c>
      <c r="AV105" s="182" t="str">
        <f t="shared" ca="1" si="300"/>
        <v>Suecia</v>
      </c>
      <c r="AW105" s="215">
        <v>3</v>
      </c>
      <c r="AX105" s="170"/>
      <c r="AY105" s="276"/>
      <c r="AZ105" s="279" t="str">
        <f t="shared" ca="1" si="303"/>
        <v>1D - 3B</v>
      </c>
      <c r="BA105" s="176"/>
      <c r="BF105" t="str">
        <f t="shared" ca="1" si="304"/>
        <v>F</v>
      </c>
      <c r="BG105">
        <f t="shared" ca="1" si="305"/>
        <v>5</v>
      </c>
      <c r="BI105">
        <v>3</v>
      </c>
      <c r="BJ105" t="str">
        <f t="shared" ca="1" si="306"/>
        <v>D</v>
      </c>
    </row>
    <row r="106" spans="1:62" ht="16" customHeight="1">
      <c r="A106" s="16" t="s">
        <v>673</v>
      </c>
      <c r="B106" s="16" t="s">
        <v>685</v>
      </c>
      <c r="C106" s="16"/>
      <c r="D106" s="16" t="str">
        <f t="shared" ca="1" si="289"/>
        <v>Francia</v>
      </c>
      <c r="E106" s="16" t="s">
        <v>3</v>
      </c>
      <c r="F106" s="16" t="s">
        <v>448</v>
      </c>
      <c r="G106" s="16" t="s">
        <v>4</v>
      </c>
      <c r="H106" s="16">
        <f t="shared" ca="1" si="290"/>
        <v>12</v>
      </c>
      <c r="I106" s="16"/>
      <c r="J106" s="16">
        <v>78</v>
      </c>
      <c r="K106" s="16">
        <v>46203.75</v>
      </c>
      <c r="L106" s="16" t="s">
        <v>701</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67"/>
      <c r="X106" s="24">
        <f ca="1">Horarios!C106</f>
        <v>46203.958333333336</v>
      </c>
      <c r="Y106" s="25">
        <f ca="1">Horarios!C106</f>
        <v>46203.958333333336</v>
      </c>
      <c r="Z106" s="280">
        <f t="shared" si="296"/>
        <v>77</v>
      </c>
      <c r="AA106" s="88" t="str">
        <f t="shared" ca="1" si="292"/>
        <v>Francia</v>
      </c>
      <c r="AB106" s="89"/>
      <c r="AC106" s="92">
        <v>1</v>
      </c>
      <c r="AD106" s="92">
        <v>0</v>
      </c>
      <c r="AE106" s="89"/>
      <c r="AF106" s="91" t="str">
        <f t="shared" ca="1" si="293"/>
        <v>Suecia</v>
      </c>
      <c r="AG106" s="327">
        <f t="shared" ca="1" si="294"/>
        <v>1</v>
      </c>
      <c r="AH106" s="195">
        <v>77</v>
      </c>
      <c r="AI106" s="182">
        <v>5</v>
      </c>
      <c r="AJ106" s="42">
        <v>5</v>
      </c>
      <c r="AK106" s="602" t="e" cm="1" vm="35">
        <f t="array" aca="1" ref="AK106" ca="1">Ver_flag_visit</f>
        <v>#VALUE!</v>
      </c>
      <c r="AL106" s="85" t="str">
        <f t="shared" ca="1" si="297"/>
        <v>Senegal</v>
      </c>
      <c r="AM106" s="589">
        <f t="shared" ca="1" si="301"/>
        <v>3</v>
      </c>
      <c r="AN106" s="86">
        <f t="shared" ref="AN106:AT106" ca="1" si="309">+IF($H$113&gt;=48,INDEX($BE$58:$BN$69,MATCH($AL106,$BD$58:$BD$69,0),MATCH(AN$5,$BE$57:$BN$57,0)),$BB62)</f>
        <v>3</v>
      </c>
      <c r="AO106" s="86">
        <f t="shared" ca="1" si="309"/>
        <v>1</v>
      </c>
      <c r="AP106" s="86">
        <f t="shared" ca="1" si="309"/>
        <v>0</v>
      </c>
      <c r="AQ106" s="86">
        <f t="shared" ca="1" si="309"/>
        <v>2</v>
      </c>
      <c r="AR106" s="86">
        <f t="shared" ca="1" si="309"/>
        <v>4</v>
      </c>
      <c r="AS106" s="86">
        <f t="shared" ca="1" si="309"/>
        <v>3</v>
      </c>
      <c r="AT106" s="87">
        <f t="shared" ca="1" si="309"/>
        <v>1</v>
      </c>
      <c r="AU106" s="330">
        <f t="shared" ca="1" si="299"/>
        <v>1</v>
      </c>
      <c r="AV106" s="182" t="str">
        <f t="shared" ca="1" si="300"/>
        <v>Senegal</v>
      </c>
      <c r="AW106" s="215"/>
      <c r="AX106" s="170"/>
      <c r="AY106" s="276"/>
      <c r="AZ106" s="279" t="str">
        <f t="shared" ca="1" si="303"/>
        <v>1E - 3D</v>
      </c>
      <c r="BA106" s="176"/>
      <c r="BF106" t="str">
        <f t="shared" ca="1" si="304"/>
        <v>L</v>
      </c>
      <c r="BG106">
        <f t="shared" ca="1" si="305"/>
        <v>8</v>
      </c>
      <c r="BI106">
        <v>4</v>
      </c>
      <c r="BJ106" t="str">
        <f t="shared" ca="1" si="306"/>
        <v>E</v>
      </c>
    </row>
    <row r="107" spans="1:62" ht="16" customHeight="1">
      <c r="A107" s="16" t="s">
        <v>656</v>
      </c>
      <c r="B107" s="16" t="s">
        <v>735</v>
      </c>
      <c r="C107" s="16"/>
      <c r="D107" s="16" t="str">
        <f t="shared" ca="1" si="289"/>
        <v>México</v>
      </c>
      <c r="E107" s="16" t="s">
        <v>0</v>
      </c>
      <c r="F107" s="16" t="s">
        <v>732</v>
      </c>
      <c r="G107" s="16" t="s">
        <v>6</v>
      </c>
      <c r="H107" s="16">
        <f t="shared" ca="1" si="290"/>
        <v>12</v>
      </c>
      <c r="I107" s="16"/>
      <c r="J107" s="16">
        <v>79</v>
      </c>
      <c r="K107" s="16">
        <v>46203.75</v>
      </c>
      <c r="L107" s="16" t="s">
        <v>702</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67"/>
      <c r="X107" s="24">
        <f ca="1">Horarios!C107</f>
        <v>46204.125</v>
      </c>
      <c r="Y107" s="25">
        <f ca="1">Horarios!C107</f>
        <v>46204.125</v>
      </c>
      <c r="Z107" s="280">
        <f t="shared" si="296"/>
        <v>79</v>
      </c>
      <c r="AA107" s="88" t="str">
        <f t="shared" ca="1" si="292"/>
        <v>México</v>
      </c>
      <c r="AB107" s="89"/>
      <c r="AC107" s="92">
        <v>1</v>
      </c>
      <c r="AD107" s="92">
        <v>0</v>
      </c>
      <c r="AE107" s="89"/>
      <c r="AF107" s="91" t="str">
        <f t="shared" ca="1" si="293"/>
        <v>Ecuador</v>
      </c>
      <c r="AG107" s="327">
        <f t="shared" ca="1" si="294"/>
        <v>1</v>
      </c>
      <c r="AH107" s="195">
        <v>79</v>
      </c>
      <c r="AI107" s="182">
        <v>6</v>
      </c>
      <c r="AJ107" s="42">
        <v>6</v>
      </c>
      <c r="AK107" s="602" t="e" cm="1" vm="4">
        <f t="array" aca="1" ref="AK107" ca="1">Ver_flag_visit</f>
        <v>#VALUE!</v>
      </c>
      <c r="AL107" s="85" t="str">
        <f t="shared" ca="1" si="297"/>
        <v>República Checa</v>
      </c>
      <c r="AM107" s="589">
        <f t="shared" ca="1" si="301"/>
        <v>3</v>
      </c>
      <c r="AN107" s="86">
        <f t="shared" ref="AN107:AT107" ca="1" si="310">+IF($H$113&gt;=48,INDEX($BE$58:$BN$69,MATCH($AL107,$BD$58:$BD$69,0),MATCH(AN$5,$BE$57:$BN$57,0)),$BB63)</f>
        <v>3</v>
      </c>
      <c r="AO107" s="86">
        <f t="shared" ca="1" si="310"/>
        <v>1</v>
      </c>
      <c r="AP107" s="86">
        <f t="shared" ca="1" si="310"/>
        <v>0</v>
      </c>
      <c r="AQ107" s="86">
        <f t="shared" ca="1" si="310"/>
        <v>2</v>
      </c>
      <c r="AR107" s="86">
        <f t="shared" ca="1" si="310"/>
        <v>4</v>
      </c>
      <c r="AS107" s="86">
        <f t="shared" ca="1" si="310"/>
        <v>5</v>
      </c>
      <c r="AT107" s="87">
        <f t="shared" ca="1" si="310"/>
        <v>-1</v>
      </c>
      <c r="AU107" s="330">
        <f t="shared" ca="1" si="299"/>
        <v>1</v>
      </c>
      <c r="AV107" s="182" t="str">
        <f ca="1">INDEX($BD$58:$BD$69,MATCH(AI107,$BM$58:$BM$69,0))</f>
        <v>República Checa</v>
      </c>
      <c r="AW107" s="215"/>
      <c r="AX107" s="170"/>
      <c r="AY107" s="276"/>
      <c r="AZ107" s="279" t="str">
        <f t="shared" ca="1" si="303"/>
        <v>1G - 3A</v>
      </c>
      <c r="BA107" s="176"/>
      <c r="BF107" t="str">
        <f t="shared" ca="1" si="304"/>
        <v>I</v>
      </c>
      <c r="BG107">
        <f t="shared" ca="1" si="305"/>
        <v>7</v>
      </c>
      <c r="BI107">
        <v>5</v>
      </c>
      <c r="BJ107" t="str">
        <f t="shared" ca="1" si="306"/>
        <v>F</v>
      </c>
    </row>
    <row r="108" spans="1:62" ht="16" customHeight="1">
      <c r="A108" s="16" t="s">
        <v>693</v>
      </c>
      <c r="B108" s="16" t="s">
        <v>736</v>
      </c>
      <c r="C108" s="16"/>
      <c r="D108" s="16" t="str">
        <f t="shared" ca="1" si="289"/>
        <v>Inglaterra</v>
      </c>
      <c r="E108" s="16" t="s">
        <v>247</v>
      </c>
      <c r="F108" s="16" t="s">
        <v>732</v>
      </c>
      <c r="G108" s="16" t="s">
        <v>447</v>
      </c>
      <c r="H108" s="16">
        <f t="shared" ca="1" si="290"/>
        <v>12</v>
      </c>
      <c r="I108" s="16"/>
      <c r="J108" s="16">
        <v>80</v>
      </c>
      <c r="K108" s="16">
        <v>46204.75</v>
      </c>
      <c r="L108" s="16" t="s">
        <v>703</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67"/>
      <c r="X108" s="24">
        <f ca="1">Horarios!C108</f>
        <v>46204.75</v>
      </c>
      <c r="Y108" s="25">
        <f ca="1">Horarios!C108</f>
        <v>46204.75</v>
      </c>
      <c r="Z108" s="280">
        <f t="shared" si="296"/>
        <v>80</v>
      </c>
      <c r="AA108" s="88" t="str">
        <f t="shared" ca="1" si="292"/>
        <v>Inglaterra</v>
      </c>
      <c r="AB108" s="89"/>
      <c r="AC108" s="92">
        <v>2</v>
      </c>
      <c r="AD108" s="92">
        <v>0</v>
      </c>
      <c r="AE108" s="89"/>
      <c r="AF108" s="91" t="str">
        <f t="shared" ca="1" si="293"/>
        <v>Senegal</v>
      </c>
      <c r="AG108" s="327">
        <f t="shared" ca="1" si="294"/>
        <v>1</v>
      </c>
      <c r="AH108" s="195">
        <v>80</v>
      </c>
      <c r="AI108" s="182">
        <v>7</v>
      </c>
      <c r="AJ108" s="42">
        <v>7</v>
      </c>
      <c r="AK108" s="602" t="e" cm="1" vm="7">
        <f t="array" aca="1" ref="AK108" ca="1">Ver_flag_visit</f>
        <v>#VALUE!</v>
      </c>
      <c r="AL108" s="85" t="str">
        <f t="shared" ca="1" si="297"/>
        <v>Bosnia y Herzegovina</v>
      </c>
      <c r="AM108" s="589">
        <f t="shared" ca="1" si="301"/>
        <v>3</v>
      </c>
      <c r="AN108" s="86">
        <f t="shared" ref="AN108:AT108" ca="1" si="311">+IF($H$113&gt;=48,INDEX($BE$58:$BN$69,MATCH($AL108,$BD$58:$BD$69,0),MATCH(AN$5,$BE$57:$BN$57,0)),$BB64)</f>
        <v>3</v>
      </c>
      <c r="AO108" s="86">
        <f t="shared" ca="1" si="311"/>
        <v>1</v>
      </c>
      <c r="AP108" s="86">
        <f t="shared" ca="1" si="311"/>
        <v>0</v>
      </c>
      <c r="AQ108" s="86">
        <f t="shared" ca="1" si="311"/>
        <v>2</v>
      </c>
      <c r="AR108" s="86">
        <f t="shared" ca="1" si="311"/>
        <v>2</v>
      </c>
      <c r="AS108" s="86">
        <f t="shared" ca="1" si="311"/>
        <v>3</v>
      </c>
      <c r="AT108" s="87">
        <f t="shared" ca="1" si="311"/>
        <v>-1</v>
      </c>
      <c r="AU108" s="330">
        <f t="shared" ca="1" si="299"/>
        <v>1</v>
      </c>
      <c r="AV108" s="182" t="str">
        <f t="shared" ca="1" si="300"/>
        <v>Bosnia y Herzegovina</v>
      </c>
      <c r="AW108" s="215"/>
      <c r="AX108" s="170"/>
      <c r="AY108" s="276"/>
      <c r="AZ108" s="279" t="str">
        <f t="shared" ca="1" si="303"/>
        <v>1I - 3F</v>
      </c>
      <c r="BA108" s="176"/>
      <c r="BF108" t="str">
        <f t="shared" ca="1" si="304"/>
        <v>A</v>
      </c>
      <c r="BG108">
        <f t="shared" ca="1" si="305"/>
        <v>1</v>
      </c>
      <c r="BI108">
        <v>6</v>
      </c>
      <c r="BJ108" t="str">
        <f t="shared" ca="1" si="306"/>
        <v>G</v>
      </c>
    </row>
    <row r="109" spans="1:62" ht="16" customHeight="1">
      <c r="A109" s="16" t="s">
        <v>669</v>
      </c>
      <c r="B109" s="16" t="s">
        <v>737</v>
      </c>
      <c r="C109" s="16"/>
      <c r="D109" s="16" t="str">
        <f t="shared" ca="1" si="289"/>
        <v>Bélgica</v>
      </c>
      <c r="E109" s="16" t="s">
        <v>74</v>
      </c>
      <c r="F109" s="16" t="s">
        <v>732</v>
      </c>
      <c r="G109" s="16" t="s">
        <v>448</v>
      </c>
      <c r="H109" s="16">
        <f t="shared" ca="1" si="290"/>
        <v>12</v>
      </c>
      <c r="I109" s="16"/>
      <c r="J109" s="16">
        <v>81</v>
      </c>
      <c r="K109" s="16">
        <v>46204.75</v>
      </c>
      <c r="L109" s="16" t="s">
        <v>704</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67"/>
      <c r="X109" s="24">
        <f ca="1">Horarios!C109</f>
        <v>46204.916666666664</v>
      </c>
      <c r="Y109" s="25">
        <f ca="1">Horarios!C109</f>
        <v>46204.916666666664</v>
      </c>
      <c r="Z109" s="280">
        <f t="shared" si="296"/>
        <v>82</v>
      </c>
      <c r="AA109" s="88" t="str">
        <f t="shared" ca="1" si="292"/>
        <v>Bélgica</v>
      </c>
      <c r="AB109" s="89"/>
      <c r="AC109" s="92">
        <v>1</v>
      </c>
      <c r="AD109" s="92">
        <v>0</v>
      </c>
      <c r="AE109" s="89"/>
      <c r="AF109" s="91" t="str">
        <f t="shared" ca="1" si="293"/>
        <v>República Checa</v>
      </c>
      <c r="AG109" s="327">
        <f t="shared" ca="1" si="294"/>
        <v>1</v>
      </c>
      <c r="AH109" s="195">
        <v>82</v>
      </c>
      <c r="AI109" s="182">
        <v>8</v>
      </c>
      <c r="AJ109" s="42">
        <v>8</v>
      </c>
      <c r="AK109" s="602" t="e" cm="1" vm="28">
        <f t="array" aca="1" ref="AK109" ca="1">Ver_flag_visit</f>
        <v>#VALUE!</v>
      </c>
      <c r="AL109" s="85" t="str">
        <f t="shared" ca="1" si="297"/>
        <v>Irán</v>
      </c>
      <c r="AM109" s="589">
        <f t="shared" ca="1" si="301"/>
        <v>3</v>
      </c>
      <c r="AN109" s="86">
        <f t="shared" ref="AN109:AT109" ca="1" si="312">+IF($H$113&gt;=48,INDEX($BE$58:$BN$69,MATCH($AL109,$BD$58:$BD$69,0),MATCH(AN$5,$BE$57:$BN$57,0)),$BB65)</f>
        <v>3</v>
      </c>
      <c r="AO109" s="86">
        <f t="shared" ca="1" si="312"/>
        <v>1</v>
      </c>
      <c r="AP109" s="86">
        <f t="shared" ca="1" si="312"/>
        <v>0</v>
      </c>
      <c r="AQ109" s="86">
        <f t="shared" ca="1" si="312"/>
        <v>2</v>
      </c>
      <c r="AR109" s="86">
        <f t="shared" ca="1" si="312"/>
        <v>1</v>
      </c>
      <c r="AS109" s="86">
        <f t="shared" ca="1" si="312"/>
        <v>2</v>
      </c>
      <c r="AT109" s="87">
        <f t="shared" ca="1" si="312"/>
        <v>-1</v>
      </c>
      <c r="AU109" s="330">
        <f t="shared" ca="1" si="299"/>
        <v>1</v>
      </c>
      <c r="AV109" s="182" t="str">
        <f t="shared" ca="1" si="300"/>
        <v>Irán</v>
      </c>
      <c r="AW109" s="215"/>
      <c r="AX109" s="170"/>
      <c r="AY109" s="276"/>
      <c r="AZ109" s="279" t="str">
        <f t="shared" ca="1" si="303"/>
        <v>1K - 3L</v>
      </c>
      <c r="BA109" s="176"/>
      <c r="BF109" t="str">
        <f t="shared" ca="1" si="304"/>
        <v>B</v>
      </c>
      <c r="BG109">
        <f t="shared" ca="1" si="305"/>
        <v>2</v>
      </c>
      <c r="BI109">
        <v>7</v>
      </c>
      <c r="BJ109" t="str">
        <f t="shared" ca="1" si="306"/>
        <v>I</v>
      </c>
    </row>
    <row r="110" spans="1:62" ht="16" customHeight="1">
      <c r="A110" s="16" t="s">
        <v>678</v>
      </c>
      <c r="B110" s="16" t="s">
        <v>738</v>
      </c>
      <c r="C110" s="16"/>
      <c r="D110" s="16" t="str">
        <f t="shared" ca="1" si="289"/>
        <v>Estados Unidos</v>
      </c>
      <c r="E110" s="16" t="s">
        <v>6</v>
      </c>
      <c r="F110" s="16" t="s">
        <v>732</v>
      </c>
      <c r="G110" s="16" t="s">
        <v>5</v>
      </c>
      <c r="H110" s="16">
        <f t="shared" ca="1" si="290"/>
        <v>12</v>
      </c>
      <c r="I110" s="16"/>
      <c r="J110" s="16">
        <v>82</v>
      </c>
      <c r="K110" s="16">
        <v>46204.75</v>
      </c>
      <c r="L110" s="16" t="s">
        <v>705</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67"/>
      <c r="X110" s="24">
        <f ca="1">Horarios!C110</f>
        <v>46205.083333333336</v>
      </c>
      <c r="Y110" s="25">
        <f ca="1">Horarios!C110</f>
        <v>46205.083333333336</v>
      </c>
      <c r="Z110" s="280">
        <f t="shared" si="296"/>
        <v>81</v>
      </c>
      <c r="AA110" s="88" t="str">
        <f t="shared" ca="1" si="292"/>
        <v>Estados Unidos</v>
      </c>
      <c r="AB110" s="89"/>
      <c r="AC110" s="92">
        <v>2</v>
      </c>
      <c r="AD110" s="92">
        <v>0</v>
      </c>
      <c r="AE110" s="89"/>
      <c r="AF110" s="91" t="str">
        <f t="shared" ca="1" si="293"/>
        <v>Bosnia y Herzegovina</v>
      </c>
      <c r="AG110" s="327">
        <f t="shared" ca="1" si="294"/>
        <v>1</v>
      </c>
      <c r="AH110" s="195">
        <v>81</v>
      </c>
      <c r="AI110" s="182">
        <v>9</v>
      </c>
      <c r="AJ110" s="42">
        <v>9</v>
      </c>
      <c r="AK110" s="602" t="e" cm="1" vm="13">
        <f t="array" aca="1" ref="AK110" ca="1">Ver_flag_visit</f>
        <v>#VALUE!</v>
      </c>
      <c r="AL110" s="85" t="str">
        <f t="shared" ca="1" si="297"/>
        <v>Escocia</v>
      </c>
      <c r="AM110" s="589">
        <f t="shared" ca="1" si="301"/>
        <v>3</v>
      </c>
      <c r="AN110" s="86">
        <f t="shared" ref="AN110:AT110" ca="1" si="313">+IF($H$113&gt;=48,INDEX($BE$58:$BN$69,MATCH($AL110,$BD$58:$BD$69,0),MATCH(AN$5,$BE$57:$BN$57,0)),$BB66)</f>
        <v>3</v>
      </c>
      <c r="AO110" s="86">
        <f t="shared" ca="1" si="313"/>
        <v>1</v>
      </c>
      <c r="AP110" s="86">
        <f t="shared" ca="1" si="313"/>
        <v>0</v>
      </c>
      <c r="AQ110" s="86">
        <f t="shared" ca="1" si="313"/>
        <v>2</v>
      </c>
      <c r="AR110" s="86">
        <f t="shared" ca="1" si="313"/>
        <v>4</v>
      </c>
      <c r="AS110" s="86">
        <f t="shared" ca="1" si="313"/>
        <v>7</v>
      </c>
      <c r="AT110" s="87">
        <f t="shared" ca="1" si="313"/>
        <v>-3</v>
      </c>
      <c r="AU110" s="330">
        <f t="shared" ca="1" si="299"/>
        <v>1</v>
      </c>
      <c r="AV110" s="182" t="str">
        <f t="shared" ca="1" si="300"/>
        <v>Escocia</v>
      </c>
      <c r="AW110" s="215"/>
      <c r="AX110" s="170"/>
      <c r="AY110" s="276"/>
      <c r="AZ110" s="279" t="str">
        <f t="shared" ca="1" si="303"/>
        <v>1L - 3I</v>
      </c>
      <c r="BA110" s="176"/>
      <c r="BF110" t="str">
        <f t="shared" ca="1" si="304"/>
        <v>G</v>
      </c>
      <c r="BG110">
        <f t="shared" ca="1" si="305"/>
        <v>6</v>
      </c>
      <c r="BI110">
        <v>8</v>
      </c>
      <c r="BJ110" t="str">
        <f t="shared" ca="1" si="306"/>
        <v>L</v>
      </c>
    </row>
    <row r="111" spans="1:62" ht="16" customHeight="1">
      <c r="A111" s="16" t="s">
        <v>691</v>
      </c>
      <c r="B111" s="16" t="s">
        <v>694</v>
      </c>
      <c r="C111" s="16"/>
      <c r="D111" s="16" t="str">
        <f t="shared" ca="1" si="289"/>
        <v>España</v>
      </c>
      <c r="E111" s="16" t="s">
        <v>449</v>
      </c>
      <c r="F111" s="16" t="s">
        <v>247</v>
      </c>
      <c r="G111" s="16" t="s">
        <v>449</v>
      </c>
      <c r="H111" s="16">
        <f t="shared" ca="1" si="290"/>
        <v>12</v>
      </c>
      <c r="I111" s="16"/>
      <c r="J111" s="16">
        <v>83</v>
      </c>
      <c r="K111" s="16">
        <v>46205.75</v>
      </c>
      <c r="L111" s="16" t="s">
        <v>706</v>
      </c>
      <c r="M111" s="16" t="str">
        <f t="shared" ca="1" si="291"/>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67"/>
      <c r="X111" s="24">
        <f ca="1">Horarios!C111</f>
        <v>46205.875</v>
      </c>
      <c r="Y111" s="25">
        <f ca="1">Horarios!C111</f>
        <v>46205.875</v>
      </c>
      <c r="Z111" s="280">
        <f t="shared" si="296"/>
        <v>84</v>
      </c>
      <c r="AA111" s="88" t="str">
        <f t="shared" ca="1" si="292"/>
        <v>España</v>
      </c>
      <c r="AB111" s="89"/>
      <c r="AC111" s="92">
        <v>3</v>
      </c>
      <c r="AD111" s="92">
        <v>1</v>
      </c>
      <c r="AE111" s="89"/>
      <c r="AF111" s="91" t="str">
        <f t="shared" ca="1" si="293"/>
        <v>Argelia</v>
      </c>
      <c r="AG111" s="327">
        <f t="shared" ca="1" si="294"/>
        <v>1</v>
      </c>
      <c r="AH111" s="195">
        <v>84</v>
      </c>
      <c r="AI111" s="182">
        <v>10</v>
      </c>
      <c r="AJ111" s="42">
        <v>10</v>
      </c>
      <c r="AK111" s="602" t="e" cm="1" vm="43">
        <f t="array" aca="1" ref="AK111" ca="1">Ver_flag_visit</f>
        <v>#VALUE!</v>
      </c>
      <c r="AL111" s="85" t="str">
        <f t="shared" ca="1" si="297"/>
        <v>RD Congo</v>
      </c>
      <c r="AM111" s="589">
        <f t="shared" ca="1" si="301"/>
        <v>3</v>
      </c>
      <c r="AN111" s="86">
        <f t="shared" ref="AN111:AT111" ca="1" si="314">+IF($H$113&gt;=48,INDEX($BE$58:$BN$69,MATCH($AL111,$BD$58:$BD$69,0),MATCH(AN$5,$BE$57:$BN$57,0)),$BB67)</f>
        <v>3</v>
      </c>
      <c r="AO111" s="86">
        <f t="shared" ca="1" si="314"/>
        <v>1</v>
      </c>
      <c r="AP111" s="86">
        <f t="shared" ca="1" si="314"/>
        <v>0</v>
      </c>
      <c r="AQ111" s="86">
        <f t="shared" ca="1" si="314"/>
        <v>2</v>
      </c>
      <c r="AR111" s="86">
        <f t="shared" ca="1" si="314"/>
        <v>1</v>
      </c>
      <c r="AS111" s="86">
        <f t="shared" ca="1" si="314"/>
        <v>6</v>
      </c>
      <c r="AT111" s="87">
        <f t="shared" ca="1" si="314"/>
        <v>-5</v>
      </c>
      <c r="AU111" s="330">
        <f t="shared" ca="1" si="299"/>
        <v>1</v>
      </c>
      <c r="AV111" s="182" t="str">
        <f t="shared" ca="1" si="300"/>
        <v>RD Congo</v>
      </c>
      <c r="AW111" s="215"/>
      <c r="AX111" s="170"/>
      <c r="AY111" s="275"/>
      <c r="AZ111" s="275"/>
      <c r="BA111" s="176"/>
      <c r="BI111" t="s">
        <v>87</v>
      </c>
    </row>
    <row r="112" spans="1:62" ht="16" customHeight="1">
      <c r="A112" s="16" t="s">
        <v>681</v>
      </c>
      <c r="B112" s="16" t="s">
        <v>688</v>
      </c>
      <c r="C112" s="16"/>
      <c r="D112" s="16" t="str">
        <f t="shared" ca="1" si="289"/>
        <v>Colombia</v>
      </c>
      <c r="E112" s="16" t="s">
        <v>447</v>
      </c>
      <c r="F112" s="16" t="s">
        <v>5</v>
      </c>
      <c r="G112" s="16" t="s">
        <v>247</v>
      </c>
      <c r="H112" s="16">
        <f t="shared" ca="1" si="290"/>
        <v>12</v>
      </c>
      <c r="I112" s="16"/>
      <c r="J112" s="16">
        <v>84</v>
      </c>
      <c r="K112" s="16">
        <v>46205.75</v>
      </c>
      <c r="L112" s="16" t="s">
        <v>707</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67"/>
      <c r="X112" s="24">
        <f ca="1">Horarios!C112</f>
        <v>46206.041666666664</v>
      </c>
      <c r="Y112" s="25">
        <f ca="1">Horarios!C112</f>
        <v>46206.041666666664</v>
      </c>
      <c r="Z112" s="280">
        <f t="shared" si="296"/>
        <v>83</v>
      </c>
      <c r="AA112" s="88" t="str">
        <f t="shared" ca="1" si="292"/>
        <v>Colombia</v>
      </c>
      <c r="AB112" s="89"/>
      <c r="AC112" s="92">
        <v>2</v>
      </c>
      <c r="AD112" s="92">
        <v>1</v>
      </c>
      <c r="AE112" s="89"/>
      <c r="AF112" s="91" t="str">
        <f t="shared" ca="1" si="293"/>
        <v>Croacia</v>
      </c>
      <c r="AG112" s="327">
        <f t="shared" ca="1" si="294"/>
        <v>1</v>
      </c>
      <c r="AH112" s="195">
        <v>83</v>
      </c>
      <c r="AI112" s="182">
        <v>11</v>
      </c>
      <c r="AJ112" s="42">
        <v>11</v>
      </c>
      <c r="AK112" s="602" t="e" cm="1" vm="40">
        <f t="array" aca="1" ref="AK112" ca="1">Ver_flag_visit</f>
        <v>#VALUE!</v>
      </c>
      <c r="AL112" s="85" t="str">
        <f t="shared" ca="1" si="297"/>
        <v>Austria</v>
      </c>
      <c r="AM112" s="589">
        <f t="shared" ca="1" si="301"/>
        <v>2</v>
      </c>
      <c r="AN112" s="86">
        <f t="shared" ref="AN112:AT112" ca="1" si="315">+IF($H$113&gt;=48,INDEX($BE$58:$BN$69,MATCH($AL112,$BD$58:$BD$69,0),MATCH(AN$5,$BE$57:$BN$57,0)),$BB68)</f>
        <v>3</v>
      </c>
      <c r="AO112" s="86">
        <f t="shared" ca="1" si="315"/>
        <v>0</v>
      </c>
      <c r="AP112" s="86">
        <f t="shared" ca="1" si="315"/>
        <v>2</v>
      </c>
      <c r="AQ112" s="86">
        <f t="shared" ca="1" si="315"/>
        <v>1</v>
      </c>
      <c r="AR112" s="86">
        <f t="shared" ca="1" si="315"/>
        <v>3</v>
      </c>
      <c r="AS112" s="86">
        <f t="shared" ca="1" si="315"/>
        <v>4</v>
      </c>
      <c r="AT112" s="87">
        <f t="shared" ca="1" si="315"/>
        <v>-1</v>
      </c>
      <c r="AU112" s="330">
        <f t="shared" ca="1" si="299"/>
        <v>1</v>
      </c>
      <c r="AV112" s="182" t="str">
        <f t="shared" ca="1" si="300"/>
        <v>Austria</v>
      </c>
      <c r="AW112" s="215"/>
      <c r="AX112" s="170"/>
      <c r="AY112" s="275"/>
      <c r="AZ112" s="275"/>
      <c r="BA112" s="176"/>
      <c r="BI112" t="str">
        <f ca="1">IFERROR(CONCATENATE(BJ103,BJ104,BJ105,BJ106,BJ107,BJ108,BJ109,BJ110),"¿A/B/C/D/E/F/G/H/I/J/K/L?")</f>
        <v>ABDEFGIL</v>
      </c>
    </row>
    <row r="113" spans="1:59" ht="16" customHeight="1" thickBot="1">
      <c r="A113" s="16" t="s">
        <v>659</v>
      </c>
      <c r="B113" s="16" t="s">
        <v>739</v>
      </c>
      <c r="C113" s="16"/>
      <c r="D113" s="16" t="str">
        <f t="shared" ca="1" si="289"/>
        <v>Suiza</v>
      </c>
      <c r="E113" s="16" t="s">
        <v>1</v>
      </c>
      <c r="F113" s="16" t="s">
        <v>732</v>
      </c>
      <c r="G113" s="16" t="s">
        <v>732</v>
      </c>
      <c r="H113" s="16">
        <f ca="1">+IF($AJ$99&lt;&gt;144,SUM(H101:H112),$AJ$99)</f>
        <v>144</v>
      </c>
      <c r="I113" s="16"/>
      <c r="J113" s="16">
        <v>85</v>
      </c>
      <c r="K113" s="16">
        <v>46205.75</v>
      </c>
      <c r="L113" s="16" t="s">
        <v>708</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67"/>
      <c r="X113" s="24">
        <f ca="1">Horarios!C113</f>
        <v>46206.208333333336</v>
      </c>
      <c r="Y113" s="25">
        <f ca="1">Horarios!C113</f>
        <v>46206.208333333336</v>
      </c>
      <c r="Z113" s="280">
        <f t="shared" si="296"/>
        <v>85</v>
      </c>
      <c r="AA113" s="88" t="str">
        <f t="shared" ca="1" si="292"/>
        <v>Suiza</v>
      </c>
      <c r="AB113" s="89"/>
      <c r="AC113" s="92">
        <v>1</v>
      </c>
      <c r="AD113" s="92">
        <v>0</v>
      </c>
      <c r="AE113" s="90"/>
      <c r="AF113" s="91" t="str">
        <f t="shared" ca="1" si="293"/>
        <v>Irán</v>
      </c>
      <c r="AG113" s="327">
        <f t="shared" ca="1" si="294"/>
        <v>1</v>
      </c>
      <c r="AH113" s="195">
        <v>85</v>
      </c>
      <c r="AI113" s="182">
        <v>12</v>
      </c>
      <c r="AJ113" s="44">
        <v>12</v>
      </c>
      <c r="AK113" s="604" t="e" cm="1" vm="32">
        <f t="array" aca="1" ref="AK113" ca="1">Ver_flag_visit</f>
        <v>#VALUE!</v>
      </c>
      <c r="AL113" s="45" t="str">
        <f t="shared" ca="1" si="297"/>
        <v>Arabia Saudita</v>
      </c>
      <c r="AM113" s="590">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2</v>
      </c>
      <c r="AS113" s="47">
        <f t="shared" ca="1" si="316"/>
        <v>3</v>
      </c>
      <c r="AT113" s="48">
        <f t="shared" ca="1" si="316"/>
        <v>-1</v>
      </c>
      <c r="AU113" s="330">
        <f t="shared" ca="1" si="299"/>
        <v>1</v>
      </c>
      <c r="AV113" s="182" t="str">
        <f t="shared" ca="1" si="300"/>
        <v>Arabia Saudita</v>
      </c>
      <c r="AW113" s="215"/>
      <c r="AX113" s="170"/>
      <c r="AY113" s="154"/>
      <c r="AZ113" s="155"/>
      <c r="BA113" s="176"/>
    </row>
    <row r="114" spans="1:59" ht="16" customHeight="1">
      <c r="A114" s="16" t="s">
        <v>687</v>
      </c>
      <c r="B114" s="16" t="s">
        <v>682</v>
      </c>
      <c r="C114" s="16"/>
      <c r="D114" s="16" t="str">
        <f t="shared" ca="1" si="289"/>
        <v>Turquía</v>
      </c>
      <c r="E114" s="16" t="s">
        <v>5</v>
      </c>
      <c r="F114" s="16" t="s">
        <v>447</v>
      </c>
      <c r="G114" s="16"/>
      <c r="H114" s="16"/>
      <c r="I114" s="16"/>
      <c r="J114" s="16">
        <v>86</v>
      </c>
      <c r="K114" s="16">
        <v>46206.75</v>
      </c>
      <c r="L114" s="16" t="s">
        <v>709</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67"/>
      <c r="X114" s="24">
        <f ca="1">Horarios!C114</f>
        <v>46206.833333333336</v>
      </c>
      <c r="Y114" s="25">
        <f ca="1">Horarios!C114</f>
        <v>46206.833333333336</v>
      </c>
      <c r="Z114" s="280">
        <f t="shared" si="296"/>
        <v>88</v>
      </c>
      <c r="AA114" s="88" t="str">
        <f t="shared" ca="1" si="292"/>
        <v>Turquía</v>
      </c>
      <c r="AB114" s="89"/>
      <c r="AC114" s="92">
        <v>1</v>
      </c>
      <c r="AD114" s="92">
        <v>0</v>
      </c>
      <c r="AE114" s="89"/>
      <c r="AF114" s="91" t="str">
        <f t="shared" ca="1" si="293"/>
        <v>Egipto</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c r="A115" s="16" t="s">
        <v>690</v>
      </c>
      <c r="B115" s="16" t="s">
        <v>740</v>
      </c>
      <c r="C115" s="16"/>
      <c r="D115" s="16" t="str">
        <f t="shared" ca="1" si="289"/>
        <v>Argentina</v>
      </c>
      <c r="E115" s="16" t="s">
        <v>449</v>
      </c>
      <c r="F115" s="16" t="s">
        <v>732</v>
      </c>
      <c r="G115" s="16"/>
      <c r="H115" s="16"/>
      <c r="I115" s="16"/>
      <c r="J115" s="16">
        <v>87</v>
      </c>
      <c r="K115" s="16">
        <v>46206.75</v>
      </c>
      <c r="L115" s="16" t="s">
        <v>710</v>
      </c>
      <c r="M115" s="16" t="str">
        <f t="shared" ca="1" si="291"/>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67"/>
      <c r="X115" s="24">
        <f ca="1">Horarios!C115</f>
        <v>46207</v>
      </c>
      <c r="Y115" s="25">
        <f ca="1">Horarios!C115</f>
        <v>46207</v>
      </c>
      <c r="Z115" s="280">
        <f t="shared" si="296"/>
        <v>86</v>
      </c>
      <c r="AA115" s="88" t="str">
        <f t="shared" ca="1" si="292"/>
        <v>Argentina</v>
      </c>
      <c r="AB115" s="89"/>
      <c r="AC115" s="92">
        <v>2</v>
      </c>
      <c r="AD115" s="92">
        <v>0</v>
      </c>
      <c r="AE115" s="89"/>
      <c r="AF115" s="91" t="str">
        <f t="shared" ca="1" si="293"/>
        <v>Uruguay</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c r="A116" s="16" t="s">
        <v>670</v>
      </c>
      <c r="B116" s="16" t="s">
        <v>679</v>
      </c>
      <c r="C116" s="16"/>
      <c r="D116" s="16" t="str">
        <f t="shared" ca="1" si="289"/>
        <v>Portugal</v>
      </c>
      <c r="E116" s="16" t="s">
        <v>74</v>
      </c>
      <c r="F116" s="16" t="s">
        <v>6</v>
      </c>
      <c r="G116" s="16"/>
      <c r="H116" s="16"/>
      <c r="I116" s="16"/>
      <c r="J116" s="16">
        <v>88</v>
      </c>
      <c r="K116" s="16">
        <v>46206.75</v>
      </c>
      <c r="L116" s="16" t="s">
        <v>711</v>
      </c>
      <c r="M116" s="16" t="str">
        <f t="shared" ca="1" si="291"/>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68"/>
      <c r="X116" s="28">
        <f ca="1">Horarios!C116</f>
        <v>46207.145833333336</v>
      </c>
      <c r="Y116" s="29">
        <f ca="1">Horarios!C116</f>
        <v>46207.145833333336</v>
      </c>
      <c r="Z116" s="281">
        <f t="shared" si="296"/>
        <v>87</v>
      </c>
      <c r="AA116" s="93" t="str">
        <f t="shared" ca="1" si="292"/>
        <v>Portugal</v>
      </c>
      <c r="AB116" s="94"/>
      <c r="AC116" s="277">
        <v>3</v>
      </c>
      <c r="AD116" s="277">
        <v>1</v>
      </c>
      <c r="AE116" s="94"/>
      <c r="AF116" s="95" t="str">
        <f t="shared" ca="1" si="293"/>
        <v>Ghana</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656</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659</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669</v>
      </c>
      <c r="BG119" t="str">
        <f ca="1">+IFERROR(INDEX(Combinaciones!$P$2:$W$496,MATCH(1,Combinaciones!$B$2:$B$497,0),MATCH(WORLDCUP!BF119,Combinaciones!$P$1:$W$1,0)),"")</f>
        <v>3B</v>
      </c>
    </row>
    <row r="120" spans="1:59" ht="16" customHeight="1">
      <c r="A120" s="16" t="s">
        <v>741</v>
      </c>
      <c r="B120" s="16" t="s">
        <v>742</v>
      </c>
      <c r="C120" s="16"/>
      <c r="D120" s="16" t="str">
        <f t="shared" ref="D120:D127" ca="1" si="317">IF(AND(OR(AC120="",AD120="")),"W"&amp;AH120,IF(AC120&gt;AD120,AA120,IF(AC120&lt;AD120,AF120,IF(AND(AC120=AD120,AB120=AE120),"W"&amp;AH120,IF(AND(AC120=AD120,OR(AB120="",AE120="")),"W"&amp;AH120,IF(AND(AC120=AD120,AB120&gt;AE120),AA120,AF120))))))</f>
        <v>Países Bajos</v>
      </c>
      <c r="E120" s="16">
        <v>74</v>
      </c>
      <c r="F120" s="16">
        <v>77</v>
      </c>
      <c r="G120" s="16"/>
      <c r="H120" s="16"/>
      <c r="I120" s="16"/>
      <c r="J120" s="16">
        <v>89</v>
      </c>
      <c r="K120" s="16">
        <v>46207.75</v>
      </c>
      <c r="L120" s="16" t="s">
        <v>712</v>
      </c>
      <c r="M120" s="16" t="str">
        <f t="shared" ref="M120:N127" ca="1" si="318">+INDEX($D$101:$D$147,MATCH(E120,$AH$101:$AH$147,0))</f>
        <v>Alemania</v>
      </c>
      <c r="N120" s="16" t="str">
        <f t="shared" ca="1" si="318"/>
        <v>Francia</v>
      </c>
      <c r="O120" s="16"/>
      <c r="P120" s="16"/>
      <c r="Q120" s="16"/>
      <c r="R120" s="16"/>
      <c r="S120" s="16"/>
      <c r="T120" s="16"/>
      <c r="U120" s="16"/>
      <c r="V120" s="17"/>
      <c r="W120" s="669" t="s">
        <v>89</v>
      </c>
      <c r="X120" s="24">
        <f ca="1">Horarios!C120</f>
        <v>46207.791666666664</v>
      </c>
      <c r="Y120" s="25">
        <f ca="1">Horarios!C120</f>
        <v>46207.791666666664</v>
      </c>
      <c r="Z120" s="280">
        <f t="shared" ref="Z120:Z127" si="319">AH120</f>
        <v>90</v>
      </c>
      <c r="AA120" s="88" t="str">
        <f t="shared" ref="AA120:AA127" ca="1" si="320">+INDEX($M$101:$M$147,MATCH(AH120,$J$101:$J$147,0))</f>
        <v>Corea del Sur</v>
      </c>
      <c r="AB120" s="89"/>
      <c r="AC120" s="96">
        <v>1</v>
      </c>
      <c r="AD120" s="96">
        <v>3</v>
      </c>
      <c r="AE120" s="89"/>
      <c r="AF120" s="91" t="str">
        <f t="shared" ref="AF120:AF127" ca="1" si="321">+INDEX($N$101:$N$147,MATCH(AH120,$J$101:$J$147,0))</f>
        <v>Países Bajos</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672</v>
      </c>
      <c r="BG120" t="str">
        <f ca="1">+IFERROR(INDEX(Combinaciones!$P$2:$W$496,MATCH(1,Combinaciones!$B$2:$B$497,0),MATCH(WORLDCUP!BF120,Combinaciones!$P$1:$W$1,0)),"")</f>
        <v>3D</v>
      </c>
    </row>
    <row r="121" spans="1:59" ht="16" customHeight="1">
      <c r="A121" s="16" t="s">
        <v>743</v>
      </c>
      <c r="B121" s="16" t="s">
        <v>744</v>
      </c>
      <c r="C121" s="16"/>
      <c r="D121" s="16" t="str">
        <f t="shared" ca="1" si="317"/>
        <v>Alemania</v>
      </c>
      <c r="E121" s="16">
        <v>73</v>
      </c>
      <c r="F121" s="16">
        <v>75</v>
      </c>
      <c r="G121" s="16"/>
      <c r="H121" s="16"/>
      <c r="I121" s="16"/>
      <c r="J121" s="16">
        <v>90</v>
      </c>
      <c r="K121" s="16">
        <v>46207.875</v>
      </c>
      <c r="L121" s="16" t="s">
        <v>713</v>
      </c>
      <c r="M121" s="16" t="str">
        <f t="shared" ca="1" si="318"/>
        <v>Corea del Sur</v>
      </c>
      <c r="N121" s="16" t="str">
        <f t="shared" ca="1" si="318"/>
        <v>Países Bajos</v>
      </c>
      <c r="O121" s="16"/>
      <c r="P121" s="16"/>
      <c r="Q121" s="16"/>
      <c r="R121" s="16"/>
      <c r="S121" s="16"/>
      <c r="T121" s="16"/>
      <c r="U121" s="16"/>
      <c r="V121" s="17"/>
      <c r="W121" s="669"/>
      <c r="X121" s="24">
        <f ca="1">Horarios!C121</f>
        <v>46207.958333333336</v>
      </c>
      <c r="Y121" s="25">
        <f ca="1">Horarios!C121</f>
        <v>46207.958333333336</v>
      </c>
      <c r="Z121" s="280">
        <f t="shared" si="319"/>
        <v>89</v>
      </c>
      <c r="AA121" s="88" t="str">
        <f t="shared" ca="1" si="320"/>
        <v>Alemania</v>
      </c>
      <c r="AB121" s="89"/>
      <c r="AC121" s="97">
        <v>1</v>
      </c>
      <c r="AD121" s="97">
        <v>0</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678</v>
      </c>
      <c r="BG121" t="str">
        <f ca="1">+IFERROR(INDEX(Combinaciones!$P$2:$W$496,MATCH(1,Combinaciones!$B$2:$B$497,0),MATCH(WORLDCUP!BF121,Combinaciones!$P$1:$W$1,0)),"")</f>
        <v>3A</v>
      </c>
    </row>
    <row r="122" spans="1:59" ht="16" customHeight="1">
      <c r="A122" s="16" t="s">
        <v>745</v>
      </c>
      <c r="B122" s="16" t="s">
        <v>746</v>
      </c>
      <c r="C122" s="16"/>
      <c r="D122" s="16" t="str">
        <f t="shared" ca="1" si="317"/>
        <v>Brasil</v>
      </c>
      <c r="E122" s="16">
        <v>76</v>
      </c>
      <c r="F122" s="16">
        <v>78</v>
      </c>
      <c r="G122" s="16"/>
      <c r="H122" s="16"/>
      <c r="I122" s="16"/>
      <c r="J122" s="16">
        <v>91</v>
      </c>
      <c r="K122" s="16">
        <v>46208.75</v>
      </c>
      <c r="L122" s="16" t="s">
        <v>714</v>
      </c>
      <c r="M122" s="16" t="str">
        <f t="shared" ca="1" si="318"/>
        <v>Brasil</v>
      </c>
      <c r="N122" s="16" t="str">
        <f t="shared" ca="1" si="318"/>
        <v>Noruega</v>
      </c>
      <c r="O122" s="16"/>
      <c r="P122" s="16"/>
      <c r="Q122" s="16"/>
      <c r="R122" s="16"/>
      <c r="S122" s="16"/>
      <c r="T122" s="16"/>
      <c r="U122" s="16"/>
      <c r="V122" s="17"/>
      <c r="W122" s="669"/>
      <c r="X122" s="24">
        <f ca="1">Horarios!C122</f>
        <v>46208.916666666664</v>
      </c>
      <c r="Y122" s="25">
        <f ca="1">Horarios!C122</f>
        <v>46208.916666666664</v>
      </c>
      <c r="Z122" s="280">
        <f t="shared" si="319"/>
        <v>91</v>
      </c>
      <c r="AA122" s="88" t="str">
        <f t="shared" ca="1" si="320"/>
        <v>Brasil</v>
      </c>
      <c r="AB122" s="89"/>
      <c r="AC122" s="97">
        <v>2</v>
      </c>
      <c r="AD122" s="97">
        <v>1</v>
      </c>
      <c r="AE122" s="89"/>
      <c r="AF122" s="91" t="str">
        <f t="shared" ca="1" si="321"/>
        <v>Noruega</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684</v>
      </c>
      <c r="BG122" t="str">
        <f ca="1">+IFERROR(INDEX(Combinaciones!$P$2:$W$496,MATCH(1,Combinaciones!$B$2:$B$497,0),MATCH(WORLDCUP!BF122,Combinaciones!$P$1:$W$1,0)),"")</f>
        <v>3F</v>
      </c>
    </row>
    <row r="123" spans="1:59" ht="16" customHeight="1">
      <c r="A123" s="16" t="s">
        <v>747</v>
      </c>
      <c r="B123" s="16" t="s">
        <v>748</v>
      </c>
      <c r="C123" s="16"/>
      <c r="D123" s="16" t="str">
        <f t="shared" ca="1" si="317"/>
        <v>Inglaterra</v>
      </c>
      <c r="E123" s="16">
        <v>79</v>
      </c>
      <c r="F123" s="16">
        <v>80</v>
      </c>
      <c r="G123" s="16"/>
      <c r="H123" s="16"/>
      <c r="I123" s="16"/>
      <c r="J123" s="16">
        <v>92</v>
      </c>
      <c r="K123" s="16">
        <v>46208.875</v>
      </c>
      <c r="L123" s="16" t="s">
        <v>715</v>
      </c>
      <c r="M123" s="16" t="str">
        <f t="shared" ca="1" si="318"/>
        <v>México</v>
      </c>
      <c r="N123" s="16" t="str">
        <f t="shared" ca="1" si="318"/>
        <v>Inglaterra</v>
      </c>
      <c r="O123" s="16"/>
      <c r="P123" s="16"/>
      <c r="Q123" s="16"/>
      <c r="R123" s="16"/>
      <c r="S123" s="16"/>
      <c r="T123" s="16"/>
      <c r="U123" s="16"/>
      <c r="V123" s="17"/>
      <c r="W123" s="669"/>
      <c r="X123" s="24">
        <f ca="1">Horarios!C123</f>
        <v>46209.083333333336</v>
      </c>
      <c r="Y123" s="25">
        <f ca="1">Horarios!C123</f>
        <v>46209.083333333336</v>
      </c>
      <c r="Z123" s="280">
        <f t="shared" si="319"/>
        <v>92</v>
      </c>
      <c r="AA123" s="88" t="str">
        <f t="shared" ca="1" si="320"/>
        <v>México</v>
      </c>
      <c r="AB123" s="89"/>
      <c r="AC123" s="97">
        <v>1</v>
      </c>
      <c r="AD123" s="97">
        <v>3</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690</v>
      </c>
      <c r="BG123" t="str">
        <f ca="1">+IFERROR(INDEX(Combinaciones!$P$2:$W$496,MATCH(1,Combinaciones!$B$2:$B$497,0),MATCH(WORLDCUP!BF123,Combinaciones!$P$1:$W$1,0)),"")</f>
        <v>3L</v>
      </c>
    </row>
    <row r="124" spans="1:59" ht="16" customHeight="1">
      <c r="A124" s="16" t="s">
        <v>749</v>
      </c>
      <c r="B124" s="16" t="s">
        <v>750</v>
      </c>
      <c r="C124" s="16"/>
      <c r="D124" s="16" t="str">
        <f t="shared" ca="1" si="317"/>
        <v>Colombia</v>
      </c>
      <c r="E124" s="16">
        <v>83</v>
      </c>
      <c r="F124" s="16">
        <v>84</v>
      </c>
      <c r="G124" s="16"/>
      <c r="H124" s="16"/>
      <c r="I124" s="16"/>
      <c r="J124" s="16">
        <v>93</v>
      </c>
      <c r="K124" s="16">
        <v>46209.75</v>
      </c>
      <c r="L124" s="16" t="s">
        <v>716</v>
      </c>
      <c r="M124" s="16" t="str">
        <f t="shared" ca="1" si="318"/>
        <v>Colombia</v>
      </c>
      <c r="N124" s="16" t="str">
        <f t="shared" ca="1" si="318"/>
        <v>España</v>
      </c>
      <c r="O124" s="16"/>
      <c r="P124" s="16"/>
      <c r="Q124" s="16"/>
      <c r="R124" s="16"/>
      <c r="S124" s="16"/>
      <c r="T124" s="16"/>
      <c r="U124" s="16"/>
      <c r="V124" s="17"/>
      <c r="W124" s="669"/>
      <c r="X124" s="24">
        <f ca="1">Horarios!C124</f>
        <v>46209.875</v>
      </c>
      <c r="Y124" s="25">
        <f ca="1">Horarios!C124</f>
        <v>46209.875</v>
      </c>
      <c r="Z124" s="280">
        <f t="shared" si="319"/>
        <v>93</v>
      </c>
      <c r="AA124" s="88" t="str">
        <f t="shared" ca="1" si="320"/>
        <v>Colombia</v>
      </c>
      <c r="AB124" s="98">
        <v>5</v>
      </c>
      <c r="AC124" s="97">
        <v>2</v>
      </c>
      <c r="AD124" s="97">
        <v>2</v>
      </c>
      <c r="AE124" s="90">
        <v>4</v>
      </c>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693</v>
      </c>
      <c r="BG124" t="str">
        <f ca="1">+IFERROR(INDEX(Combinaciones!$P$2:$W$496,MATCH(1,Combinaciones!$B$2:$B$497,0),MATCH(WORLDCUP!BF124,Combinaciones!$P$1:$W$1,0)),"")</f>
        <v>3I</v>
      </c>
    </row>
    <row r="125" spans="1:59" ht="16" customHeight="1">
      <c r="A125" s="16" t="s">
        <v>751</v>
      </c>
      <c r="B125" s="16" t="s">
        <v>752</v>
      </c>
      <c r="C125" s="16"/>
      <c r="D125" s="16" t="str">
        <f t="shared" ca="1" si="317"/>
        <v>Estados Unidos</v>
      </c>
      <c r="E125" s="16">
        <v>81</v>
      </c>
      <c r="F125" s="16">
        <v>82</v>
      </c>
      <c r="G125" s="16"/>
      <c r="H125" s="16"/>
      <c r="I125" s="16"/>
      <c r="J125" s="16">
        <v>94</v>
      </c>
      <c r="K125" s="16">
        <v>46209.875</v>
      </c>
      <c r="L125" s="16" t="s">
        <v>717</v>
      </c>
      <c r="M125" s="16" t="str">
        <f t="shared" ca="1" si="318"/>
        <v>Estados Unidos</v>
      </c>
      <c r="N125" s="16" t="str">
        <f t="shared" ca="1" si="318"/>
        <v>Bélgica</v>
      </c>
      <c r="O125" s="16"/>
      <c r="P125" s="16"/>
      <c r="Q125" s="16"/>
      <c r="R125" s="16"/>
      <c r="S125" s="16"/>
      <c r="T125" s="16"/>
      <c r="U125" s="16"/>
      <c r="V125" s="17"/>
      <c r="W125" s="669"/>
      <c r="X125" s="24">
        <f ca="1">Horarios!C125</f>
        <v>46210.083333333336</v>
      </c>
      <c r="Y125" s="25">
        <f ca="1">Horarios!C125</f>
        <v>46210.083333333336</v>
      </c>
      <c r="Z125" s="280">
        <f t="shared" si="319"/>
        <v>94</v>
      </c>
      <c r="AA125" s="88" t="str">
        <f t="shared" ca="1" si="320"/>
        <v>Estados Unidos</v>
      </c>
      <c r="AB125" s="89">
        <v>5</v>
      </c>
      <c r="AC125" s="99">
        <v>1</v>
      </c>
      <c r="AD125" s="99">
        <v>1</v>
      </c>
      <c r="AE125" s="89">
        <v>3</v>
      </c>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6" customHeight="1">
      <c r="A126" s="16" t="s">
        <v>753</v>
      </c>
      <c r="B126" s="16" t="s">
        <v>754</v>
      </c>
      <c r="C126" s="16"/>
      <c r="D126" s="16" t="str">
        <f t="shared" ca="1" si="317"/>
        <v>Argentina</v>
      </c>
      <c r="E126" s="16">
        <v>86</v>
      </c>
      <c r="F126" s="16">
        <v>88</v>
      </c>
      <c r="G126" s="16"/>
      <c r="H126" s="16"/>
      <c r="I126" s="16"/>
      <c r="J126" s="16">
        <v>95</v>
      </c>
      <c r="K126" s="16">
        <v>46210.75</v>
      </c>
      <c r="L126" s="16" t="s">
        <v>718</v>
      </c>
      <c r="M126" s="16" t="str">
        <f t="shared" ca="1" si="318"/>
        <v>Argentina</v>
      </c>
      <c r="N126" s="16" t="str">
        <f t="shared" ca="1" si="318"/>
        <v>Turquía</v>
      </c>
      <c r="O126" s="16"/>
      <c r="P126" s="16"/>
      <c r="Q126" s="16"/>
      <c r="R126" s="16"/>
      <c r="S126" s="16"/>
      <c r="T126" s="16"/>
      <c r="U126" s="16"/>
      <c r="V126" s="17"/>
      <c r="W126" s="669"/>
      <c r="X126" s="24">
        <f ca="1">Horarios!C126</f>
        <v>46210.75</v>
      </c>
      <c r="Y126" s="25">
        <f ca="1">Horarios!C126</f>
        <v>46210.75</v>
      </c>
      <c r="Z126" s="280">
        <f t="shared" si="319"/>
        <v>95</v>
      </c>
      <c r="AA126" s="88" t="str">
        <f t="shared" ca="1" si="320"/>
        <v>Argentina</v>
      </c>
      <c r="AB126" s="89"/>
      <c r="AC126" s="99">
        <v>2</v>
      </c>
      <c r="AD126" s="99">
        <v>0</v>
      </c>
      <c r="AE126" s="89"/>
      <c r="AF126" s="91" t="str">
        <f t="shared" ca="1" si="321"/>
        <v>Turquía</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6" customHeight="1" thickBot="1">
      <c r="A127" s="16" t="s">
        <v>755</v>
      </c>
      <c r="B127" s="16" t="s">
        <v>756</v>
      </c>
      <c r="C127" s="16"/>
      <c r="D127" s="16" t="str">
        <f t="shared" ca="1" si="317"/>
        <v>Portugal</v>
      </c>
      <c r="E127" s="16">
        <v>85</v>
      </c>
      <c r="F127" s="16">
        <v>87</v>
      </c>
      <c r="G127" s="16"/>
      <c r="H127" s="16"/>
      <c r="I127" s="16"/>
      <c r="J127" s="16">
        <v>96</v>
      </c>
      <c r="K127" s="16">
        <v>46210.875</v>
      </c>
      <c r="L127" s="16" t="s">
        <v>719</v>
      </c>
      <c r="M127" s="16" t="str">
        <f t="shared" ca="1" si="318"/>
        <v>Suiza</v>
      </c>
      <c r="N127" s="16" t="str">
        <f t="shared" ca="1" si="318"/>
        <v>Portugal</v>
      </c>
      <c r="O127" s="16"/>
      <c r="P127" s="16"/>
      <c r="Q127" s="16"/>
      <c r="R127" s="16"/>
      <c r="S127" s="16"/>
      <c r="T127" s="16"/>
      <c r="U127" s="16"/>
      <c r="V127" s="17"/>
      <c r="W127" s="670"/>
      <c r="X127" s="28">
        <f ca="1">Horarios!C127</f>
        <v>46210.916666666664</v>
      </c>
      <c r="Y127" s="29">
        <f ca="1">Horarios!C127</f>
        <v>46210.916666666664</v>
      </c>
      <c r="Z127" s="281">
        <f t="shared" si="319"/>
        <v>96</v>
      </c>
      <c r="AA127" s="93" t="str">
        <f t="shared" ca="1" si="320"/>
        <v>Suiza</v>
      </c>
      <c r="AB127" s="94"/>
      <c r="AC127" s="100">
        <v>1</v>
      </c>
      <c r="AD127" s="100">
        <v>2</v>
      </c>
      <c r="AE127" s="94"/>
      <c r="AF127" s="95" t="str">
        <f t="shared" ca="1" si="321"/>
        <v>Portugal</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6" customHeight="1">
      <c r="A131" s="16" t="s">
        <v>757</v>
      </c>
      <c r="B131" s="16" t="s">
        <v>758</v>
      </c>
      <c r="C131" s="16"/>
      <c r="D131" s="16" t="str">
        <f ca="1">IF(AND(OR(AC131="",AD131="")),"W"&amp;AH131,IF(AC131&gt;AD131,AA131,IF(AC131&lt;AD131,AF131,IF(AND(AC131=AD131,AB131=AE131),"W"&amp;AH131,IF(AND(AC131=AD131,OR(AB131="",AE131="")),"W"&amp;AH131,IF(AND(AC131=AD131,AB131&gt;AE131),AA131,AF131))))))</f>
        <v>Países Bajos</v>
      </c>
      <c r="E131" s="16">
        <v>89</v>
      </c>
      <c r="F131" s="16">
        <v>90</v>
      </c>
      <c r="G131" s="16"/>
      <c r="H131" s="16"/>
      <c r="I131" s="16"/>
      <c r="J131" s="16">
        <v>97</v>
      </c>
      <c r="K131" s="16">
        <v>46212.75</v>
      </c>
      <c r="L131" s="16" t="s">
        <v>720</v>
      </c>
      <c r="M131" s="16" t="str">
        <f t="shared" ref="M131:N134" ca="1" si="323">+INDEX($D$101:$D$147,MATCH(E131,$AH$101:$AH$147,0))</f>
        <v>Alemania</v>
      </c>
      <c r="N131" s="16" t="str">
        <f t="shared" ca="1" si="323"/>
        <v>Países Bajos</v>
      </c>
      <c r="O131" s="16"/>
      <c r="P131" s="16"/>
      <c r="Q131" s="16"/>
      <c r="R131" s="16"/>
      <c r="S131" s="16"/>
      <c r="T131" s="16"/>
      <c r="U131" s="16"/>
      <c r="V131" s="17"/>
      <c r="W131" s="671" t="s">
        <v>36</v>
      </c>
      <c r="X131" s="24">
        <f ca="1">Horarios!C131</f>
        <v>46212.916666666664</v>
      </c>
      <c r="Y131" s="25">
        <f ca="1">Horarios!C131</f>
        <v>46212.916666666664</v>
      </c>
      <c r="Z131" s="282">
        <f t="shared" ref="Z131:Z134" si="324">AH131</f>
        <v>97</v>
      </c>
      <c r="AA131" s="88" t="str">
        <f t="shared" ref="AA131:AA134" ca="1" si="325">+INDEX($M$101:$M$147,MATCH(AH131,$J$101:$J$147,0))</f>
        <v>Alemania</v>
      </c>
      <c r="AB131" s="98"/>
      <c r="AC131" s="96">
        <v>0</v>
      </c>
      <c r="AD131" s="96">
        <v>2</v>
      </c>
      <c r="AE131" s="90"/>
      <c r="AF131" s="116" t="str">
        <f ca="1">+INDEX($N$101:$N$147,MATCH(AH131,$J$101:$J$147,0))</f>
        <v>Países Bajos</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6" customHeight="1">
      <c r="A132" s="16" t="s">
        <v>759</v>
      </c>
      <c r="B132" s="16" t="s">
        <v>760</v>
      </c>
      <c r="C132" s="16"/>
      <c r="D132" s="16" t="str">
        <f ca="1">IF(AND(OR(AC132="",AD132="")),"W"&amp;AH132,IF(AC132&gt;AD132,AA132,IF(AC132&lt;AD132,AF132,IF(AND(AC132=AD132,AB132=AE132),"W"&amp;AH132,IF(AND(AC132=AD132,OR(AB132="",AE132="")),"W"&amp;AH132,IF(AND(AC132=AD132,AB132&gt;AE132),AA132,AF132))))))</f>
        <v>Colombia</v>
      </c>
      <c r="E132" s="16">
        <v>93</v>
      </c>
      <c r="F132" s="16">
        <v>94</v>
      </c>
      <c r="G132" s="16"/>
      <c r="H132" s="16"/>
      <c r="I132" s="16"/>
      <c r="J132" s="16">
        <v>98</v>
      </c>
      <c r="K132" s="16">
        <v>46213.875</v>
      </c>
      <c r="L132" s="16" t="s">
        <v>721</v>
      </c>
      <c r="M132" s="16" t="str">
        <f t="shared" ca="1" si="323"/>
        <v>Colombia</v>
      </c>
      <c r="N132" s="16" t="str">
        <f t="shared" ca="1" si="323"/>
        <v>Estados Unidos</v>
      </c>
      <c r="O132" s="16"/>
      <c r="P132" s="16"/>
      <c r="Q132" s="16"/>
      <c r="R132" s="16"/>
      <c r="S132" s="16"/>
      <c r="T132" s="16"/>
      <c r="U132" s="16"/>
      <c r="V132" s="17"/>
      <c r="W132" s="671"/>
      <c r="X132" s="24">
        <f ca="1">Horarios!C132</f>
        <v>46213.875</v>
      </c>
      <c r="Y132" s="25">
        <f ca="1">Horarios!C132</f>
        <v>46213.875</v>
      </c>
      <c r="Z132" s="282">
        <f t="shared" si="324"/>
        <v>98</v>
      </c>
      <c r="AA132" s="88" t="str">
        <f t="shared" ca="1" si="325"/>
        <v>Colombia</v>
      </c>
      <c r="AB132" s="89"/>
      <c r="AC132" s="99">
        <v>2</v>
      </c>
      <c r="AD132" s="99">
        <v>1</v>
      </c>
      <c r="AE132" s="89"/>
      <c r="AF132" s="116" t="str">
        <f ca="1">+INDEX($N$101:$N$147,MATCH(AH132,$J$101:$J$147,0))</f>
        <v>Estados Unidos</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6" customHeight="1">
      <c r="A133" s="16" t="s">
        <v>761</v>
      </c>
      <c r="B133" s="16" t="s">
        <v>762</v>
      </c>
      <c r="C133" s="16"/>
      <c r="D133" s="16" t="str">
        <f ca="1">IF(AND(OR(AC133="",AD133="")),"W"&amp;AH133,IF(AC133&gt;AD133,AA133,IF(AC133&lt;AD133,AF133,IF(AND(AC133=AD133,AB133=AE133),"W"&amp;AH133,IF(AND(AC133=AD133,OR(AB133="",AE133="")),"W"&amp;AH133,IF(AND(AC133=AD133,AB133&gt;AE133),AA133,AF133))))))</f>
        <v>Brasil</v>
      </c>
      <c r="E133" s="16">
        <v>91</v>
      </c>
      <c r="F133" s="16">
        <v>92</v>
      </c>
      <c r="G133" s="16"/>
      <c r="H133" s="16"/>
      <c r="I133" s="16"/>
      <c r="J133" s="16">
        <v>99</v>
      </c>
      <c r="K133" s="16">
        <v>46214.75</v>
      </c>
      <c r="L133" s="16" t="s">
        <v>722</v>
      </c>
      <c r="M133" s="16" t="str">
        <f t="shared" ca="1" si="323"/>
        <v>Brasil</v>
      </c>
      <c r="N133" s="16" t="str">
        <f t="shared" ca="1" si="323"/>
        <v>Inglaterra</v>
      </c>
      <c r="O133" s="16"/>
      <c r="P133" s="16"/>
      <c r="Q133" s="16"/>
      <c r="R133" s="16"/>
      <c r="S133" s="16"/>
      <c r="T133" s="16"/>
      <c r="U133" s="16"/>
      <c r="V133" s="17"/>
      <c r="W133" s="671"/>
      <c r="X133" s="24">
        <f ca="1">Horarios!C133</f>
        <v>46214.958333333336</v>
      </c>
      <c r="Y133" s="25">
        <f ca="1">Horarios!C133</f>
        <v>46214.958333333336</v>
      </c>
      <c r="Z133" s="282">
        <f t="shared" si="324"/>
        <v>99</v>
      </c>
      <c r="AA133" s="88" t="str">
        <f t="shared" ca="1" si="325"/>
        <v>Brasil</v>
      </c>
      <c r="AB133" s="89">
        <v>5</v>
      </c>
      <c r="AC133" s="99">
        <v>2</v>
      </c>
      <c r="AD133" s="99">
        <v>2</v>
      </c>
      <c r="AE133" s="89">
        <v>4</v>
      </c>
      <c r="AF133" s="116" t="str">
        <f ca="1">+INDEX($N$101:$N$147,MATCH(AH133,$J$101:$J$147,0))</f>
        <v>Inglaterra</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6" customHeight="1" thickBot="1">
      <c r="A134" s="16" t="s">
        <v>763</v>
      </c>
      <c r="B134" s="16" t="s">
        <v>764</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723</v>
      </c>
      <c r="M134" s="16" t="str">
        <f t="shared" ca="1" si="323"/>
        <v>Argentina</v>
      </c>
      <c r="N134" s="16" t="str">
        <f t="shared" ca="1" si="323"/>
        <v>Portugal</v>
      </c>
      <c r="O134" s="16"/>
      <c r="P134" s="16"/>
      <c r="Q134" s="16"/>
      <c r="R134" s="16"/>
      <c r="S134" s="16"/>
      <c r="T134" s="16"/>
      <c r="U134" s="16"/>
      <c r="V134" s="17"/>
      <c r="W134" s="672"/>
      <c r="X134" s="28">
        <f ca="1">Horarios!C134</f>
        <v>46215.125</v>
      </c>
      <c r="Y134" s="29">
        <f ca="1">Horarios!C134</f>
        <v>46215.125</v>
      </c>
      <c r="Z134" s="283">
        <f t="shared" si="324"/>
        <v>100</v>
      </c>
      <c r="AA134" s="93" t="str">
        <f t="shared" ca="1" si="325"/>
        <v>Argentina</v>
      </c>
      <c r="AB134" s="94">
        <v>5</v>
      </c>
      <c r="AC134" s="100">
        <v>2</v>
      </c>
      <c r="AD134" s="100">
        <v>2</v>
      </c>
      <c r="AE134" s="94">
        <v>4</v>
      </c>
      <c r="AF134" s="117" t="str">
        <f ca="1">+INDEX($N$101:$N$147,MATCH(AH134,$J$101:$J$147,0))</f>
        <v>Portugal</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6" customHeight="1" thickBot="1">
      <c r="A136" s="16"/>
      <c r="B136" s="16"/>
      <c r="C136" s="16"/>
      <c r="D136" s="16"/>
      <c r="E136" s="16"/>
      <c r="F136" s="16" t="s">
        <v>1205</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6" customHeight="1">
      <c r="A137" s="16"/>
      <c r="B137" s="16"/>
      <c r="C137" s="16"/>
      <c r="D137" s="16"/>
      <c r="E137" s="16"/>
      <c r="F137" s="16"/>
      <c r="G137" s="16"/>
      <c r="H137" s="16" t="s">
        <v>1449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6" customHeight="1">
      <c r="A138" s="16" t="s">
        <v>765</v>
      </c>
      <c r="B138" s="16" t="s">
        <v>766</v>
      </c>
      <c r="C138" s="16"/>
      <c r="D138" s="16" t="str">
        <f ca="1">IF(AND(OR(AC138="",AD138="")),"W"&amp;AH138,IF(AC138&gt;AD138,AA138,IF(AC138&lt;AD138,AF138,IF(AND(AC138=AD138,AB138=AE138),"W"&amp;AH138,IF(AND(AC138=AD138,OR(AB138="",AE138="")),"W"&amp;AH138,IF(AND(AC138=AD138,AB138&gt;AE138),AA138,AF138))))))</f>
        <v>Países Bajos</v>
      </c>
      <c r="E138" s="16">
        <v>97</v>
      </c>
      <c r="F138" s="16">
        <v>98</v>
      </c>
      <c r="G138" s="16"/>
      <c r="H138" s="16" t="str">
        <f ca="1">IF(AND(OR(AC138="",AD138="")),"L101",IF(AC138&gt;AD138,AF138,IF(AC138&lt;AD138,AA138,IF(AND(AC138=AD138,AB138=AE138),"L101",IF(AND(AC138=AD138,OR(AB138="",AE138="")),"L101",IF(AND(AC138=AD138,AB138&gt;AE138),AF138,AA138))))))</f>
        <v>Colombia</v>
      </c>
      <c r="I138" s="16"/>
      <c r="J138" s="16">
        <v>101</v>
      </c>
      <c r="K138" s="16">
        <v>46217.875</v>
      </c>
      <c r="L138" s="16" t="s">
        <v>724</v>
      </c>
      <c r="M138" s="16" t="str">
        <f ca="1">+INDEX($D$101:$D$147,MATCH(E138,$AH$101:$AH$147,0))</f>
        <v>Países Bajos</v>
      </c>
      <c r="N138" s="16" t="str">
        <f ca="1">+INDEX($D$101:$D$147,MATCH(F138,$AH$101:$AH$147,0))</f>
        <v>Colombia</v>
      </c>
      <c r="O138" s="16"/>
      <c r="P138" s="16"/>
      <c r="Q138" s="16"/>
      <c r="R138" s="16"/>
      <c r="S138" s="16"/>
      <c r="T138" s="16"/>
      <c r="U138" s="16"/>
      <c r="V138" s="17"/>
      <c r="W138" s="673" t="s">
        <v>37</v>
      </c>
      <c r="X138" s="24">
        <f ca="1">Horarios!C138</f>
        <v>46217.875</v>
      </c>
      <c r="Y138" s="25">
        <f ca="1">Horarios!C138</f>
        <v>46217.875</v>
      </c>
      <c r="Z138" s="282">
        <f t="shared" ref="Z138:Z139" si="326">AH138</f>
        <v>101</v>
      </c>
      <c r="AA138" s="88" t="str">
        <f t="shared" ref="AA138:AA139" ca="1" si="327">+INDEX($M$101:$M$147,MATCH(AH138,$J$101:$J$147,0))</f>
        <v>Países Bajos</v>
      </c>
      <c r="AB138" s="89">
        <v>5</v>
      </c>
      <c r="AC138" s="101">
        <v>1</v>
      </c>
      <c r="AD138" s="101">
        <v>1</v>
      </c>
      <c r="AE138" s="89">
        <v>4</v>
      </c>
      <c r="AF138" s="116" t="str">
        <f ca="1">+INDEX($N$101:$N$147,MATCH(AH138,$J$101:$J$147,0))</f>
        <v>Colombia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6" customHeight="1" thickBot="1">
      <c r="A139" s="16" t="s">
        <v>767</v>
      </c>
      <c r="B139" s="16" t="s">
        <v>768</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Brasil</v>
      </c>
      <c r="I139" s="16"/>
      <c r="J139" s="16">
        <v>102</v>
      </c>
      <c r="K139" s="16">
        <v>46218.875</v>
      </c>
      <c r="L139" s="16" t="s">
        <v>725</v>
      </c>
      <c r="M139" s="16" t="str">
        <f ca="1">+INDEX($D$101:$D$147,MATCH(E139,$AH$101:$AH$147,0))</f>
        <v>Brasil</v>
      </c>
      <c r="N139" s="16" t="str">
        <f ca="1">+INDEX($D$101:$D$147,MATCH(F139,$AH$101:$AH$147,0))</f>
        <v>Argentina</v>
      </c>
      <c r="O139" s="16"/>
      <c r="P139" s="16"/>
      <c r="Q139" s="16"/>
      <c r="R139" s="16"/>
      <c r="S139" s="16"/>
      <c r="T139" s="16"/>
      <c r="U139" s="16"/>
      <c r="V139" s="17"/>
      <c r="W139" s="674"/>
      <c r="X139" s="123">
        <f ca="1">Horarios!C139</f>
        <v>46218.875</v>
      </c>
      <c r="Y139" s="124">
        <f ca="1">Horarios!C139</f>
        <v>46218.875</v>
      </c>
      <c r="Z139" s="284">
        <f t="shared" si="326"/>
        <v>102</v>
      </c>
      <c r="AA139" s="139" t="str">
        <f t="shared" ca="1" si="327"/>
        <v>Brasil</v>
      </c>
      <c r="AB139" s="140"/>
      <c r="AC139" s="100">
        <v>0</v>
      </c>
      <c r="AD139" s="100">
        <v>1</v>
      </c>
      <c r="AE139" s="140"/>
      <c r="AF139" s="141" t="str">
        <f ca="1">+INDEX($N$101:$N$147,MATCH(AH139,$J$101:$J$147,0))</f>
        <v>Argentina</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6" customHeight="1" thickBot="1">
      <c r="A143" s="16" t="s">
        <v>769</v>
      </c>
      <c r="B143" s="16" t="s">
        <v>770</v>
      </c>
      <c r="C143" s="16"/>
      <c r="D143" s="16" t="str">
        <f ca="1">IF(AND(OR(AC143="",AD143="")),"W"&amp;AH143,IF(AC143&gt;AD143,AA143,IF(AC143&lt;AD143,AF143,IF(AND(AC143=AD143,AB143=AE143),"W"&amp;AH143,IF(AND(AC143=AD143,OR(AB143="",AE143="")),"W"&amp;AH143,IF(AND(AC143=AD143,AB143&gt;AE143),AA143,AF143))))))</f>
        <v>Colombia</v>
      </c>
      <c r="E143" s="16">
        <v>101</v>
      </c>
      <c r="F143" s="16">
        <v>102</v>
      </c>
      <c r="G143" s="16"/>
      <c r="H143" s="16"/>
      <c r="I143" s="16"/>
      <c r="J143" s="16">
        <v>103</v>
      </c>
      <c r="K143" s="16">
        <v>46221.875</v>
      </c>
      <c r="L143" s="16" t="s">
        <v>726</v>
      </c>
      <c r="M143" s="16" t="str">
        <f ca="1">+INDEX($D$101:$D$147,MATCH(E143,$AH$101:$AH$147,0))</f>
        <v>Países Bajos</v>
      </c>
      <c r="N143" s="16" t="str">
        <f ca="1">+INDEX($D$101:$D$147,MATCH(F143,$AH$101:$AH$147,0))</f>
        <v>Argentina</v>
      </c>
      <c r="O143" s="16"/>
      <c r="P143" s="16"/>
      <c r="Q143" s="16"/>
      <c r="R143" s="16"/>
      <c r="S143" s="16"/>
      <c r="T143" s="16"/>
      <c r="U143" s="16"/>
      <c r="V143" s="17"/>
      <c r="W143" s="142" t="s">
        <v>503</v>
      </c>
      <c r="X143" s="123">
        <f ca="1">Horarios!C143</f>
        <v>46221.958333333336</v>
      </c>
      <c r="Y143" s="124">
        <f ca="1">Horarios!C143</f>
        <v>46221.958333333336</v>
      </c>
      <c r="Z143" s="285">
        <f>AH143</f>
        <v>103</v>
      </c>
      <c r="AA143" s="104" t="str">
        <f ca="1">IF(AND(OR(AC138="",AD138="")),"L101",IF(AC138&gt;AD138,AF138,IF(AC138&lt;AD138,AA138,IF(AND(AC138=AD138,AB138=AE138),"L101",IF(AND(AC138=AD138,OR(AB138="",AE138="")),"L101",IF(AND(AC138=AD138,AB138&gt;AE138),AF138,AA138))))))</f>
        <v>Colombia</v>
      </c>
      <c r="AB143" s="216"/>
      <c r="AC143" s="105">
        <v>2</v>
      </c>
      <c r="AD143" s="105">
        <v>1</v>
      </c>
      <c r="AE143" s="216"/>
      <c r="AF143" s="106" t="str">
        <f ca="1">IF(AND(OR(AC139="",AD139="")),"L102",IF(AC139&gt;AD139,AF139,IF(AC139&lt;AD139,AA139,IF(AND(AC139=AD139,AB139=AE139),"L102",IF(AND(AC139=AD139,OR(AB139="",AE139="")),"L102",IF(AND(AC139=AD139,AB139&gt;AE139),AF139,AA139))))))</f>
        <v>Brasil</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6" customHeight="1" thickBot="1">
      <c r="A147" s="16" t="s">
        <v>771</v>
      </c>
      <c r="B147" s="16" t="s">
        <v>772</v>
      </c>
      <c r="C147" s="16"/>
      <c r="D147" s="16" t="str">
        <f ca="1">IF(AND(OR(AC147="",AD147="")),"W"&amp;AH147,IF(AC147&gt;AD147,AA147,IF(AC147&lt;AD147,AF147,IF(AND(AC147=AD147,AB147=AE147),"W"&amp;AH147,IF(AND(AC147=AD147,OR(AB147="",AE147="")),"W"&amp;AH147,IF(AND(AC147=AD147,AB147&gt;AE147),AA147,AF147))))))</f>
        <v>Argentina</v>
      </c>
      <c r="E147" s="16">
        <v>101</v>
      </c>
      <c r="F147" s="16">
        <v>102</v>
      </c>
      <c r="G147" s="16"/>
      <c r="H147" s="16" t="str">
        <f ca="1">IF(AND(OR(AC147="",AD147="")),"LF",IF(AC147&gt;AD147,AF147,IF(AC147&lt;AD147,AA147,IF(AND(AC147=AD147,AB147=AE147),"LF",IF(AND(AC147=AD147,OR(AB147="",AE147="")),"LF",IF(AND(AC147=AD147,AB147&gt;AE147),AF147,AA147))))))</f>
        <v>Países Bajos</v>
      </c>
      <c r="I147" s="16"/>
      <c r="J147" s="16">
        <v>104</v>
      </c>
      <c r="K147" s="16">
        <v>46222.875</v>
      </c>
      <c r="L147" s="16" t="s">
        <v>727</v>
      </c>
      <c r="M147" s="16" t="str">
        <f ca="1">+INDEX($D$101:$D$147,MATCH(E147,$AH$101:$AH$147,0))</f>
        <v>Países Bajos</v>
      </c>
      <c r="N147" s="16" t="str">
        <f ca="1">+INDEX($D$101:$D$147,MATCH(F147,$AH$101:$AH$147,0))</f>
        <v>Argentina</v>
      </c>
      <c r="O147" s="16"/>
      <c r="P147" s="16"/>
      <c r="Q147" s="16"/>
      <c r="R147" s="16"/>
      <c r="S147" s="16"/>
      <c r="T147" s="16"/>
      <c r="U147" s="16"/>
      <c r="V147" s="17"/>
      <c r="W147" s="143" t="s">
        <v>4</v>
      </c>
      <c r="X147" s="123">
        <f ca="1">Horarios!C147</f>
        <v>46222.875</v>
      </c>
      <c r="Y147" s="124">
        <f ca="1">Horarios!C147</f>
        <v>46222.875</v>
      </c>
      <c r="Z147" s="285">
        <f>AH147</f>
        <v>104</v>
      </c>
      <c r="AA147" s="104" t="str">
        <f ca="1">IF(AND(OR(AC138="",AD138="")),"W"&amp;AH138,IF(AC138&gt;AD138,AA138,IF(AC138&lt;AD138,AF138,IF(AND(AC138=AD138,AB138=AE138),"W"&amp;AH138,IF(AND(AC138=AD138,OR(AB138="",AE138="")),"W"&amp;AH138,IF(AND(AC138=AD138,AB138&gt;AE138),AA138,AF138))))))</f>
        <v>Países Bajos</v>
      </c>
      <c r="AB147" s="216"/>
      <c r="AC147" s="105">
        <v>0</v>
      </c>
      <c r="AD147" s="105">
        <v>1</v>
      </c>
      <c r="AE147" s="216"/>
      <c r="AF147" s="106" t="str">
        <f ca="1">IF(AND(OR(AC139="",AD139="")),"W"&amp;AH139,IF(AC139&gt;AD139,AA139,IF(AC139&lt;AD139,AF139,IF(AND(AC139=AD139,AB139=AE139),"W"&amp;AH139,IF(AND(AC139=AD139,OR(AB139="",AE139="")),"W"&amp;AH139,IF(AND(AC139=AD139,AB139&gt;AE139),AA139,AF139))))))</f>
        <v>Argentina</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Argentina</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Países Bajos</v>
      </c>
      <c r="AB151" s="111"/>
      <c r="AC151" s="111"/>
      <c r="AD151" s="111"/>
      <c r="AE151" s="111"/>
      <c r="AF151" s="107"/>
      <c r="AG151" s="327">
        <f ca="1">IF(AA151="LF",0,1)</f>
        <v>1</v>
      </c>
      <c r="AH151" s="184"/>
      <c r="AI151" s="184"/>
      <c r="AJ151" s="635" t="str">
        <f ca="1">IF(SUM(COUNTIF(AG4:AG97,0),COUNTIF(AG101:AG160,0)&gt;0),AL148,AL149)</f>
        <v>PORRA COMPLETA:</v>
      </c>
      <c r="AK151" s="636"/>
      <c r="AL151" s="636"/>
      <c r="AM151" s="636"/>
      <c r="AN151" s="636"/>
      <c r="AO151" s="636"/>
      <c r="AP151" s="636"/>
      <c r="AQ151" s="636"/>
      <c r="AR151" s="636"/>
      <c r="AS151" s="636"/>
      <c r="AT151" s="636"/>
      <c r="AU151" s="637"/>
      <c r="AV151" s="193"/>
      <c r="AW151" s="155"/>
      <c r="AX151" s="154"/>
      <c r="AY151" s="156"/>
      <c r="AZ151" s="157"/>
      <c r="BA151" s="176"/>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Colombia</v>
      </c>
      <c r="AB152" s="110"/>
      <c r="AC152" s="110"/>
      <c r="AD152" s="110"/>
      <c r="AE152" s="110"/>
      <c r="AF152" s="103"/>
      <c r="AG152" s="327">
        <f ca="1">IF(AA152="W34",0,1)</f>
        <v>1</v>
      </c>
      <c r="AH152" s="184"/>
      <c r="AI152" s="184"/>
      <c r="AJ152" s="638"/>
      <c r="AK152" s="639"/>
      <c r="AL152" s="639"/>
      <c r="AM152" s="639"/>
      <c r="AN152" s="639"/>
      <c r="AO152" s="639"/>
      <c r="AP152" s="639"/>
      <c r="AQ152" s="639"/>
      <c r="AR152" s="639"/>
      <c r="AS152" s="639"/>
      <c r="AT152" s="639"/>
      <c r="AU152" s="640"/>
      <c r="AV152" s="193"/>
      <c r="AW152" s="155"/>
      <c r="AX152" s="154"/>
      <c r="AY152" s="156"/>
      <c r="AZ152" s="157"/>
      <c r="BA152" s="176"/>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38"/>
      <c r="AK153" s="639"/>
      <c r="AL153" s="639"/>
      <c r="AM153" s="639"/>
      <c r="AN153" s="639"/>
      <c r="AO153" s="639"/>
      <c r="AP153" s="639"/>
      <c r="AQ153" s="639"/>
      <c r="AR153" s="639"/>
      <c r="AS153" s="639"/>
      <c r="AT153" s="639"/>
      <c r="AU153" s="640"/>
      <c r="AV153" s="193"/>
      <c r="AW153" s="155"/>
      <c r="AX153" s="154"/>
      <c r="AY153" s="156"/>
      <c r="AZ153" s="157"/>
      <c r="BA153" s="176"/>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
        <v>1518</v>
      </c>
      <c r="AB154" s="398"/>
      <c r="AC154" s="398"/>
      <c r="AD154" s="398"/>
      <c r="AE154" s="398"/>
      <c r="AF154" s="399"/>
      <c r="AG154" s="327">
        <f>IF(AA154=$AH$154,0,IF(AA154="",0,1))</f>
        <v>1</v>
      </c>
      <c r="AH154" s="198" t="str">
        <f>Idiomas!D43</f>
        <v>Escribe un jugador</v>
      </c>
      <c r="AI154" s="184"/>
      <c r="AJ154" s="638"/>
      <c r="AK154" s="639"/>
      <c r="AL154" s="639"/>
      <c r="AM154" s="639"/>
      <c r="AN154" s="639"/>
      <c r="AO154" s="639"/>
      <c r="AP154" s="639"/>
      <c r="AQ154" s="639"/>
      <c r="AR154" s="639"/>
      <c r="AS154" s="639"/>
      <c r="AT154" s="639"/>
      <c r="AU154" s="640"/>
      <c r="AV154" s="193"/>
      <c r="AW154" s="155"/>
      <c r="AX154" s="154"/>
      <c r="AY154" s="156"/>
      <c r="AZ154" s="157"/>
      <c r="BA154" s="176"/>
    </row>
    <row r="155" spans="1:53" ht="16"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
        <v>1519</v>
      </c>
      <c r="AB155" s="400"/>
      <c r="AC155" s="400"/>
      <c r="AD155" s="400"/>
      <c r="AE155" s="400"/>
      <c r="AF155" s="401"/>
      <c r="AG155" s="327">
        <f>IF(AA155=$AH$154,0,IF(AA155="",0,1))</f>
        <v>1</v>
      </c>
      <c r="AH155" s="184"/>
      <c r="AI155" s="184"/>
      <c r="AJ155" s="649" t="str">
        <f ca="1">IF(SUM(COUNTIF(AG4:AG97,0),COUNTIF(AG101:AG160,0)&gt;0),AM148,AM149)</f>
        <v>Guarda el archivo y envialo al administrador de tu porra</v>
      </c>
      <c r="AK155" s="650"/>
      <c r="AL155" s="650"/>
      <c r="AM155" s="650"/>
      <c r="AN155" s="650"/>
      <c r="AO155" s="650"/>
      <c r="AP155" s="650"/>
      <c r="AQ155" s="650"/>
      <c r="AR155" s="650"/>
      <c r="AS155" s="650"/>
      <c r="AT155" s="650"/>
      <c r="AU155" s="651"/>
      <c r="AV155" s="193"/>
      <c r="AW155" s="155"/>
      <c r="AX155" s="154"/>
      <c r="AY155" s="156"/>
      <c r="AZ155" s="157"/>
      <c r="BA155" s="176"/>
    </row>
    <row r="156" spans="1:53" ht="16"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
        <v>1516</v>
      </c>
      <c r="AB156" s="402"/>
      <c r="AC156" s="402"/>
      <c r="AD156" s="402"/>
      <c r="AE156" s="402"/>
      <c r="AF156" s="403"/>
      <c r="AG156" s="327">
        <f>IF(AA156=$AH$154,0,IF(AA156="",0,1))</f>
        <v>1</v>
      </c>
      <c r="AH156" s="184"/>
      <c r="AI156" s="184"/>
      <c r="AJ156" s="649"/>
      <c r="AK156" s="650"/>
      <c r="AL156" s="650"/>
      <c r="AM156" s="650"/>
      <c r="AN156" s="650"/>
      <c r="AO156" s="650"/>
      <c r="AP156" s="650"/>
      <c r="AQ156" s="650"/>
      <c r="AR156" s="650"/>
      <c r="AS156" s="650"/>
      <c r="AT156" s="650"/>
      <c r="AU156" s="651"/>
      <c r="AV156" s="193"/>
      <c r="AW156" s="155"/>
      <c r="AX156" s="154"/>
      <c r="AY156" s="156"/>
      <c r="AZ156" s="157"/>
      <c r="BA156" s="176"/>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52"/>
      <c r="AK157" s="653"/>
      <c r="AL157" s="653"/>
      <c r="AM157" s="653"/>
      <c r="AN157" s="653"/>
      <c r="AO157" s="653"/>
      <c r="AP157" s="653"/>
      <c r="AQ157" s="653"/>
      <c r="AR157" s="653"/>
      <c r="AS157" s="653"/>
      <c r="AT157" s="653"/>
      <c r="AU157" s="654"/>
      <c r="AV157" s="193"/>
      <c r="AW157" s="155"/>
      <c r="AX157" s="154"/>
      <c r="AY157" s="156"/>
      <c r="AZ157" s="157"/>
      <c r="BA157" s="176"/>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
        <v>1520</v>
      </c>
      <c r="AB158" s="398"/>
      <c r="AC158" s="398"/>
      <c r="AD158" s="398"/>
      <c r="AE158" s="398"/>
      <c r="AF158" s="399"/>
      <c r="AG158" s="327">
        <f>IF(AA158=$AH$154,0,IF(AA158="",0,1))</f>
        <v>1</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
        <v>1521</v>
      </c>
      <c r="AB159" s="400"/>
      <c r="AC159" s="400"/>
      <c r="AD159" s="400"/>
      <c r="AE159" s="400"/>
      <c r="AF159" s="401"/>
      <c r="AG159" s="327">
        <f>IF(AA159=$AH$154,0,IF(AA159="",0,1))</f>
        <v>1</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6"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
        <v>1522</v>
      </c>
      <c r="AB160" s="402"/>
      <c r="AC160" s="402"/>
      <c r="AD160" s="402"/>
      <c r="AE160" s="402"/>
      <c r="AF160" s="403"/>
      <c r="AG160" s="327">
        <f>IF(AA160=$AH$154,0,IF(AA160="",0,1))</f>
        <v>1</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149999999999999" customHeight="1" thickBo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8" customHeight="1" thickBo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1312</v>
      </c>
      <c r="AG162" s="152"/>
      <c r="AH162" s="184"/>
      <c r="AI162" s="184"/>
      <c r="AJ162" s="145"/>
      <c r="AK162" s="145"/>
      <c r="AL162" s="225" t="s">
        <v>1331</v>
      </c>
      <c r="AM162" s="223"/>
      <c r="AN162" s="224"/>
      <c r="AO162" s="647" t="str">
        <f>+Idiomas!D12</f>
        <v>Donar</v>
      </c>
      <c r="AP162" s="648"/>
      <c r="AQ162" s="145"/>
      <c r="AR162" s="145"/>
      <c r="AS162" s="145"/>
      <c r="AT162" s="145"/>
      <c r="AU162" s="332"/>
      <c r="AV162" s="193"/>
      <c r="AW162" s="155"/>
      <c r="AX162" s="154"/>
      <c r="AY162" s="156"/>
      <c r="AZ162" s="157"/>
      <c r="BA162" s="176"/>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tabSelected="1" topLeftCell="A245" zoomScaleNormal="100" workbookViewId="0">
      <selection activeCell="C5" sqref="C5:C258"/>
    </sheetView>
  </sheetViews>
  <sheetFormatPr defaultColWidth="0" defaultRowHeight="14.5"/>
  <cols>
    <col min="1" max="1" width="10.81640625" style="13" customWidth="1"/>
    <col min="2" max="2" width="29.453125" customWidth="1"/>
    <col min="3" max="3" width="35" customWidth="1"/>
    <col min="4" max="4" width="12.7265625" style="369" customWidth="1"/>
    <col min="5" max="8" width="10.81640625" style="369" customWidth="1"/>
    <col min="9" max="9" width="3.1796875" style="369" customWidth="1"/>
    <col min="10" max="12" width="10.81640625" style="369" customWidth="1"/>
    <col min="13" max="13" width="3.7265625" style="369" customWidth="1"/>
    <col min="14" max="14" width="4.7265625" style="369" customWidth="1"/>
    <col min="15" max="15" width="4" customWidth="1"/>
    <col min="16" max="16" width="4.81640625" customWidth="1"/>
    <col min="17" max="16384" width="10.81640625" style="1" hidden="1"/>
  </cols>
  <sheetData>
    <row r="1" spans="1:14" ht="20.149999999999999" customHeight="1">
      <c r="A1" s="292"/>
      <c r="B1" s="293"/>
      <c r="C1" s="322" t="str">
        <f>Idiomas!D102</f>
        <v>Para el administrador de la porra</v>
      </c>
      <c r="D1" s="367"/>
      <c r="E1" s="698" t="str">
        <f>Idiomas!D106</f>
        <v>EL ADMINISTRADOR DE LA PORRA SEGUIRÁ LAS INSTRUCCIONES DE AQUÍ ABAJO</v>
      </c>
      <c r="F1" s="698"/>
      <c r="G1" s="698"/>
      <c r="H1" s="698"/>
      <c r="I1" s="698"/>
      <c r="J1" s="698"/>
      <c r="K1" s="698"/>
      <c r="L1" s="698"/>
      <c r="M1" s="698"/>
      <c r="N1" s="698"/>
    </row>
    <row r="2" spans="1:14" ht="20.149999999999999" customHeight="1" thickBot="1">
      <c r="A2" s="290"/>
      <c r="B2" s="291"/>
      <c r="C2" s="291"/>
      <c r="D2" s="368"/>
      <c r="E2" s="698"/>
      <c r="F2" s="698"/>
      <c r="G2" s="698"/>
      <c r="H2" s="698"/>
      <c r="I2" s="698"/>
      <c r="J2" s="698"/>
      <c r="K2" s="698"/>
      <c r="L2" s="698"/>
      <c r="M2" s="698"/>
      <c r="N2" s="698"/>
    </row>
    <row r="3" spans="1:14" ht="35.15" customHeight="1" thickBot="1">
      <c r="A3" s="290"/>
      <c r="B3" s="294" t="str">
        <f>HYPERLINK(Idiomas!D10,Idiomas!D9)</f>
        <v>▼ Descargar Excel Administrador Porra ▼</v>
      </c>
      <c r="C3" s="291"/>
      <c r="D3" s="368"/>
      <c r="E3" s="701" t="str">
        <f>Idiomas!D107</f>
        <v>·Si haceis todo el Mundial de golpe, copiar de la C5 a la C258 y pegar valores en la plantilla de Administrador.</v>
      </c>
      <c r="F3" s="701"/>
      <c r="G3" s="701"/>
      <c r="H3" s="701"/>
      <c r="I3" s="701"/>
      <c r="J3" s="701"/>
      <c r="K3" s="701"/>
      <c r="L3" s="701"/>
      <c r="M3" s="701"/>
      <c r="N3" s="702"/>
    </row>
    <row r="4" spans="1:14" ht="45" customHeight="1">
      <c r="A4" s="290"/>
      <c r="B4" s="291"/>
      <c r="C4" s="580" t="str">
        <f>Idiomas!D105</f>
        <v>¡No tocar nada, se rellena solo!</v>
      </c>
      <c r="D4" s="368"/>
      <c r="E4" s="700"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0"/>
      <c r="G4" s="700"/>
      <c r="H4" s="700"/>
      <c r="I4" s="700"/>
      <c r="J4" s="700"/>
      <c r="K4" s="700"/>
      <c r="L4" s="700"/>
      <c r="M4" s="700"/>
      <c r="N4" s="377"/>
    </row>
    <row r="5" spans="1:14" ht="19" customHeight="1">
      <c r="A5" s="353"/>
      <c r="B5" s="354" t="str">
        <f>Idiomas!D125</f>
        <v>FASE DE GRUPOS</v>
      </c>
      <c r="C5" s="346" t="str">
        <f>Home!C10</f>
        <v>Tincho</v>
      </c>
      <c r="E5" s="689" t="str">
        <f>Idiomas!D109</f>
        <v>·Si haceis jornada a jornada seguir las instrucciones de cada jornada</v>
      </c>
      <c r="F5" s="689"/>
      <c r="G5" s="689"/>
      <c r="H5" s="689"/>
      <c r="I5" s="689"/>
      <c r="J5" s="378"/>
      <c r="K5" s="378"/>
      <c r="L5" s="378"/>
      <c r="M5" s="379"/>
      <c r="N5" s="377"/>
    </row>
    <row r="6" spans="1:14" ht="15" customHeight="1">
      <c r="A6" s="355" t="s">
        <v>114</v>
      </c>
      <c r="B6" s="356" t="str">
        <f ca="1">CONCATENATE(WORLDCUP!AA4,"-",WORLDCUP!AF4)</f>
        <v>México-Sudáfrica</v>
      </c>
      <c r="C6" s="347" t="str">
        <f>CONCATENATE(IF(WORLDCUP!AC4&gt;WORLDCUP!AD4,1,IF(WORLDCUP!AC4&lt;WORLDCUP!AD4,2,IF(AND(WORLDCUP!AC4=WORLDCUP!AD4,WORLDCUP!AC4&lt;&gt;"",WORLDCUP!AD4&lt;&gt;""),"X",0))),"|",WORLDCUP!AC4,"-",WORLDCUP!AD4)</f>
        <v>X|1-1</v>
      </c>
      <c r="D6" s="693" t="str">
        <f>Idiomas!D122</f>
        <v>J1</v>
      </c>
      <c r="E6" s="699" t="str">
        <f>Idiomas!D110</f>
        <v>·Para la primera jornada copiar de la C5 a la C29 y pega valores en la plantilla de administrador. ¡OJO! COPIAR TAMBIÉN de la C253 a la C258.</v>
      </c>
      <c r="F6" s="699"/>
      <c r="G6" s="699"/>
      <c r="H6" s="699"/>
      <c r="I6" s="380"/>
      <c r="J6" s="370"/>
      <c r="K6" s="370"/>
      <c r="L6" s="370"/>
      <c r="M6" s="379"/>
      <c r="N6" s="377"/>
    </row>
    <row r="7" spans="1:14" ht="15" customHeight="1">
      <c r="A7" s="355" t="s">
        <v>114</v>
      </c>
      <c r="B7" s="356" t="str">
        <f ca="1">CONCATENATE(WORLDCUP!AA5,"-",WORLDCUP!AF5)</f>
        <v>Corea del Sur-República Checa</v>
      </c>
      <c r="C7" s="348" t="str">
        <f>CONCATENATE(IF(WORLDCUP!AC5&gt;WORLDCUP!AD5,1,IF(WORLDCUP!AC5&lt;WORLDCUP!AD5,2,IF(AND(WORLDCUP!AC5=WORLDCUP!AD5,WORLDCUP!AC5&lt;&gt;"",WORLDCUP!AD5&lt;&gt;""),"X",0))),"|",WORLDCUP!AC5,"-",WORLDCUP!AD5)</f>
        <v>1|2-1</v>
      </c>
      <c r="D7" s="693"/>
      <c r="E7" s="685"/>
      <c r="F7" s="685"/>
      <c r="G7" s="685"/>
      <c r="H7" s="685"/>
      <c r="I7" s="381"/>
      <c r="J7" s="370"/>
      <c r="K7" s="370"/>
      <c r="L7" s="370"/>
      <c r="M7" s="379"/>
      <c r="N7" s="377"/>
    </row>
    <row r="8" spans="1:14" ht="15" customHeight="1">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1|2-1</v>
      </c>
      <c r="D8" s="693"/>
      <c r="E8" s="685"/>
      <c r="F8" s="685"/>
      <c r="G8" s="685"/>
      <c r="H8" s="685"/>
      <c r="I8" s="381"/>
      <c r="J8" s="370"/>
      <c r="K8" s="370"/>
      <c r="L8" s="370"/>
      <c r="M8" s="379"/>
      <c r="N8" s="377"/>
    </row>
    <row r="9" spans="1:14" ht="15" customHeight="1">
      <c r="A9" s="38" t="s">
        <v>115</v>
      </c>
      <c r="B9" s="357" t="str">
        <f ca="1">CONCATENATE(WORLDCUP!AA13,"-",WORLDCUP!AF13)</f>
        <v>Catar-Suiza</v>
      </c>
      <c r="C9" s="349" t="str">
        <f>CONCATENATE(IF(WORLDCUP!AC13&gt;WORLDCUP!AD13,1,IF(WORLDCUP!AC13&lt;WORLDCUP!AD13,2,IF(AND(WORLDCUP!AC13=WORLDCUP!AD13,WORLDCUP!AC13&lt;&gt;"",WORLDCUP!AD13&lt;&gt;""),"X",0))),"|",WORLDCUP!AC13,"-",WORLDCUP!AD13)</f>
        <v>2|0-2</v>
      </c>
      <c r="D9" s="693"/>
      <c r="E9" s="685"/>
      <c r="F9" s="685"/>
      <c r="G9" s="685"/>
      <c r="H9" s="685"/>
      <c r="I9" s="381"/>
      <c r="J9" s="370"/>
      <c r="K9" s="370"/>
      <c r="L9" s="370"/>
      <c r="M9" s="379"/>
      <c r="N9" s="377"/>
    </row>
    <row r="10" spans="1:14" ht="15" customHeight="1">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X|2-2</v>
      </c>
      <c r="D10" s="693"/>
      <c r="E10" s="370"/>
      <c r="F10" s="370"/>
      <c r="G10" s="370"/>
      <c r="H10" s="370"/>
      <c r="I10" s="381"/>
      <c r="J10" s="370"/>
      <c r="K10" s="370"/>
      <c r="L10" s="370"/>
      <c r="M10" s="379"/>
      <c r="N10" s="377"/>
    </row>
    <row r="11" spans="1:14" ht="15" customHeight="1">
      <c r="A11" s="355" t="s">
        <v>116</v>
      </c>
      <c r="B11" s="356" t="str">
        <f ca="1">CONCATENATE(WORLDCUP!AA21,"-",WORLDCUP!AF21)</f>
        <v>Haití-Escocia</v>
      </c>
      <c r="C11" s="349" t="str">
        <f>CONCATENATE(IF(WORLDCUP!AC21&gt;WORLDCUP!AD21,1,IF(WORLDCUP!AC21&lt;WORLDCUP!AD21,2,IF(AND(WORLDCUP!AC21=WORLDCUP!AD21,WORLDCUP!AC21&lt;&gt;"",WORLDCUP!AD21&lt;&gt;""),"X",0))),"|",WORLDCUP!AC21,"-",WORLDCUP!AD21)</f>
        <v>2|0-2</v>
      </c>
      <c r="D11" s="693"/>
      <c r="E11" s="370"/>
      <c r="F11" s="370"/>
      <c r="G11" s="370"/>
      <c r="H11" s="370"/>
      <c r="I11" s="381"/>
      <c r="J11" s="370"/>
      <c r="K11" s="370"/>
      <c r="L11" s="370"/>
      <c r="M11" s="379"/>
      <c r="N11" s="377"/>
    </row>
    <row r="12" spans="1:14" ht="15" customHeight="1">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X|2-2</v>
      </c>
      <c r="D12" s="693"/>
      <c r="E12" s="370"/>
      <c r="F12" s="370"/>
      <c r="G12" s="370"/>
      <c r="H12" s="370"/>
      <c r="I12" s="381"/>
      <c r="J12" s="370"/>
      <c r="K12" s="370"/>
      <c r="L12" s="370"/>
      <c r="M12" s="379"/>
      <c r="N12" s="377"/>
    </row>
    <row r="13" spans="1:14" ht="15" customHeight="1">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2|1-2</v>
      </c>
      <c r="D13" s="693"/>
      <c r="E13" s="370"/>
      <c r="F13" s="370"/>
      <c r="G13" s="370"/>
      <c r="H13" s="370"/>
      <c r="I13" s="381"/>
      <c r="J13" s="370"/>
      <c r="K13" s="370"/>
      <c r="L13" s="370"/>
      <c r="M13" s="379"/>
      <c r="N13" s="377"/>
    </row>
    <row r="14" spans="1:14" ht="15" customHeight="1">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1|4-0</v>
      </c>
      <c r="D14" s="693"/>
      <c r="E14" s="370"/>
      <c r="F14" s="370"/>
      <c r="G14" s="370"/>
      <c r="H14" s="370"/>
      <c r="I14" s="381"/>
      <c r="J14" s="370"/>
      <c r="K14" s="370"/>
      <c r="L14" s="370"/>
      <c r="M14" s="379"/>
      <c r="N14" s="377"/>
    </row>
    <row r="15" spans="1:14" ht="15" customHeight="1">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X|2-2</v>
      </c>
      <c r="D15" s="693"/>
      <c r="E15" s="370"/>
      <c r="F15" s="370"/>
      <c r="G15" s="370"/>
      <c r="H15" s="370"/>
      <c r="I15" s="381"/>
      <c r="J15" s="370"/>
      <c r="K15" s="370"/>
      <c r="L15" s="370"/>
      <c r="M15" s="379"/>
      <c r="N15" s="377"/>
    </row>
    <row r="16" spans="1:14" ht="15" customHeight="1">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1|3-2</v>
      </c>
      <c r="D16" s="693"/>
      <c r="E16" s="370"/>
      <c r="F16" s="370"/>
      <c r="G16" s="370"/>
      <c r="H16" s="370"/>
      <c r="I16" s="381"/>
      <c r="J16" s="370"/>
      <c r="K16" s="370"/>
      <c r="L16" s="370"/>
      <c r="M16" s="379"/>
      <c r="N16" s="377"/>
    </row>
    <row r="17" spans="1:14" ht="15" customHeight="1">
      <c r="A17" s="38" t="s">
        <v>119</v>
      </c>
      <c r="B17" s="357" t="str">
        <f ca="1">CONCATENATE(WORLDCUP!AA45,"-",WORLDCUP!AF45)</f>
        <v>Suecia-Túnez</v>
      </c>
      <c r="C17" s="349" t="str">
        <f>CONCATENATE(IF(WORLDCUP!AC45&gt;WORLDCUP!AD45,1,IF(WORLDCUP!AC45&lt;WORLDCUP!AD45,2,IF(AND(WORLDCUP!AC45=WORLDCUP!AD45,WORLDCUP!AC45&lt;&gt;"",WORLDCUP!AD45&lt;&gt;""),"X",0))),"|",WORLDCUP!AC45,"-",WORLDCUP!AD45)</f>
        <v>1|1-0</v>
      </c>
      <c r="D17" s="693"/>
      <c r="E17" s="370"/>
      <c r="F17" s="370"/>
      <c r="G17" s="370"/>
      <c r="H17" s="370"/>
      <c r="I17" s="381"/>
      <c r="J17" s="370"/>
      <c r="K17" s="370"/>
      <c r="L17" s="370"/>
      <c r="M17" s="379"/>
      <c r="N17" s="377"/>
    </row>
    <row r="18" spans="1:14" ht="15" customHeight="1">
      <c r="A18" s="355" t="s">
        <v>520</v>
      </c>
      <c r="B18" s="356" t="str">
        <f ca="1">CONCATENATE(WORLDCUP!AA52,"-",WORLDCUP!AF52)</f>
        <v>Bélgica-Egipto</v>
      </c>
      <c r="C18" s="349" t="str">
        <f>CONCATENATE(IF(WORLDCUP!AC52&gt;WORLDCUP!AD52,1,IF(WORLDCUP!AC52&lt;WORLDCUP!AD52,2,IF(AND(WORLDCUP!AC52=WORLDCUP!AD52,WORLDCUP!AC52&lt;&gt;"",WORLDCUP!AD52&lt;&gt;""),"X",0))),"|",WORLDCUP!AC52,"-",WORLDCUP!AD52)</f>
        <v>1|2-0</v>
      </c>
      <c r="D18" s="693"/>
      <c r="E18" s="370"/>
      <c r="F18" s="370"/>
      <c r="G18" s="370"/>
      <c r="H18" s="370"/>
      <c r="I18" s="381"/>
      <c r="J18" s="370"/>
      <c r="K18" s="370"/>
      <c r="L18" s="370"/>
      <c r="M18" s="379"/>
      <c r="N18" s="377"/>
    </row>
    <row r="19" spans="1:14" ht="15" customHeight="1">
      <c r="A19" s="355" t="s">
        <v>520</v>
      </c>
      <c r="B19" s="356" t="str">
        <f ca="1">CONCATENATE(WORLDCUP!AA53,"-",WORLDCUP!AF53)</f>
        <v>Irán-Nueva Zelanda</v>
      </c>
      <c r="C19" s="349" t="str">
        <f>CONCATENATE(IF(WORLDCUP!AC53&gt;WORLDCUP!AD53,1,IF(WORLDCUP!AC53&lt;WORLDCUP!AD53,2,IF(AND(WORLDCUP!AC53=WORLDCUP!AD53,WORLDCUP!AC53&lt;&gt;"",WORLDCUP!AD53&lt;&gt;""),"X",0))),"|",WORLDCUP!AC53,"-",WORLDCUP!AD53)</f>
        <v>1|1-0</v>
      </c>
      <c r="D19" s="693"/>
      <c r="E19" s="370"/>
      <c r="F19" s="370"/>
      <c r="G19" s="370"/>
      <c r="H19" s="370"/>
      <c r="I19" s="381"/>
      <c r="J19" s="370"/>
      <c r="K19" s="370"/>
      <c r="L19" s="370"/>
      <c r="M19" s="379"/>
      <c r="N19" s="377"/>
    </row>
    <row r="20" spans="1:14" ht="15" customHeight="1">
      <c r="A20" s="38" t="s">
        <v>522</v>
      </c>
      <c r="B20" s="357" t="str">
        <f ca="1">CONCATENATE(WORLDCUP!AA60,"-",WORLDCUP!AF60)</f>
        <v>España-Cabo Verde</v>
      </c>
      <c r="C20" s="349" t="str">
        <f>CONCATENATE(IF(WORLDCUP!AC60&gt;WORLDCUP!AD60,1,IF(WORLDCUP!AC60&lt;WORLDCUP!AD60,2,IF(AND(WORLDCUP!AC60=WORLDCUP!AD60,WORLDCUP!AC60&lt;&gt;"",WORLDCUP!AD60&lt;&gt;""),"X",0))),"|",WORLDCUP!AC60,"-",WORLDCUP!AD60)</f>
        <v>1|3-1</v>
      </c>
      <c r="D20" s="693"/>
      <c r="E20" s="370"/>
      <c r="F20" s="370"/>
      <c r="G20" s="370"/>
      <c r="H20" s="370"/>
      <c r="I20" s="381"/>
      <c r="J20" s="370"/>
      <c r="K20" s="370"/>
      <c r="L20" s="370"/>
      <c r="M20" s="379"/>
      <c r="N20" s="377"/>
    </row>
    <row r="21" spans="1:14" ht="15" customHeight="1">
      <c r="A21" s="38" t="s">
        <v>522</v>
      </c>
      <c r="B21" s="357" t="str">
        <f ca="1">CONCATENATE(WORLDCUP!AA61,"-",WORLDCUP!AF61)</f>
        <v>Arabia Saudita-Uruguay</v>
      </c>
      <c r="C21" s="349" t="str">
        <f>CONCATENATE(IF(WORLDCUP!AC61&gt;WORLDCUP!AD61,1,IF(WORLDCUP!AC61&lt;WORLDCUP!AD61,2,IF(AND(WORLDCUP!AC61=WORLDCUP!AD61,WORLDCUP!AC61&lt;&gt;"",WORLDCUP!AD61&lt;&gt;""),"X",0))),"|",WORLDCUP!AC61,"-",WORLDCUP!AD61)</f>
        <v>X|1-1</v>
      </c>
      <c r="D21" s="693"/>
      <c r="E21" s="370"/>
      <c r="F21" s="370"/>
      <c r="G21" s="370"/>
      <c r="H21" s="370"/>
      <c r="I21" s="381"/>
      <c r="J21" s="370"/>
      <c r="K21" s="370"/>
      <c r="L21" s="370"/>
      <c r="M21" s="379"/>
      <c r="N21" s="377"/>
    </row>
    <row r="22" spans="1:14" ht="15" customHeight="1">
      <c r="A22" s="355" t="s">
        <v>181</v>
      </c>
      <c r="B22" s="356" t="str">
        <f ca="1">CONCATENATE(WORLDCUP!AA68,"-",WORLDCUP!AF68)</f>
        <v>Francia-Senegal</v>
      </c>
      <c r="C22" s="349" t="str">
        <f>CONCATENATE(IF(WORLDCUP!AC68&gt;WORLDCUP!AD68,1,IF(WORLDCUP!AC68&lt;WORLDCUP!AD68,2,IF(AND(WORLDCUP!AC68=WORLDCUP!AD68,WORLDCUP!AC68&lt;&gt;"",WORLDCUP!AD68&lt;&gt;""),"X",0))),"|",WORLDCUP!AC68,"-",WORLDCUP!AD68)</f>
        <v>1|2-1</v>
      </c>
      <c r="D22" s="693"/>
      <c r="E22" s="370"/>
      <c r="F22" s="370"/>
      <c r="G22" s="370"/>
      <c r="H22" s="370"/>
      <c r="I22" s="381"/>
      <c r="J22" s="370"/>
      <c r="K22" s="370"/>
      <c r="L22" s="370"/>
      <c r="M22" s="379"/>
      <c r="N22" s="377"/>
    </row>
    <row r="23" spans="1:14" ht="15" customHeight="1">
      <c r="A23" s="355" t="s">
        <v>181</v>
      </c>
      <c r="B23" s="356" t="str">
        <f ca="1">CONCATENATE(WORLDCUP!AA69,"-",WORLDCUP!AF69)</f>
        <v>Irak-Noruega</v>
      </c>
      <c r="C23" s="349" t="str">
        <f>CONCATENATE(IF(WORLDCUP!AC69&gt;WORLDCUP!AD69,1,IF(WORLDCUP!AC69&lt;WORLDCUP!AD69,2,IF(AND(WORLDCUP!AC69=WORLDCUP!AD69,WORLDCUP!AC69&lt;&gt;"",WORLDCUP!AD69&lt;&gt;""),"X",0))),"|",WORLDCUP!AC69,"-",WORLDCUP!AD69)</f>
        <v>2|1-2</v>
      </c>
      <c r="D23" s="693"/>
      <c r="E23" s="370"/>
      <c r="F23" s="370"/>
      <c r="G23" s="370"/>
      <c r="H23" s="370"/>
      <c r="I23" s="381"/>
      <c r="J23" s="370"/>
      <c r="K23" s="370"/>
      <c r="L23" s="370"/>
      <c r="M23" s="379"/>
      <c r="N23" s="377"/>
    </row>
    <row r="24" spans="1:14" ht="15" customHeight="1">
      <c r="A24" s="38" t="s">
        <v>28</v>
      </c>
      <c r="B24" s="357" t="str">
        <f ca="1">CONCATENATE(WORLDCUP!AA76,"-",WORLDCUP!AF76)</f>
        <v>Argentina-Argelia</v>
      </c>
      <c r="C24" s="349" t="str">
        <f>CONCATENATE(IF(WORLDCUP!AC76&gt;WORLDCUP!AD76,1,IF(WORLDCUP!AC76&lt;WORLDCUP!AD76,2,IF(AND(WORLDCUP!AC76=WORLDCUP!AD76,WORLDCUP!AC76&lt;&gt;"",WORLDCUP!AD76&lt;&gt;""),"X",0))),"|",WORLDCUP!AC76,"-",WORLDCUP!AD76)</f>
        <v>1|3-1</v>
      </c>
      <c r="D24" s="693"/>
      <c r="E24" s="370"/>
      <c r="F24" s="370"/>
      <c r="G24" s="370"/>
      <c r="H24" s="370"/>
      <c r="I24" s="381"/>
      <c r="J24" s="370"/>
      <c r="K24" s="370"/>
      <c r="L24" s="370"/>
      <c r="M24" s="379"/>
      <c r="N24" s="377"/>
    </row>
    <row r="25" spans="1:14" ht="15" customHeight="1">
      <c r="A25" s="38" t="s">
        <v>28</v>
      </c>
      <c r="B25" s="357" t="str">
        <f ca="1">CONCATENATE(WORLDCUP!AA77,"-",WORLDCUP!AF77)</f>
        <v>Austria-Jordania</v>
      </c>
      <c r="C25" s="349" t="str">
        <f>CONCATENATE(IF(WORLDCUP!AC77&gt;WORLDCUP!AD77,1,IF(WORLDCUP!AC77&lt;WORLDCUP!AD77,2,IF(AND(WORLDCUP!AC77=WORLDCUP!AD77,WORLDCUP!AC77&lt;&gt;"",WORLDCUP!AD77&lt;&gt;""),"X",0))),"|",WORLDCUP!AC77,"-",WORLDCUP!AD77)</f>
        <v>X|1-1</v>
      </c>
      <c r="D25" s="693"/>
      <c r="E25" s="370"/>
      <c r="F25" s="370"/>
      <c r="G25" s="370"/>
      <c r="H25" s="370"/>
      <c r="I25" s="381"/>
      <c r="J25" s="370"/>
      <c r="K25" s="370"/>
      <c r="L25" s="370"/>
      <c r="M25" s="379"/>
      <c r="N25" s="377"/>
    </row>
    <row r="26" spans="1:14" ht="15" customHeight="1">
      <c r="A26" s="355" t="s">
        <v>525</v>
      </c>
      <c r="B26" s="356" t="str">
        <f ca="1">CONCATENATE(WORLDCUP!AA84,"-",WORLDCUP!AF84)</f>
        <v>Portugal-RD Congo</v>
      </c>
      <c r="C26" s="349" t="str">
        <f>CONCATENATE(IF(WORLDCUP!AC84&gt;WORLDCUP!AD84,1,IF(WORLDCUP!AC84&lt;WORLDCUP!AD84,2,IF(AND(WORLDCUP!AC84=WORLDCUP!AD84,WORLDCUP!AC84&lt;&gt;"",WORLDCUP!AD84&lt;&gt;""),"X",0))),"|",WORLDCUP!AC84,"-",WORLDCUP!AD84)</f>
        <v>1|4-0</v>
      </c>
      <c r="D26" s="693"/>
      <c r="E26" s="370"/>
      <c r="F26" s="370"/>
      <c r="G26" s="370"/>
      <c r="H26" s="370"/>
      <c r="I26" s="381"/>
      <c r="J26" s="370"/>
      <c r="K26" s="370"/>
      <c r="L26" s="370"/>
      <c r="M26" s="379"/>
      <c r="N26" s="377"/>
    </row>
    <row r="27" spans="1:14" ht="15" customHeight="1">
      <c r="A27" s="355" t="s">
        <v>525</v>
      </c>
      <c r="B27" s="356" t="str">
        <f ca="1">CONCATENATE(WORLDCUP!AA85,"-",WORLDCUP!AF85)</f>
        <v>Uzbekistán-Colombia</v>
      </c>
      <c r="C27" s="349" t="str">
        <f>CONCATENATE(IF(WORLDCUP!AC85&gt;WORLDCUP!AD85,1,IF(WORLDCUP!AC85&lt;WORLDCUP!AD85,2,IF(AND(WORLDCUP!AC85=WORLDCUP!AD85,WORLDCUP!AC85&lt;&gt;"",WORLDCUP!AD85&lt;&gt;""),"X",0))),"|",WORLDCUP!AC85,"-",WORLDCUP!AD85)</f>
        <v>2|1-3</v>
      </c>
      <c r="D27" s="693"/>
      <c r="E27" s="370"/>
      <c r="F27" s="370"/>
      <c r="G27" s="370"/>
      <c r="H27" s="370"/>
      <c r="I27" s="381"/>
      <c r="J27" s="370"/>
      <c r="K27" s="370"/>
      <c r="L27" s="370"/>
      <c r="M27" s="379"/>
      <c r="N27" s="377"/>
    </row>
    <row r="28" spans="1:14" ht="15" customHeight="1">
      <c r="A28" s="38" t="s">
        <v>1209</v>
      </c>
      <c r="B28" s="357" t="str">
        <f ca="1">CONCATENATE(WORLDCUP!AA92,"-",WORLDCUP!AF92)</f>
        <v>Inglaterra-Croacia</v>
      </c>
      <c r="C28" s="349" t="str">
        <f>CONCATENATE(IF(WORLDCUP!AC92&gt;WORLDCUP!AD92,1,IF(WORLDCUP!AC92&lt;WORLDCUP!AD92,2,IF(AND(WORLDCUP!AC92=WORLDCUP!AD92,WORLDCUP!AC92&lt;&gt;"",WORLDCUP!AD92&lt;&gt;""),"X",0))),"|",WORLDCUP!AC92,"-",WORLDCUP!AD92)</f>
        <v>1|2-1</v>
      </c>
      <c r="D28" s="693"/>
      <c r="E28" s="370"/>
      <c r="F28" s="370"/>
      <c r="G28" s="370"/>
      <c r="H28" s="370"/>
      <c r="I28" s="381"/>
      <c r="J28" s="370"/>
      <c r="K28" s="370"/>
      <c r="L28" s="370"/>
      <c r="M28" s="379"/>
      <c r="N28" s="377"/>
    </row>
    <row r="29" spans="1:14" ht="15" customHeight="1">
      <c r="A29" s="38" t="s">
        <v>1209</v>
      </c>
      <c r="B29" s="357" t="str">
        <f ca="1">CONCATENATE(WORLDCUP!AA93,"-",WORLDCUP!AF93)</f>
        <v>Ghana-Panamá</v>
      </c>
      <c r="C29" s="349" t="str">
        <f>CONCATENATE(IF(WORLDCUP!AC93&gt;WORLDCUP!AD93,1,IF(WORLDCUP!AC93&lt;WORLDCUP!AD93,2,IF(AND(WORLDCUP!AC93=WORLDCUP!AD93,WORLDCUP!AC93&lt;&gt;"",WORLDCUP!AD93&lt;&gt;""),"X",0))),"|",WORLDCUP!AC93,"-",WORLDCUP!AD93)</f>
        <v>1|1-0</v>
      </c>
      <c r="D29" s="694"/>
      <c r="E29" s="372"/>
      <c r="F29" s="372"/>
      <c r="G29" s="372"/>
      <c r="H29" s="372"/>
      <c r="I29" s="381"/>
      <c r="J29" s="370"/>
      <c r="K29" s="370"/>
      <c r="L29" s="370"/>
      <c r="M29" s="379"/>
      <c r="N29" s="377"/>
    </row>
    <row r="30" spans="1:14" ht="15" customHeight="1">
      <c r="A30" s="355" t="s">
        <v>120</v>
      </c>
      <c r="B30" s="356" t="str">
        <f ca="1">CONCATENATE(WORLDCUP!AA6,"-",WORLDCUP!AF6)</f>
        <v>República Checa-Sudáfrica</v>
      </c>
      <c r="C30" s="349" t="str">
        <f>CONCATENATE(IF(WORLDCUP!AC6&gt;WORLDCUP!AD6,1,IF(WORLDCUP!AC6&lt;WORLDCUP!AD6,2,IF(AND(WORLDCUP!AC6=WORLDCUP!AD6,WORLDCUP!AC6&lt;&gt;"",WORLDCUP!AD6&lt;&gt;""),"X",0))),"|",WORLDCUP!AC6,"-",WORLDCUP!AD6)</f>
        <v>1|2-1</v>
      </c>
      <c r="D30" s="695" t="str">
        <f>Idiomas!D123</f>
        <v>J2</v>
      </c>
      <c r="E30" s="699" t="str">
        <f>Idiomas!D111</f>
        <v>·Para la segunda jornada copiar de la C30 a la C53 y pega valores en la plantilla de administrador.</v>
      </c>
      <c r="F30" s="699"/>
      <c r="G30" s="699"/>
      <c r="H30" s="699"/>
      <c r="I30" s="380"/>
      <c r="J30" s="370"/>
      <c r="K30" s="370"/>
      <c r="L30" s="370"/>
      <c r="M30" s="379"/>
      <c r="N30" s="377"/>
    </row>
    <row r="31" spans="1:14" ht="15" customHeight="1">
      <c r="A31" s="355" t="s">
        <v>120</v>
      </c>
      <c r="B31" s="356" t="str">
        <f ca="1">CONCATENATE(WORLDCUP!AA7,"-",WORLDCUP!AF7)</f>
        <v>México-Corea del Sur</v>
      </c>
      <c r="C31" s="349" t="str">
        <f>CONCATENATE(IF(WORLDCUP!AC7&gt;WORLDCUP!AD7,1,IF(WORLDCUP!AC7&lt;WORLDCUP!AD7,2,IF(AND(WORLDCUP!AC7=WORLDCUP!AD7,WORLDCUP!AC7&lt;&gt;"",WORLDCUP!AD7&lt;&gt;""),"X",0))),"|",WORLDCUP!AC7,"-",WORLDCUP!AD7)</f>
        <v>X|2-2</v>
      </c>
      <c r="D31" s="695"/>
      <c r="E31" s="685"/>
      <c r="F31" s="685"/>
      <c r="G31" s="685"/>
      <c r="H31" s="685"/>
      <c r="I31" s="381"/>
      <c r="J31" s="370"/>
      <c r="K31" s="370"/>
      <c r="L31" s="370"/>
      <c r="M31" s="379"/>
      <c r="N31" s="377"/>
    </row>
    <row r="32" spans="1:14" ht="15" customHeight="1">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1|1-0</v>
      </c>
      <c r="D32" s="695"/>
      <c r="E32" s="685"/>
      <c r="F32" s="685"/>
      <c r="G32" s="685"/>
      <c r="H32" s="685"/>
      <c r="I32" s="381"/>
      <c r="J32" s="370"/>
      <c r="K32" s="370"/>
      <c r="L32" s="370"/>
      <c r="M32" s="379"/>
      <c r="N32" s="377"/>
    </row>
    <row r="33" spans="1:14" ht="15" customHeight="1">
      <c r="A33" s="38" t="s">
        <v>121</v>
      </c>
      <c r="B33" s="357" t="str">
        <f ca="1">CONCATENATE(WORLDCUP!AA15,"-",WORLDCUP!AF15)</f>
        <v>Canadá-Catar</v>
      </c>
      <c r="C33" s="349" t="str">
        <f>CONCATENATE(IF(WORLDCUP!AC15&gt;WORLDCUP!AD15,1,IF(WORLDCUP!AC15&lt;WORLDCUP!AD15,2,IF(AND(WORLDCUP!AC15=WORLDCUP!AD15,WORLDCUP!AC15&lt;&gt;"",WORLDCUP!AD15&lt;&gt;""),"X",0))),"|",WORLDCUP!AC15,"-",WORLDCUP!AD15)</f>
        <v>X|1-1</v>
      </c>
      <c r="D33" s="695"/>
      <c r="E33" s="685"/>
      <c r="F33" s="685"/>
      <c r="G33" s="685"/>
      <c r="H33" s="685"/>
      <c r="I33" s="381"/>
      <c r="J33" s="370"/>
      <c r="K33" s="370"/>
      <c r="L33" s="370"/>
      <c r="M33" s="379"/>
      <c r="N33" s="377"/>
    </row>
    <row r="34" spans="1:14" ht="15" customHeight="1">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2|1-3</v>
      </c>
      <c r="D34" s="695"/>
      <c r="E34" s="370"/>
      <c r="F34" s="370"/>
      <c r="G34" s="370"/>
      <c r="H34" s="370"/>
      <c r="I34" s="381"/>
      <c r="J34" s="370"/>
      <c r="K34" s="370"/>
      <c r="L34" s="370"/>
      <c r="M34" s="379"/>
      <c r="N34" s="377"/>
    </row>
    <row r="35" spans="1:14" ht="15" customHeight="1">
      <c r="A35" s="355" t="s">
        <v>122</v>
      </c>
      <c r="B35" s="356" t="str">
        <f ca="1">CONCATENATE(WORLDCUP!AA23,"-",WORLDCUP!AF23)</f>
        <v>Brasil-Haití</v>
      </c>
      <c r="C35" s="349" t="str">
        <f>CONCATENATE(IF(WORLDCUP!AC23&gt;WORLDCUP!AD23,1,IF(WORLDCUP!AC23&lt;WORLDCUP!AD23,2,IF(AND(WORLDCUP!AC23=WORLDCUP!AD23,WORLDCUP!AC23&lt;&gt;"",WORLDCUP!AD23&lt;&gt;""),"X",0))),"|",WORLDCUP!AC23,"-",WORLDCUP!AD23)</f>
        <v>1|5-0</v>
      </c>
      <c r="D35" s="695"/>
      <c r="E35" s="370"/>
      <c r="F35" s="370"/>
      <c r="G35" s="370"/>
      <c r="H35" s="370"/>
      <c r="I35" s="381"/>
      <c r="J35" s="370"/>
      <c r="K35" s="370"/>
      <c r="L35" s="370"/>
      <c r="M35" s="379"/>
      <c r="N35" s="377"/>
    </row>
    <row r="36" spans="1:14" ht="15" customHeight="1">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1|2-1</v>
      </c>
      <c r="D36" s="695"/>
      <c r="E36" s="370"/>
      <c r="F36" s="370"/>
      <c r="G36" s="370"/>
      <c r="H36" s="370"/>
      <c r="I36" s="381"/>
      <c r="J36" s="370"/>
      <c r="K36" s="370"/>
      <c r="L36" s="370"/>
      <c r="M36" s="379"/>
      <c r="N36" s="377"/>
    </row>
    <row r="37" spans="1:14" ht="15" customHeight="1">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X|2-2</v>
      </c>
      <c r="D37" s="695"/>
      <c r="E37" s="370"/>
      <c r="F37" s="370"/>
      <c r="G37" s="370"/>
      <c r="H37" s="370"/>
      <c r="I37" s="381"/>
      <c r="J37" s="370"/>
      <c r="K37" s="370"/>
      <c r="L37" s="370"/>
      <c r="M37" s="379"/>
      <c r="N37" s="377"/>
    </row>
    <row r="38" spans="1:14" ht="15" customHeight="1">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1|3-2</v>
      </c>
      <c r="D38" s="695"/>
      <c r="E38" s="370"/>
      <c r="F38" s="370"/>
      <c r="G38" s="370"/>
      <c r="H38" s="370"/>
      <c r="I38" s="381"/>
      <c r="J38" s="370"/>
      <c r="K38" s="370"/>
      <c r="L38" s="370"/>
      <c r="M38" s="379"/>
      <c r="N38" s="377"/>
    </row>
    <row r="39" spans="1:14" ht="15" customHeight="1">
      <c r="A39" s="355" t="s">
        <v>124</v>
      </c>
      <c r="B39" s="356" t="str">
        <f ca="1">CONCATENATE(WORLDCUP!AA39,"-",WORLDCUP!AF39)</f>
        <v>Ecuador-Curazao</v>
      </c>
      <c r="C39" s="349" t="str">
        <f>CONCATENATE(IF(WORLDCUP!AC39&gt;WORLDCUP!AD39,1,IF(WORLDCUP!AC39&lt;WORLDCUP!AD39,2,IF(AND(WORLDCUP!AC39=WORLDCUP!AD39,WORLDCUP!AC39&lt;&gt;"",WORLDCUP!AD39&lt;&gt;""),"X",0))),"|",WORLDCUP!AC39,"-",WORLDCUP!AD39)</f>
        <v>1|2-0</v>
      </c>
      <c r="D39" s="695"/>
      <c r="E39" s="370"/>
      <c r="F39" s="370"/>
      <c r="G39" s="370"/>
      <c r="H39" s="370"/>
      <c r="I39" s="381"/>
      <c r="J39" s="370"/>
      <c r="K39" s="370"/>
      <c r="L39" s="370"/>
      <c r="M39" s="379"/>
      <c r="N39" s="377"/>
    </row>
    <row r="40" spans="1:14" ht="15" customHeight="1">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1|3-1</v>
      </c>
      <c r="D40" s="695"/>
      <c r="E40" s="370"/>
      <c r="F40" s="370"/>
      <c r="G40" s="370"/>
      <c r="H40" s="370"/>
      <c r="I40" s="381"/>
      <c r="J40" s="370"/>
      <c r="K40" s="370"/>
      <c r="L40" s="370"/>
      <c r="M40" s="379"/>
      <c r="N40" s="377"/>
    </row>
    <row r="41" spans="1:14" ht="15" customHeight="1">
      <c r="A41" s="38" t="s">
        <v>125</v>
      </c>
      <c r="B41" s="357" t="str">
        <f ca="1">CONCATENATE(WORLDCUP!AA47,"-",WORLDCUP!AF47)</f>
        <v>Túnez-Japón</v>
      </c>
      <c r="C41" s="349" t="str">
        <f>CONCATENATE(IF(WORLDCUP!AC47&gt;WORLDCUP!AD47,1,IF(WORLDCUP!AC47&lt;WORLDCUP!AD47,2,IF(AND(WORLDCUP!AC47=WORLDCUP!AD47,WORLDCUP!AC47&lt;&gt;"",WORLDCUP!AD47&lt;&gt;""),"X",0))),"|",WORLDCUP!AC47,"-",WORLDCUP!AD47)</f>
        <v>2|1-2</v>
      </c>
      <c r="D41" s="695"/>
      <c r="E41" s="370"/>
      <c r="F41" s="370"/>
      <c r="G41" s="370"/>
      <c r="H41" s="370"/>
      <c r="I41" s="381"/>
      <c r="J41" s="370"/>
      <c r="K41" s="370"/>
      <c r="L41" s="370"/>
      <c r="M41" s="379"/>
      <c r="N41" s="377"/>
    </row>
    <row r="42" spans="1:14" ht="15" customHeight="1">
      <c r="A42" s="355" t="s">
        <v>521</v>
      </c>
      <c r="B42" s="356" t="str">
        <f ca="1">CONCATENATE(WORLDCUP!AA54,"-",WORLDCUP!AF54)</f>
        <v>Bélgica-Irán</v>
      </c>
      <c r="C42" s="349" t="str">
        <f>CONCATENATE(IF(WORLDCUP!AC54&gt;WORLDCUP!AD54,1,IF(WORLDCUP!AC54&lt;WORLDCUP!AD54,2,IF(AND(WORLDCUP!AC54=WORLDCUP!AD54,WORLDCUP!AC54&lt;&gt;"",WORLDCUP!AD54&lt;&gt;""),"X",0))),"|",WORLDCUP!AC54,"-",WORLDCUP!AD54)</f>
        <v>1|1-0</v>
      </c>
      <c r="D42" s="695"/>
      <c r="E42" s="370"/>
      <c r="F42" s="370"/>
      <c r="G42" s="370"/>
      <c r="H42" s="370"/>
      <c r="I42" s="381"/>
      <c r="J42" s="370"/>
      <c r="K42" s="370"/>
      <c r="L42" s="370"/>
      <c r="M42" s="379"/>
      <c r="N42" s="377"/>
    </row>
    <row r="43" spans="1:14" ht="15" customHeight="1">
      <c r="A43" s="355" t="s">
        <v>521</v>
      </c>
      <c r="B43" s="356" t="str">
        <f ca="1">CONCATENATE(WORLDCUP!AA55,"-",WORLDCUP!AF55)</f>
        <v>Nueva Zelanda-Egipto</v>
      </c>
      <c r="C43" s="349" t="str">
        <f>CONCATENATE(IF(WORLDCUP!AC55&gt;WORLDCUP!AD55,1,IF(WORLDCUP!AC55&lt;WORLDCUP!AD55,2,IF(AND(WORLDCUP!AC55=WORLDCUP!AD55,WORLDCUP!AC55&lt;&gt;"",WORLDCUP!AD55&lt;&gt;""),"X",0))),"|",WORLDCUP!AC55,"-",WORLDCUP!AD55)</f>
        <v>2|0-1</v>
      </c>
      <c r="D43" s="695"/>
      <c r="E43" s="370"/>
      <c r="F43" s="370"/>
      <c r="G43" s="370"/>
      <c r="H43" s="370"/>
      <c r="I43" s="381"/>
      <c r="J43" s="370"/>
      <c r="K43" s="370"/>
      <c r="L43" s="370"/>
      <c r="M43" s="379"/>
      <c r="N43" s="377"/>
    </row>
    <row r="44" spans="1:14" ht="15" customHeight="1">
      <c r="A44" s="38" t="s">
        <v>523</v>
      </c>
      <c r="B44" s="357" t="str">
        <f ca="1">CONCATENATE(WORLDCUP!AA62,"-",WORLDCUP!AF62)</f>
        <v>España-Arabia Saudita</v>
      </c>
      <c r="C44" s="349" t="str">
        <f>CONCATENATE(IF(WORLDCUP!AC62&gt;WORLDCUP!AD62,1,IF(WORLDCUP!AC62&lt;WORLDCUP!AD62,2,IF(AND(WORLDCUP!AC62=WORLDCUP!AD62,WORLDCUP!AC62&lt;&gt;"",WORLDCUP!AD62&lt;&gt;""),"X",0))),"|",WORLDCUP!AC62,"-",WORLDCUP!AD62)</f>
        <v>1|1-0</v>
      </c>
      <c r="D44" s="695"/>
      <c r="E44" s="370"/>
      <c r="F44" s="370"/>
      <c r="G44" s="370"/>
      <c r="H44" s="370"/>
      <c r="I44" s="381"/>
      <c r="J44" s="370"/>
      <c r="K44" s="370"/>
      <c r="L44" s="370"/>
      <c r="M44" s="379"/>
      <c r="N44" s="377"/>
    </row>
    <row r="45" spans="1:14" ht="15" customHeight="1">
      <c r="A45" s="38" t="s">
        <v>523</v>
      </c>
      <c r="B45" s="357" t="str">
        <f ca="1">CONCATENATE(WORLDCUP!AA63,"-",WORLDCUP!AF63)</f>
        <v>Uruguay-Cabo Verde</v>
      </c>
      <c r="C45" s="349" t="str">
        <f>CONCATENATE(IF(WORLDCUP!AC63&gt;WORLDCUP!AD63,1,IF(WORLDCUP!AC63&lt;WORLDCUP!AD63,2,IF(AND(WORLDCUP!AC63=WORLDCUP!AD63,WORLDCUP!AC63&lt;&gt;"",WORLDCUP!AD63&lt;&gt;""),"X",0))),"|",WORLDCUP!AC63,"-",WORLDCUP!AD63)</f>
        <v>1|1-0</v>
      </c>
      <c r="D45" s="695"/>
      <c r="E45" s="370"/>
      <c r="F45" s="370"/>
      <c r="G45" s="370"/>
      <c r="H45" s="370"/>
      <c r="I45" s="381"/>
      <c r="J45" s="370"/>
      <c r="K45" s="370"/>
      <c r="L45" s="370"/>
      <c r="M45" s="379"/>
      <c r="N45" s="377"/>
    </row>
    <row r="46" spans="1:14" ht="15" customHeight="1">
      <c r="A46" s="355" t="s">
        <v>524</v>
      </c>
      <c r="B46" s="356" t="str">
        <f ca="1">CONCATENATE(WORLDCUP!AA70,"-",WORLDCUP!AF70)</f>
        <v>Francia-Irak</v>
      </c>
      <c r="C46" s="349" t="str">
        <f>CONCATENATE(IF(WORLDCUP!AC70&gt;WORLDCUP!AD70,1,IF(WORLDCUP!AC70&lt;WORLDCUP!AD70,2,IF(AND(WORLDCUP!AC70=WORLDCUP!AD70,WORLDCUP!AC70&lt;&gt;"",WORLDCUP!AD70&lt;&gt;""),"X",0))),"|",WORLDCUP!AC70,"-",WORLDCUP!AD70)</f>
        <v>1|3-0</v>
      </c>
      <c r="D46" s="695"/>
      <c r="E46" s="370"/>
      <c r="F46" s="370"/>
      <c r="G46" s="370"/>
      <c r="H46" s="370"/>
      <c r="I46" s="381"/>
      <c r="J46" s="370"/>
      <c r="K46" s="370"/>
      <c r="L46" s="370"/>
      <c r="M46" s="379"/>
      <c r="N46" s="377"/>
    </row>
    <row r="47" spans="1:14" ht="15" customHeight="1">
      <c r="A47" s="355" t="s">
        <v>524</v>
      </c>
      <c r="B47" s="356" t="str">
        <f ca="1">CONCATENATE(WORLDCUP!AA71,"-",WORLDCUP!AF71)</f>
        <v>Noruega-Senegal</v>
      </c>
      <c r="C47" s="349" t="str">
        <f>CONCATENATE(IF(WORLDCUP!AC71&gt;WORLDCUP!AD71,1,IF(WORLDCUP!AC71&lt;WORLDCUP!AD71,2,IF(AND(WORLDCUP!AC71=WORLDCUP!AD71,WORLDCUP!AC71&lt;&gt;"",WORLDCUP!AD71&lt;&gt;""),"X",0))),"|",WORLDCUP!AC71,"-",WORLDCUP!AD71)</f>
        <v>1|1-0</v>
      </c>
      <c r="D47" s="695"/>
      <c r="E47" s="370"/>
      <c r="F47" s="370"/>
      <c r="G47" s="370"/>
      <c r="H47" s="370"/>
      <c r="I47" s="381"/>
      <c r="J47" s="370"/>
      <c r="K47" s="370"/>
      <c r="L47" s="370"/>
      <c r="M47" s="379"/>
      <c r="N47" s="377"/>
    </row>
    <row r="48" spans="1:14" ht="15" customHeight="1">
      <c r="A48" s="38" t="s">
        <v>29</v>
      </c>
      <c r="B48" s="357" t="str">
        <f ca="1">CONCATENATE(WORLDCUP!AA78,"-",WORLDCUP!AF78)</f>
        <v>Argentina-Austria</v>
      </c>
      <c r="C48" s="349" t="str">
        <f>CONCATENATE(IF(WORLDCUP!AC78&gt;WORLDCUP!AD78,1,IF(WORLDCUP!AC78&lt;WORLDCUP!AD78,2,IF(AND(WORLDCUP!AC78=WORLDCUP!AD78,WORLDCUP!AC78&lt;&gt;"",WORLDCUP!AD78&lt;&gt;""),"X",0))),"|",WORLDCUP!AC78,"-",WORLDCUP!AD78)</f>
        <v>1|1-0</v>
      </c>
      <c r="D48" s="695"/>
      <c r="E48" s="370"/>
      <c r="F48" s="370"/>
      <c r="G48" s="370"/>
      <c r="H48" s="370"/>
      <c r="I48" s="381"/>
      <c r="J48" s="370"/>
      <c r="K48" s="370"/>
      <c r="L48" s="370"/>
      <c r="M48" s="379"/>
      <c r="N48" s="377"/>
    </row>
    <row r="49" spans="1:14" ht="15" customHeight="1">
      <c r="A49" s="38" t="s">
        <v>29</v>
      </c>
      <c r="B49" s="357" t="str">
        <f ca="1">CONCATENATE(WORLDCUP!AA79,"-",WORLDCUP!AF79)</f>
        <v>Jordania-Argelia</v>
      </c>
      <c r="C49" s="349" t="str">
        <f>CONCATENATE(IF(WORLDCUP!AC79&gt;WORLDCUP!AD79,1,IF(WORLDCUP!AC79&lt;WORLDCUP!AD79,2,IF(AND(WORLDCUP!AC79=WORLDCUP!AD79,WORLDCUP!AC79&lt;&gt;"",WORLDCUP!AD79&lt;&gt;""),"X",0))),"|",WORLDCUP!AC79,"-",WORLDCUP!AD79)</f>
        <v>2|0-1</v>
      </c>
      <c r="D49" s="695"/>
      <c r="E49" s="370"/>
      <c r="F49" s="370"/>
      <c r="G49" s="370"/>
      <c r="H49" s="370"/>
      <c r="I49" s="381"/>
      <c r="J49" s="370"/>
      <c r="K49" s="370"/>
      <c r="L49" s="370"/>
      <c r="M49" s="379"/>
      <c r="N49" s="377"/>
    </row>
    <row r="50" spans="1:14" ht="15" customHeight="1">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1|3-0</v>
      </c>
      <c r="D50" s="695"/>
      <c r="E50" s="370"/>
      <c r="F50" s="370"/>
      <c r="G50" s="370"/>
      <c r="H50" s="370"/>
      <c r="I50" s="381"/>
      <c r="J50" s="370"/>
      <c r="K50" s="370"/>
      <c r="L50" s="370"/>
      <c r="M50" s="379"/>
      <c r="N50" s="377"/>
    </row>
    <row r="51" spans="1:14" ht="15" customHeight="1">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1|2-0</v>
      </c>
      <c r="D51" s="695"/>
      <c r="E51" s="370"/>
      <c r="F51" s="370"/>
      <c r="G51" s="370"/>
      <c r="H51" s="370"/>
      <c r="I51" s="381"/>
      <c r="J51" s="370"/>
      <c r="K51" s="370"/>
      <c r="L51" s="370"/>
      <c r="M51" s="379"/>
      <c r="N51" s="377"/>
    </row>
    <row r="52" spans="1:14" ht="15" customHeight="1">
      <c r="A52" s="38" t="s">
        <v>1210</v>
      </c>
      <c r="B52" s="357" t="str">
        <f ca="1">CONCATENATE(WORLDCUP!AA94,"-",WORLDCUP!AF94)</f>
        <v>Inglaterra-Ghana</v>
      </c>
      <c r="C52" s="349" t="str">
        <f>CONCATENATE(IF(WORLDCUP!AC94&gt;WORLDCUP!AD94,1,IF(WORLDCUP!AC94&lt;WORLDCUP!AD94,2,IF(AND(WORLDCUP!AC94=WORLDCUP!AD94,WORLDCUP!AC94&lt;&gt;"",WORLDCUP!AD94&lt;&gt;""),"X",0))),"|",WORLDCUP!AC94,"-",WORLDCUP!AD94)</f>
        <v>1|2-0</v>
      </c>
      <c r="D52" s="695"/>
      <c r="E52" s="370"/>
      <c r="F52" s="370"/>
      <c r="G52" s="370"/>
      <c r="H52" s="370"/>
      <c r="I52" s="381"/>
      <c r="J52" s="370"/>
      <c r="K52" s="370"/>
      <c r="L52" s="370"/>
      <c r="M52" s="379"/>
      <c r="N52" s="377"/>
    </row>
    <row r="53" spans="1:14" ht="15" customHeight="1">
      <c r="A53" s="38" t="s">
        <v>1210</v>
      </c>
      <c r="B53" s="357" t="str">
        <f ca="1">CONCATENATE(WORLDCUP!AA95,"-",WORLDCUP!AF95)</f>
        <v>Panamá-Croacia</v>
      </c>
      <c r="C53" s="349" t="str">
        <f>CONCATENATE(IF(WORLDCUP!AC95&gt;WORLDCUP!AD95,1,IF(WORLDCUP!AC95&lt;WORLDCUP!AD95,2,IF(AND(WORLDCUP!AC95=WORLDCUP!AD95,WORLDCUP!AC95&lt;&gt;"",WORLDCUP!AD95&lt;&gt;""),"X",0))),"|",WORLDCUP!AC95,"-",WORLDCUP!AD95)</f>
        <v>2|1-3</v>
      </c>
      <c r="D53" s="696"/>
      <c r="E53" s="372"/>
      <c r="F53" s="372"/>
      <c r="G53" s="372"/>
      <c r="H53" s="372"/>
      <c r="I53" s="382"/>
      <c r="J53" s="370"/>
      <c r="K53" s="370"/>
      <c r="L53" s="370"/>
      <c r="M53" s="379"/>
      <c r="N53" s="377"/>
    </row>
    <row r="54" spans="1:14" ht="15" customHeight="1">
      <c r="A54" s="355" t="s">
        <v>126</v>
      </c>
      <c r="B54" s="356" t="str">
        <f ca="1">CONCATENATE(WORLDCUP!AA8,"-",WORLDCUP!AF8)</f>
        <v>República Checa-México</v>
      </c>
      <c r="C54" s="349" t="str">
        <f>CONCATENATE(IF(WORLDCUP!AC8&gt;WORLDCUP!AD8,1,IF(WORLDCUP!AC8&lt;WORLDCUP!AD8,2,IF(AND(WORLDCUP!AC8=WORLDCUP!AD8,WORLDCUP!AC8&lt;&gt;"",WORLDCUP!AD8&lt;&gt;""),"X",0))),"|",WORLDCUP!AC8,"-",WORLDCUP!AD8)</f>
        <v>2|1-2</v>
      </c>
      <c r="D54" s="704" t="str">
        <f>Idiomas!D124</f>
        <v>J3</v>
      </c>
      <c r="E54" s="699" t="str">
        <f>Idiomas!D112</f>
        <v>·Para la tercera jornada copiar de la C54 a la C161 y pega valores en la plantilla de administrador.</v>
      </c>
      <c r="F54" s="699"/>
      <c r="G54" s="699"/>
      <c r="H54" s="699"/>
      <c r="I54" s="381"/>
      <c r="J54" s="370"/>
      <c r="K54" s="370"/>
      <c r="L54" s="370"/>
      <c r="M54" s="379"/>
      <c r="N54" s="377"/>
    </row>
    <row r="55" spans="1:14" ht="15" customHeight="1">
      <c r="A55" s="355" t="s">
        <v>126</v>
      </c>
      <c r="B55" s="356" t="str">
        <f ca="1">CONCATENATE(WORLDCUP!AA9,"-",WORLDCUP!AF9)</f>
        <v>Sudáfrica-Corea del Sur</v>
      </c>
      <c r="C55" s="349" t="str">
        <f>CONCATENATE(IF(WORLDCUP!AC9&gt;WORLDCUP!AD9,1,IF(WORLDCUP!AC9&lt;WORLDCUP!AD9,2,IF(AND(WORLDCUP!AC9=WORLDCUP!AD9,WORLDCUP!AC9&lt;&gt;"",WORLDCUP!AD9&lt;&gt;""),"X",0))),"|",WORLDCUP!AC9,"-",WORLDCUP!AD9)</f>
        <v>X|1-1</v>
      </c>
      <c r="D55" s="704"/>
      <c r="E55" s="685"/>
      <c r="F55" s="685"/>
      <c r="G55" s="685"/>
      <c r="H55" s="685"/>
      <c r="I55" s="381"/>
      <c r="J55" s="370"/>
      <c r="K55" s="370"/>
      <c r="L55" s="370"/>
      <c r="M55" s="379"/>
      <c r="N55" s="377"/>
    </row>
    <row r="56" spans="1:14" ht="15" customHeight="1">
      <c r="A56" s="38" t="s">
        <v>127</v>
      </c>
      <c r="B56" s="357" t="str">
        <f ca="1">CONCATENATE(WORLDCUP!AA16,"-",WORLDCUP!AF16)</f>
        <v>Suiza-Canadá</v>
      </c>
      <c r="C56" s="349" t="str">
        <f>CONCATENATE(IF(WORLDCUP!AC16&gt;WORLDCUP!AD16,1,IF(WORLDCUP!AC16&lt;WORLDCUP!AD16,2,IF(AND(WORLDCUP!AC16=WORLDCUP!AD16,WORLDCUP!AC16&lt;&gt;"",WORLDCUP!AD16&lt;&gt;""),"X",0))),"|",WORLDCUP!AC16,"-",WORLDCUP!AD16)</f>
        <v>1|2-1</v>
      </c>
      <c r="D56" s="704"/>
      <c r="E56" s="685"/>
      <c r="F56" s="685"/>
      <c r="G56" s="685"/>
      <c r="H56" s="685"/>
      <c r="I56" s="381"/>
      <c r="J56" s="370"/>
      <c r="K56" s="370"/>
      <c r="L56" s="370"/>
      <c r="M56" s="379"/>
      <c r="N56" s="377"/>
    </row>
    <row r="57" spans="1:14" ht="15" customHeight="1">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1|1-0</v>
      </c>
      <c r="D57" s="704"/>
      <c r="E57" s="685"/>
      <c r="F57" s="685"/>
      <c r="G57" s="685"/>
      <c r="H57" s="685"/>
      <c r="I57" s="381"/>
      <c r="J57" s="370"/>
      <c r="K57" s="370"/>
      <c r="L57" s="370"/>
      <c r="M57" s="379"/>
      <c r="N57" s="377"/>
    </row>
    <row r="58" spans="1:14" ht="15" customHeight="1">
      <c r="A58" s="355" t="s">
        <v>128</v>
      </c>
      <c r="B58" s="356" t="str">
        <f ca="1">CONCATENATE(WORLDCUP!AA24,"-",WORLDCUP!AF24)</f>
        <v>Escocia-Brasil</v>
      </c>
      <c r="C58" s="349" t="str">
        <f>CONCATENATE(IF(WORLDCUP!AC24&gt;WORLDCUP!AD24,1,IF(WORLDCUP!AC24&lt;WORLDCUP!AD24,2,IF(AND(WORLDCUP!AC24=WORLDCUP!AD24,WORLDCUP!AC24&lt;&gt;"",WORLDCUP!AD24&lt;&gt;""),"X",0))),"|",WORLDCUP!AC24,"-",WORLDCUP!AD24)</f>
        <v>2|1-4</v>
      </c>
      <c r="D58" s="704"/>
      <c r="E58" s="370"/>
      <c r="F58" s="370"/>
      <c r="G58" s="370"/>
      <c r="H58" s="370"/>
      <c r="I58" s="381"/>
      <c r="J58" s="370"/>
      <c r="K58" s="370"/>
      <c r="L58" s="370"/>
      <c r="M58" s="379"/>
      <c r="N58" s="377"/>
    </row>
    <row r="59" spans="1:14" ht="15" customHeight="1">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1|3-0</v>
      </c>
      <c r="D59" s="704"/>
      <c r="E59" s="370"/>
      <c r="F59" s="370"/>
      <c r="G59" s="370"/>
      <c r="H59" s="370"/>
      <c r="I59" s="381"/>
      <c r="J59" s="370"/>
      <c r="K59" s="370"/>
      <c r="L59" s="370"/>
      <c r="M59" s="379"/>
      <c r="N59" s="377"/>
    </row>
    <row r="60" spans="1:14" ht="15" customHeight="1">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X|2-2</v>
      </c>
      <c r="D60" s="704"/>
      <c r="E60" s="370"/>
      <c r="F60" s="370"/>
      <c r="G60" s="370"/>
      <c r="H60" s="370"/>
      <c r="I60" s="381"/>
      <c r="J60" s="370"/>
      <c r="K60" s="370"/>
      <c r="L60" s="370"/>
      <c r="M60" s="379"/>
      <c r="N60" s="377"/>
    </row>
    <row r="61" spans="1:14" ht="15" customHeight="1">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1|1-0</v>
      </c>
      <c r="D61" s="704"/>
      <c r="E61" s="370"/>
      <c r="F61" s="370"/>
      <c r="G61" s="370"/>
      <c r="H61" s="370"/>
      <c r="I61" s="381"/>
      <c r="J61" s="370"/>
      <c r="K61" s="370"/>
      <c r="L61" s="370"/>
      <c r="M61" s="379"/>
      <c r="N61" s="377"/>
    </row>
    <row r="62" spans="1:14" ht="15" customHeight="1">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2|1-3</v>
      </c>
      <c r="D62" s="704"/>
      <c r="E62" s="370"/>
      <c r="F62" s="370"/>
      <c r="G62" s="370"/>
      <c r="H62" s="370"/>
      <c r="I62" s="381"/>
      <c r="J62" s="370"/>
      <c r="K62" s="370"/>
      <c r="L62" s="370"/>
      <c r="M62" s="379"/>
      <c r="N62" s="377"/>
    </row>
    <row r="63" spans="1:14" ht="15" customHeight="1">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2|2-3</v>
      </c>
      <c r="D63" s="704"/>
      <c r="E63" s="370"/>
      <c r="F63" s="370"/>
      <c r="G63" s="370"/>
      <c r="H63" s="370"/>
      <c r="I63" s="381"/>
      <c r="J63" s="370"/>
      <c r="K63" s="370"/>
      <c r="L63" s="370"/>
      <c r="M63" s="379"/>
      <c r="N63" s="377"/>
    </row>
    <row r="64" spans="1:14" ht="15" customHeight="1">
      <c r="A64" s="38" t="s">
        <v>131</v>
      </c>
      <c r="B64" s="357" t="str">
        <f ca="1">CONCATENATE(WORLDCUP!AA48,"-",WORLDCUP!AF48)</f>
        <v>Japón-Suecia</v>
      </c>
      <c r="C64" s="349" t="str">
        <f>CONCATENATE(IF(WORLDCUP!AC48&gt;WORLDCUP!AD48,1,IF(WORLDCUP!AC48&lt;WORLDCUP!AD48,2,IF(AND(WORLDCUP!AC48=WORLDCUP!AD48,WORLDCUP!AC48&lt;&gt;"",WORLDCUP!AD48&lt;&gt;""),"X",0))),"|",WORLDCUP!AC48,"-",WORLDCUP!AD48)</f>
        <v>X|1-1</v>
      </c>
      <c r="D64" s="704"/>
      <c r="E64" s="370"/>
      <c r="F64" s="370"/>
      <c r="G64" s="370"/>
      <c r="H64" s="370"/>
      <c r="I64" s="381"/>
      <c r="J64" s="370"/>
      <c r="K64" s="370"/>
      <c r="L64" s="370"/>
      <c r="M64" s="379"/>
      <c r="N64" s="377"/>
    </row>
    <row r="65" spans="1:14" ht="15" customHeight="1">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2|1-2</v>
      </c>
      <c r="D65" s="704"/>
      <c r="E65" s="370"/>
      <c r="F65" s="370"/>
      <c r="G65" s="370"/>
      <c r="H65" s="370"/>
      <c r="I65" s="381"/>
      <c r="J65" s="370"/>
      <c r="K65" s="370"/>
      <c r="L65" s="370"/>
      <c r="M65" s="379"/>
      <c r="N65" s="377"/>
    </row>
    <row r="66" spans="1:14" ht="15" customHeight="1">
      <c r="A66" s="355" t="s">
        <v>182</v>
      </c>
      <c r="B66" s="356" t="str">
        <f ca="1">CONCATENATE(WORLDCUP!AA56,"-",WORLDCUP!AF56)</f>
        <v>Egipto-Irán</v>
      </c>
      <c r="C66" s="349" t="str">
        <f>CONCATENATE(IF(WORLDCUP!AC56&gt;WORLDCUP!AD56,1,IF(WORLDCUP!AC56&lt;WORLDCUP!AD56,2,IF(AND(WORLDCUP!AC56=WORLDCUP!AD56,WORLDCUP!AC56&lt;&gt;"",WORLDCUP!AD56&lt;&gt;""),"X",0))),"|",WORLDCUP!AC56,"-",WORLDCUP!AD56)</f>
        <v>1|1-0</v>
      </c>
      <c r="D66" s="704"/>
      <c r="E66" s="370"/>
      <c r="F66" s="370"/>
      <c r="G66" s="370"/>
      <c r="H66" s="370"/>
      <c r="I66" s="381"/>
      <c r="J66" s="370"/>
      <c r="K66" s="370"/>
      <c r="L66" s="370"/>
      <c r="M66" s="379"/>
      <c r="N66" s="377"/>
    </row>
    <row r="67" spans="1:14" ht="15" customHeight="1">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2|0-2</v>
      </c>
      <c r="D67" s="704"/>
      <c r="E67" s="370"/>
      <c r="F67" s="370"/>
      <c r="G67" s="370"/>
      <c r="H67" s="370"/>
      <c r="I67" s="381"/>
      <c r="J67" s="370"/>
      <c r="K67" s="370"/>
      <c r="L67" s="370"/>
      <c r="M67" s="379"/>
      <c r="N67" s="377"/>
    </row>
    <row r="68" spans="1:14" ht="15" customHeight="1">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X|1-1</v>
      </c>
      <c r="D68" s="704"/>
      <c r="E68" s="370"/>
      <c r="F68" s="370"/>
      <c r="G68" s="370"/>
      <c r="H68" s="370"/>
      <c r="I68" s="381"/>
      <c r="J68" s="370"/>
      <c r="K68" s="370"/>
      <c r="L68" s="370"/>
      <c r="M68" s="379"/>
      <c r="N68" s="377"/>
    </row>
    <row r="69" spans="1:14" ht="15" customHeight="1">
      <c r="A69" s="38" t="s">
        <v>183</v>
      </c>
      <c r="B69" s="357" t="str">
        <f ca="1">CONCATENATE(WORLDCUP!AA65,"-",WORLDCUP!AF65)</f>
        <v>Uruguay-España</v>
      </c>
      <c r="C69" s="349" t="str">
        <f>CONCATENATE(IF(WORLDCUP!AC65&gt;WORLDCUP!AD65,1,IF(WORLDCUP!AC65&lt;WORLDCUP!AD65,2,IF(AND(WORLDCUP!AC65=WORLDCUP!AD65,WORLDCUP!AC65&lt;&gt;"",WORLDCUP!AD65&lt;&gt;""),"X",0))),"|",WORLDCUP!AC65,"-",WORLDCUP!AD65)</f>
        <v>X|2-2</v>
      </c>
      <c r="D69" s="704"/>
      <c r="E69" s="370"/>
      <c r="F69" s="370"/>
      <c r="G69" s="370"/>
      <c r="H69" s="370"/>
      <c r="I69" s="381"/>
      <c r="J69" s="370"/>
      <c r="K69" s="370"/>
      <c r="L69" s="370"/>
      <c r="M69" s="379"/>
      <c r="N69" s="377"/>
    </row>
    <row r="70" spans="1:14" ht="15" customHeight="1">
      <c r="A70" s="355" t="s">
        <v>184</v>
      </c>
      <c r="B70" s="356" t="str">
        <f ca="1">CONCATENATE(WORLDCUP!AA72,"-",WORLDCUP!AF72)</f>
        <v>Noruega-Francia</v>
      </c>
      <c r="C70" s="349" t="str">
        <f>CONCATENATE(IF(WORLDCUP!AC72&gt;WORLDCUP!AD72,1,IF(WORLDCUP!AC72&lt;WORLDCUP!AD72,2,IF(AND(WORLDCUP!AC72=WORLDCUP!AD72,WORLDCUP!AC72&lt;&gt;"",WORLDCUP!AD72&lt;&gt;""),"X",0))),"|",WORLDCUP!AC72,"-",WORLDCUP!AD72)</f>
        <v>X|1-1</v>
      </c>
      <c r="D70" s="704"/>
      <c r="E70" s="370"/>
      <c r="F70" s="370"/>
      <c r="G70" s="370"/>
      <c r="H70" s="370"/>
      <c r="I70" s="381"/>
      <c r="J70" s="370"/>
      <c r="K70" s="370"/>
      <c r="L70" s="370"/>
      <c r="M70" s="379"/>
      <c r="N70" s="377"/>
    </row>
    <row r="71" spans="1:14" ht="15" customHeight="1">
      <c r="A71" s="355" t="s">
        <v>184</v>
      </c>
      <c r="B71" s="356" t="str">
        <f ca="1">CONCATENATE(WORLDCUP!AA73,"-",WORLDCUP!AF73)</f>
        <v>Senegal-Irak</v>
      </c>
      <c r="C71" s="349" t="str">
        <f>CONCATENATE(IF(WORLDCUP!AC73&gt;WORLDCUP!AD73,1,IF(WORLDCUP!AC73&lt;WORLDCUP!AD73,2,IF(AND(WORLDCUP!AC73=WORLDCUP!AD73,WORLDCUP!AC73&lt;&gt;"",WORLDCUP!AD73&lt;&gt;""),"X",0))),"|",WORLDCUP!AC73,"-",WORLDCUP!AD73)</f>
        <v>1|3-0</v>
      </c>
      <c r="D71" s="704"/>
      <c r="E71" s="370"/>
      <c r="F71" s="370"/>
      <c r="G71" s="370"/>
      <c r="H71" s="370"/>
      <c r="I71" s="381"/>
      <c r="J71" s="370"/>
      <c r="K71" s="370"/>
      <c r="L71" s="370"/>
      <c r="M71" s="379"/>
      <c r="N71" s="377"/>
    </row>
    <row r="72" spans="1:14" ht="15" customHeight="1">
      <c r="A72" s="38" t="s">
        <v>30</v>
      </c>
      <c r="B72" s="357" t="str">
        <f ca="1">CONCATENATE(WORLDCUP!AA80,"-",WORLDCUP!AF80)</f>
        <v>Argelia-Austria</v>
      </c>
      <c r="C72" s="349" t="str">
        <f>CONCATENATE(IF(WORLDCUP!AC80&gt;WORLDCUP!AD80,1,IF(WORLDCUP!AC80&lt;WORLDCUP!AD80,2,IF(AND(WORLDCUP!AC80=WORLDCUP!AD80,WORLDCUP!AC80&lt;&gt;"",WORLDCUP!AD80&lt;&gt;""),"X",0))),"|",WORLDCUP!AC80,"-",WORLDCUP!AD80)</f>
        <v>X|2-2</v>
      </c>
      <c r="D72" s="704"/>
      <c r="E72" s="370"/>
      <c r="F72" s="370"/>
      <c r="G72" s="370"/>
      <c r="H72" s="370"/>
      <c r="I72" s="381"/>
      <c r="J72" s="370"/>
      <c r="K72" s="370"/>
      <c r="L72" s="370"/>
      <c r="M72" s="379"/>
      <c r="N72" s="377"/>
    </row>
    <row r="73" spans="1:14" ht="15" customHeight="1">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2|0-1</v>
      </c>
      <c r="D73" s="704"/>
      <c r="E73" s="370"/>
      <c r="F73" s="370"/>
      <c r="G73" s="370"/>
      <c r="H73" s="370"/>
      <c r="I73" s="381"/>
      <c r="J73" s="370"/>
      <c r="K73" s="370"/>
      <c r="L73" s="370"/>
      <c r="M73" s="379"/>
      <c r="N73" s="377"/>
    </row>
    <row r="74" spans="1:14" ht="15" customHeight="1">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X|2-2</v>
      </c>
      <c r="D74" s="704"/>
      <c r="E74" s="370"/>
      <c r="F74" s="370"/>
      <c r="G74" s="370"/>
      <c r="H74" s="370"/>
      <c r="I74" s="381"/>
      <c r="J74" s="370"/>
      <c r="K74" s="370"/>
      <c r="L74" s="370"/>
      <c r="M74" s="379"/>
      <c r="N74" s="377"/>
    </row>
    <row r="75" spans="1:14" ht="15" customHeight="1">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1|1-0</v>
      </c>
      <c r="D75" s="704"/>
      <c r="E75" s="370"/>
      <c r="F75" s="370"/>
      <c r="G75" s="370"/>
      <c r="H75" s="370"/>
      <c r="I75" s="381"/>
      <c r="J75" s="370"/>
      <c r="K75" s="370"/>
      <c r="L75" s="370"/>
      <c r="M75" s="379"/>
      <c r="N75" s="377"/>
    </row>
    <row r="76" spans="1:14" ht="15" customHeight="1">
      <c r="A76" s="38" t="s">
        <v>1211</v>
      </c>
      <c r="B76" s="357" t="str">
        <f ca="1">CONCATENATE(WORLDCUP!AA96,"-",WORLDCUP!AF96)</f>
        <v>Panamá-Inglaterra</v>
      </c>
      <c r="C76" s="349" t="str">
        <f>CONCATENATE(IF(WORLDCUP!AC96&gt;WORLDCUP!AD96,1,IF(WORLDCUP!AC96&lt;WORLDCUP!AD96,2,IF(AND(WORLDCUP!AC96=WORLDCUP!AD96,WORLDCUP!AC96&lt;&gt;"",WORLDCUP!AD96&lt;&gt;""),"X",0))),"|",WORLDCUP!AC96,"-",WORLDCUP!AD96)</f>
        <v>2|0-3</v>
      </c>
      <c r="D76" s="704"/>
      <c r="E76" s="370"/>
      <c r="F76" s="370"/>
      <c r="G76" s="370"/>
      <c r="H76" s="370"/>
      <c r="I76" s="381"/>
      <c r="J76" s="370"/>
      <c r="K76" s="370"/>
      <c r="L76" s="370"/>
      <c r="M76" s="379"/>
      <c r="N76" s="377"/>
    </row>
    <row r="77" spans="1:14" ht="15" customHeight="1">
      <c r="A77" s="38" t="s">
        <v>1211</v>
      </c>
      <c r="B77" s="357" t="str">
        <f ca="1">CONCATENATE(WORLDCUP!AA97,"-",WORLDCUP!AF97)</f>
        <v>Croacia-Ghana</v>
      </c>
      <c r="C77" s="349" t="str">
        <f>CONCATENATE(IF(WORLDCUP!AC97&gt;WORLDCUP!AD97,1,IF(WORLDCUP!AC97&lt;WORLDCUP!AD97,2,IF(AND(WORLDCUP!AC97=WORLDCUP!AD97,WORLDCUP!AC97&lt;&gt;"",WORLDCUP!AD97&lt;&gt;""),"X",0))),"|",WORLDCUP!AC97,"-",WORLDCUP!AD97)</f>
        <v>X|2-2</v>
      </c>
      <c r="D77" s="704"/>
      <c r="E77" s="370"/>
      <c r="F77" s="370"/>
      <c r="G77" s="370"/>
      <c r="H77" s="370"/>
      <c r="I77" s="381"/>
      <c r="J77" s="370"/>
      <c r="K77" s="370"/>
      <c r="L77" s="370"/>
      <c r="M77" s="379"/>
      <c r="N77" s="377"/>
    </row>
    <row r="78" spans="1:14" ht="15" customHeight="1">
      <c r="A78" s="353"/>
      <c r="B78" s="353"/>
      <c r="C78" s="350"/>
      <c r="D78" s="704"/>
      <c r="E78" s="370"/>
      <c r="F78" s="370"/>
      <c r="G78" s="370"/>
      <c r="H78" s="370"/>
      <c r="I78" s="381"/>
      <c r="J78" s="370"/>
      <c r="K78" s="370"/>
      <c r="L78" s="370"/>
      <c r="M78" s="379"/>
      <c r="N78" s="377"/>
    </row>
    <row r="79" spans="1:14" ht="19" customHeight="1">
      <c r="A79" s="353"/>
      <c r="B79" s="358" t="str">
        <f>Idiomas!D126</f>
        <v>POSICIÓN GRUPOS</v>
      </c>
      <c r="C79" s="350"/>
      <c r="D79" s="704"/>
      <c r="E79" s="370"/>
      <c r="F79" s="370"/>
      <c r="G79" s="370"/>
      <c r="H79" s="370"/>
      <c r="I79" s="381"/>
      <c r="J79" s="370"/>
      <c r="K79" s="370"/>
      <c r="L79" s="370"/>
      <c r="M79" s="379"/>
      <c r="N79" s="377"/>
    </row>
    <row r="80" spans="1:14" ht="15" customHeight="1">
      <c r="A80" s="697" t="s">
        <v>0</v>
      </c>
      <c r="B80" s="359" t="str">
        <f>Idiomas!D140</f>
        <v>1º GRUPO A</v>
      </c>
      <c r="C80" s="349" t="str">
        <f ca="1">IF(OR(SUM(WORLDCUP!$AN$6:$AN$9)=12,WORLDCUP!$AJ$99=144),WORLDCUP!AL6,B80)</f>
        <v>México</v>
      </c>
      <c r="D80" s="704"/>
      <c r="E80" s="370"/>
      <c r="F80" s="370"/>
      <c r="G80" s="370"/>
      <c r="H80" s="370"/>
      <c r="I80" s="381"/>
      <c r="J80" s="370"/>
      <c r="K80" s="370"/>
      <c r="L80" s="370"/>
      <c r="M80" s="379"/>
      <c r="N80" s="377"/>
    </row>
    <row r="81" spans="1:14" ht="15" customHeight="1">
      <c r="A81" s="697"/>
      <c r="B81" s="359" t="str">
        <f>Idiomas!D141</f>
        <v>2º GRUPO A</v>
      </c>
      <c r="C81" s="349" t="str">
        <f ca="1">IF(OR(SUM(WORLDCUP!$AN$6:$AN$9)=12,WORLDCUP!$AJ$99=144),WORLDCUP!AL7,B81)</f>
        <v>Corea del Sur</v>
      </c>
      <c r="D81" s="704"/>
      <c r="E81" s="370"/>
      <c r="F81" s="370"/>
      <c r="G81" s="370"/>
      <c r="H81" s="370"/>
      <c r="I81" s="381"/>
      <c r="J81" s="370"/>
      <c r="K81" s="370"/>
      <c r="L81" s="370"/>
      <c r="M81" s="379"/>
      <c r="N81" s="377"/>
    </row>
    <row r="82" spans="1:14" ht="15" customHeight="1">
      <c r="A82" s="697"/>
      <c r="B82" s="359" t="str">
        <f>Idiomas!D142</f>
        <v>3º GRUPO A</v>
      </c>
      <c r="C82" s="349" t="str">
        <f ca="1">IF(OR(SUM(WORLDCUP!$AN$6:$AN$9)=12,WORLDCUP!$AJ$99=144),WORLDCUP!AL8,B82)</f>
        <v>República Checa</v>
      </c>
      <c r="D82" s="704"/>
      <c r="E82" s="370"/>
      <c r="F82" s="370"/>
      <c r="G82" s="370"/>
      <c r="H82" s="370"/>
      <c r="I82" s="381"/>
      <c r="J82" s="370"/>
      <c r="K82" s="370"/>
      <c r="L82" s="370"/>
      <c r="M82" s="379"/>
      <c r="N82" s="377"/>
    </row>
    <row r="83" spans="1:14" ht="15" customHeight="1">
      <c r="A83" s="697"/>
      <c r="B83" s="359" t="str">
        <f>Idiomas!D143</f>
        <v>4º GRUPO A</v>
      </c>
      <c r="C83" s="349" t="str">
        <f ca="1">IF(OR(SUM(WORLDCUP!$AN$6:$AN$9)=12,WORLDCUP!$AJ$99=144),WORLDCUP!AL9,B83)</f>
        <v>Sudáfrica</v>
      </c>
      <c r="D83" s="704"/>
      <c r="E83" s="370"/>
      <c r="F83" s="370"/>
      <c r="G83" s="370"/>
      <c r="H83" s="370"/>
      <c r="I83" s="381"/>
      <c r="J83" s="370"/>
      <c r="K83" s="370"/>
      <c r="L83" s="370"/>
      <c r="M83" s="379"/>
      <c r="N83" s="377"/>
    </row>
    <row r="84" spans="1:14" ht="15" customHeight="1">
      <c r="A84" s="707" t="s">
        <v>1</v>
      </c>
      <c r="B84" s="357" t="str">
        <f>Idiomas!D144</f>
        <v>1º GRUPO B</v>
      </c>
      <c r="C84" s="349" t="str">
        <f ca="1">IF(OR(SUM(WORLDCUP!$AN$14:$AN$17)=12,WORLDCUP!$AJ$99=144),WORLDCUP!AL14,B84)</f>
        <v>Suiza</v>
      </c>
      <c r="D84" s="704"/>
      <c r="E84" s="370"/>
      <c r="F84" s="370"/>
      <c r="G84" s="370"/>
      <c r="H84" s="370"/>
      <c r="I84" s="381"/>
      <c r="J84" s="370"/>
      <c r="K84" s="370"/>
      <c r="L84" s="370"/>
      <c r="M84" s="379"/>
      <c r="N84" s="377"/>
    </row>
    <row r="85" spans="1:14" ht="15" customHeight="1">
      <c r="A85" s="707"/>
      <c r="B85" s="357" t="str">
        <f>Idiomas!D145</f>
        <v>2º GRUPO B</v>
      </c>
      <c r="C85" s="349" t="str">
        <f ca="1">IF(OR(SUM(WORLDCUP!$AN$14:$AN$17)=12,WORLDCUP!$AJ$99=144),WORLDCUP!AL15,B85)</f>
        <v>Canadá</v>
      </c>
      <c r="D85" s="704"/>
      <c r="E85" s="370"/>
      <c r="F85" s="370"/>
      <c r="G85" s="370"/>
      <c r="H85" s="370"/>
      <c r="I85" s="381"/>
      <c r="J85" s="370"/>
      <c r="K85" s="370"/>
      <c r="L85" s="370"/>
      <c r="M85" s="379"/>
      <c r="N85" s="377"/>
    </row>
    <row r="86" spans="1:14" ht="15" customHeight="1">
      <c r="A86" s="707"/>
      <c r="B86" s="357" t="str">
        <f>Idiomas!D146</f>
        <v>3º GRUPO B</v>
      </c>
      <c r="C86" s="349" t="str">
        <f ca="1">IF(OR(SUM(WORLDCUP!$AN$14:$AN$17)=12,WORLDCUP!$AJ$99=144),WORLDCUP!AL16,B86)</f>
        <v>Bosnia y Herzegovina</v>
      </c>
      <c r="D86" s="704"/>
      <c r="E86" s="370"/>
      <c r="F86" s="370"/>
      <c r="G86" s="370"/>
      <c r="H86" s="370"/>
      <c r="I86" s="381"/>
      <c r="J86" s="370"/>
      <c r="K86" s="370"/>
      <c r="L86" s="370"/>
      <c r="M86" s="379"/>
      <c r="N86" s="377"/>
    </row>
    <row r="87" spans="1:14" ht="15" customHeight="1">
      <c r="A87" s="707"/>
      <c r="B87" s="357" t="str">
        <f>Idiomas!D147</f>
        <v>4º GRUPO B</v>
      </c>
      <c r="C87" s="349" t="str">
        <f ca="1">IF(OR(SUM(WORLDCUP!$AN$14:$AN$17)=12,WORLDCUP!$AJ$99=144),WORLDCUP!AL17,B87)</f>
        <v>Catar</v>
      </c>
      <c r="D87" s="704"/>
      <c r="E87" s="370"/>
      <c r="F87" s="370"/>
      <c r="G87" s="370"/>
      <c r="H87" s="370"/>
      <c r="I87" s="381"/>
      <c r="J87" s="370"/>
      <c r="K87" s="370"/>
      <c r="L87" s="370"/>
      <c r="M87" s="379"/>
      <c r="N87" s="377"/>
    </row>
    <row r="88" spans="1:14" ht="15" customHeight="1">
      <c r="A88" s="697" t="s">
        <v>2</v>
      </c>
      <c r="B88" s="359" t="str">
        <f>Idiomas!D148</f>
        <v>1º GRUPO C</v>
      </c>
      <c r="C88" s="349" t="str">
        <f ca="1">IF(OR(SUM(WORLDCUP!$AN$22:$AN$25)=12,WORLDCUP!$AJ$99=144),WORLDCUP!AL22,B88)</f>
        <v>Brasil</v>
      </c>
      <c r="D88" s="704"/>
      <c r="E88" s="370"/>
      <c r="F88" s="370"/>
      <c r="G88" s="370"/>
      <c r="H88" s="370"/>
      <c r="I88" s="381"/>
      <c r="J88" s="370"/>
      <c r="K88" s="370"/>
      <c r="L88" s="370"/>
      <c r="M88" s="379"/>
      <c r="N88" s="377"/>
    </row>
    <row r="89" spans="1:14" ht="15" customHeight="1">
      <c r="A89" s="697"/>
      <c r="B89" s="359" t="str">
        <f>Idiomas!D149</f>
        <v>2º GRUPO C</v>
      </c>
      <c r="C89" s="349" t="str">
        <f ca="1">IF(OR(SUM(WORLDCUP!$AN$22:$AN$25)=12,WORLDCUP!$AJ$99=144),WORLDCUP!AL23,B89)</f>
        <v>Marruecos</v>
      </c>
      <c r="D89" s="704"/>
      <c r="E89" s="370"/>
      <c r="F89" s="370"/>
      <c r="G89" s="370"/>
      <c r="H89" s="370"/>
      <c r="I89" s="381"/>
      <c r="J89" s="370"/>
      <c r="K89" s="370"/>
      <c r="L89" s="370"/>
      <c r="M89" s="379"/>
      <c r="N89" s="377"/>
    </row>
    <row r="90" spans="1:14" ht="15" customHeight="1">
      <c r="A90" s="697"/>
      <c r="B90" s="359" t="str">
        <f>Idiomas!D150</f>
        <v>3º GRUPO C</v>
      </c>
      <c r="C90" s="349" t="str">
        <f ca="1">IF(OR(SUM(WORLDCUP!$AN$22:$AN$25)=12,WORLDCUP!$AJ$99=144),WORLDCUP!AL24,B90)</f>
        <v>Escocia</v>
      </c>
      <c r="D90" s="704"/>
      <c r="E90" s="370"/>
      <c r="F90" s="370"/>
      <c r="G90" s="370"/>
      <c r="H90" s="370"/>
      <c r="I90" s="381"/>
      <c r="J90" s="370"/>
      <c r="K90" s="370"/>
      <c r="L90" s="370"/>
      <c r="M90" s="379"/>
      <c r="N90" s="377"/>
    </row>
    <row r="91" spans="1:14" ht="15" customHeight="1">
      <c r="A91" s="697"/>
      <c r="B91" s="359" t="str">
        <f>Idiomas!D151</f>
        <v>4º GRUPO C</v>
      </c>
      <c r="C91" s="349" t="str">
        <f ca="1">IF(OR(SUM(WORLDCUP!$AN$22:$AN$25)=12,WORLDCUP!$AJ$99=144),WORLDCUP!AL25,B91)</f>
        <v>Haití</v>
      </c>
      <c r="D91" s="704"/>
      <c r="E91" s="370"/>
      <c r="F91" s="370"/>
      <c r="G91" s="370"/>
      <c r="H91" s="370"/>
      <c r="I91" s="381"/>
      <c r="J91" s="370"/>
      <c r="K91" s="370"/>
      <c r="L91" s="370"/>
      <c r="M91" s="379"/>
      <c r="N91" s="377"/>
    </row>
    <row r="92" spans="1:14" ht="15" customHeight="1">
      <c r="A92" s="707" t="s">
        <v>74</v>
      </c>
      <c r="B92" s="357" t="str">
        <f>Idiomas!D152</f>
        <v>1º GRUPO D</v>
      </c>
      <c r="C92" s="349" t="str">
        <f ca="1">IF(OR(SUM(WORLDCUP!$AN$30:$AN$33)=12,WORLDCUP!$AJ$99=144),WORLDCUP!AL30,B92)</f>
        <v>Estados Unidos</v>
      </c>
      <c r="D92" s="704"/>
      <c r="E92" s="370"/>
      <c r="F92" s="370"/>
      <c r="G92" s="370"/>
      <c r="H92" s="370"/>
      <c r="I92" s="381"/>
      <c r="J92" s="370"/>
      <c r="K92" s="370"/>
      <c r="L92" s="370"/>
      <c r="M92" s="379"/>
      <c r="N92" s="377"/>
    </row>
    <row r="93" spans="1:14" ht="15" customHeight="1">
      <c r="A93" s="707"/>
      <c r="B93" s="357" t="str">
        <f>Idiomas!D153</f>
        <v>2º GRUPO D</v>
      </c>
      <c r="C93" s="349" t="str">
        <f ca="1">IF(OR(SUM(WORLDCUP!$AN$30:$AN$33)=12,WORLDCUP!$AJ$99=144),WORLDCUP!AL31,B93)</f>
        <v>Turquía</v>
      </c>
      <c r="D93" s="704"/>
      <c r="E93" s="370"/>
      <c r="F93" s="370"/>
      <c r="G93" s="370"/>
      <c r="H93" s="370"/>
      <c r="I93" s="381"/>
      <c r="J93" s="370"/>
      <c r="K93" s="370"/>
      <c r="L93" s="370"/>
      <c r="M93" s="379"/>
      <c r="N93" s="377"/>
    </row>
    <row r="94" spans="1:14" ht="15" customHeight="1">
      <c r="A94" s="707"/>
      <c r="B94" s="357" t="str">
        <f>Idiomas!D154</f>
        <v>3º GRUPO D</v>
      </c>
      <c r="C94" s="349" t="str">
        <f ca="1">IF(OR(SUM(WORLDCUP!$AN$30:$AN$33)=12,WORLDCUP!$AJ$99=144),WORLDCUP!AL32,B94)</f>
        <v>Paraguay</v>
      </c>
      <c r="D94" s="704"/>
      <c r="E94" s="370"/>
      <c r="F94" s="370"/>
      <c r="G94" s="370"/>
      <c r="H94" s="370"/>
      <c r="I94" s="381"/>
      <c r="J94" s="370"/>
      <c r="K94" s="370"/>
      <c r="L94" s="370"/>
      <c r="M94" s="379"/>
      <c r="N94" s="377"/>
    </row>
    <row r="95" spans="1:14" ht="15" customHeight="1">
      <c r="A95" s="707"/>
      <c r="B95" s="357" t="str">
        <f>Idiomas!D155</f>
        <v>4º GRUPO D</v>
      </c>
      <c r="C95" s="349" t="str">
        <f ca="1">IF(OR(SUM(WORLDCUP!$AN$30:$AN$33)=12,WORLDCUP!$AJ$99=144),WORLDCUP!AL33,B95)</f>
        <v>Australia</v>
      </c>
      <c r="D95" s="704"/>
      <c r="E95" s="370"/>
      <c r="F95" s="370"/>
      <c r="G95" s="370"/>
      <c r="H95" s="370"/>
      <c r="I95" s="381"/>
      <c r="J95" s="370"/>
      <c r="K95" s="370"/>
      <c r="L95" s="370"/>
      <c r="M95" s="379"/>
      <c r="N95" s="377"/>
    </row>
    <row r="96" spans="1:14" ht="15" customHeight="1">
      <c r="A96" s="697" t="s">
        <v>3</v>
      </c>
      <c r="B96" s="359" t="str">
        <f>Idiomas!D156</f>
        <v>1º GRUPO E</v>
      </c>
      <c r="C96" s="349" t="str">
        <f ca="1">IF(OR(SUM(WORLDCUP!$AN$38:$AN$41)=12,WORLDCUP!$AJ$99=144),WORLDCUP!AL38,B96)</f>
        <v>Alemania</v>
      </c>
      <c r="D96" s="704"/>
      <c r="E96" s="370"/>
      <c r="F96" s="370"/>
      <c r="G96" s="370"/>
      <c r="H96" s="370"/>
      <c r="I96" s="381"/>
      <c r="J96" s="370"/>
      <c r="K96" s="370"/>
      <c r="L96" s="370"/>
      <c r="M96" s="379"/>
      <c r="N96" s="377"/>
    </row>
    <row r="97" spans="1:14" ht="15" customHeight="1">
      <c r="A97" s="697"/>
      <c r="B97" s="359" t="str">
        <f>Idiomas!D157</f>
        <v>2º GRUPO E</v>
      </c>
      <c r="C97" s="349" t="str">
        <f ca="1">IF(OR(SUM(WORLDCUP!$AN$38:$AN$41)=12,WORLDCUP!$AJ$99=144),WORLDCUP!AL39,B97)</f>
        <v>Costa de Marfil</v>
      </c>
      <c r="D97" s="704"/>
      <c r="E97" s="370"/>
      <c r="F97" s="370"/>
      <c r="G97" s="370"/>
      <c r="H97" s="370"/>
      <c r="I97" s="381"/>
      <c r="J97" s="370"/>
      <c r="K97" s="370"/>
      <c r="L97" s="370"/>
      <c r="M97" s="379"/>
      <c r="N97" s="377"/>
    </row>
    <row r="98" spans="1:14" ht="15" customHeight="1">
      <c r="A98" s="697"/>
      <c r="B98" s="359" t="str">
        <f>Idiomas!D158</f>
        <v>3º GRUPO E</v>
      </c>
      <c r="C98" s="349" t="str">
        <f ca="1">IF(OR(SUM(WORLDCUP!$AN$38:$AN$41)=12,WORLDCUP!$AJ$99=144),WORLDCUP!AL40,B98)</f>
        <v>Ecuador</v>
      </c>
      <c r="D98" s="704"/>
      <c r="E98" s="370"/>
      <c r="F98" s="370"/>
      <c r="G98" s="370"/>
      <c r="H98" s="370"/>
      <c r="I98" s="381"/>
      <c r="J98" s="370"/>
      <c r="K98" s="370"/>
      <c r="L98" s="370"/>
      <c r="M98" s="379"/>
      <c r="N98" s="377"/>
    </row>
    <row r="99" spans="1:14" ht="15" customHeight="1">
      <c r="A99" s="697"/>
      <c r="B99" s="359" t="str">
        <f>Idiomas!D159</f>
        <v>4º GRUPO E</v>
      </c>
      <c r="C99" s="349" t="str">
        <f ca="1">IF(OR(SUM(WORLDCUP!$AN$38:$AN$41)=12,WORLDCUP!$AJ$99=144),WORLDCUP!AL41,B99)</f>
        <v>Curazao</v>
      </c>
      <c r="D99" s="704"/>
      <c r="E99" s="370"/>
      <c r="F99" s="370"/>
      <c r="G99" s="370"/>
      <c r="H99" s="370"/>
      <c r="I99" s="381"/>
      <c r="J99" s="370"/>
      <c r="K99" s="370"/>
      <c r="L99" s="370"/>
      <c r="M99" s="379"/>
      <c r="N99" s="377"/>
    </row>
    <row r="100" spans="1:14" ht="15" customHeight="1">
      <c r="A100" s="707" t="s">
        <v>4</v>
      </c>
      <c r="B100" s="357" t="str">
        <f>Idiomas!D160</f>
        <v>1º GRUPO F</v>
      </c>
      <c r="C100" s="349" t="str">
        <f ca="1">IF(OR(SUM(WORLDCUP!$AN$46:$AN$49)=12,WORLDCUP!$AJ$99=144),WORLDCUP!AL46,B100)</f>
        <v>Países Bajos</v>
      </c>
      <c r="D100" s="704"/>
      <c r="E100" s="370"/>
      <c r="F100" s="370"/>
      <c r="G100" s="370"/>
      <c r="H100" s="370"/>
      <c r="I100" s="381"/>
      <c r="J100" s="370"/>
      <c r="K100" s="370"/>
      <c r="L100" s="370"/>
      <c r="M100" s="379"/>
      <c r="N100" s="377"/>
    </row>
    <row r="101" spans="1:14" ht="15" customHeight="1">
      <c r="A101" s="707"/>
      <c r="B101" s="357" t="str">
        <f>Idiomas!D161</f>
        <v>2º GRUPO F</v>
      </c>
      <c r="C101" s="349" t="str">
        <f ca="1">IF(OR(SUM(WORLDCUP!$AN$46:$AN$49)=12,WORLDCUP!$AJ$99=144),WORLDCUP!AL47,B101)</f>
        <v>Japón</v>
      </c>
      <c r="D101" s="704"/>
      <c r="E101" s="370"/>
      <c r="F101" s="370"/>
      <c r="G101" s="370"/>
      <c r="H101" s="370"/>
      <c r="I101" s="381"/>
      <c r="J101" s="370"/>
      <c r="K101" s="370"/>
      <c r="L101" s="370"/>
      <c r="M101" s="379"/>
      <c r="N101" s="377"/>
    </row>
    <row r="102" spans="1:14" ht="15" customHeight="1">
      <c r="A102" s="707"/>
      <c r="B102" s="357" t="str">
        <f>Idiomas!D162</f>
        <v>3º GRUPO F</v>
      </c>
      <c r="C102" s="349" t="str">
        <f ca="1">IF(OR(SUM(WORLDCUP!$AN$46:$AN$49)=12,WORLDCUP!$AJ$99=144),WORLDCUP!AL48,B102)</f>
        <v>Suecia</v>
      </c>
      <c r="D102" s="704"/>
      <c r="E102" s="370"/>
      <c r="F102" s="370"/>
      <c r="G102" s="370"/>
      <c r="H102" s="370"/>
      <c r="I102" s="381"/>
      <c r="J102" s="370"/>
      <c r="K102" s="370"/>
      <c r="L102" s="370"/>
      <c r="M102" s="379"/>
      <c r="N102" s="377"/>
    </row>
    <row r="103" spans="1:14" ht="15" customHeight="1">
      <c r="A103" s="707"/>
      <c r="B103" s="357" t="str">
        <f>Idiomas!D163</f>
        <v>4º GRUPO F</v>
      </c>
      <c r="C103" s="349" t="str">
        <f ca="1">IF(OR(SUM(WORLDCUP!$AN$46:$AN$49)=12,WORLDCUP!$AJ$99=144),WORLDCUP!AL49,B103)</f>
        <v>Túnez</v>
      </c>
      <c r="D103" s="704"/>
      <c r="E103" s="370"/>
      <c r="F103" s="370"/>
      <c r="G103" s="370"/>
      <c r="H103" s="370"/>
      <c r="I103" s="381"/>
      <c r="J103" s="370"/>
      <c r="K103" s="370"/>
      <c r="L103" s="370"/>
      <c r="M103" s="379"/>
      <c r="N103" s="377"/>
    </row>
    <row r="104" spans="1:14" ht="15" customHeight="1">
      <c r="A104" s="697" t="s">
        <v>6</v>
      </c>
      <c r="B104" s="359" t="str">
        <f>Idiomas!D164</f>
        <v>1º GRUPO G</v>
      </c>
      <c r="C104" s="349" t="str">
        <f ca="1">IF(OR(SUM(WORLDCUP!$AN$54:$AN$57)=12,WORLDCUP!$AJ$99=144),WORLDCUP!AL54,B104)</f>
        <v>Bélgica</v>
      </c>
      <c r="D104" s="704"/>
      <c r="E104" s="370"/>
      <c r="F104" s="370"/>
      <c r="G104" s="370"/>
      <c r="H104" s="370"/>
      <c r="I104" s="381"/>
      <c r="J104" s="370"/>
      <c r="K104" s="370"/>
      <c r="L104" s="370"/>
      <c r="M104" s="379"/>
      <c r="N104" s="377"/>
    </row>
    <row r="105" spans="1:14" ht="15" customHeight="1">
      <c r="A105" s="697"/>
      <c r="B105" s="359" t="str">
        <f>Idiomas!D165</f>
        <v>2º GRUPO G</v>
      </c>
      <c r="C105" s="349" t="str">
        <f ca="1">IF(OR(SUM(WORLDCUP!$AN$54:$AN$57)=12,WORLDCUP!$AJ$99=144),WORLDCUP!AL55,B105)</f>
        <v>Egipto</v>
      </c>
      <c r="D105" s="704"/>
      <c r="E105" s="370"/>
      <c r="F105" s="370"/>
      <c r="G105" s="370"/>
      <c r="H105" s="370"/>
      <c r="I105" s="381"/>
      <c r="J105" s="370"/>
      <c r="K105" s="370"/>
      <c r="L105" s="370"/>
      <c r="M105" s="379"/>
      <c r="N105" s="377"/>
    </row>
    <row r="106" spans="1:14" ht="15" customHeight="1">
      <c r="A106" s="697"/>
      <c r="B106" s="359" t="str">
        <f>Idiomas!D166</f>
        <v>3º GRUPO G</v>
      </c>
      <c r="C106" s="349" t="str">
        <f ca="1">IF(OR(SUM(WORLDCUP!$AN$54:$AN$57)=12,WORLDCUP!$AJ$99=144),WORLDCUP!AL56,B106)</f>
        <v>Irán</v>
      </c>
      <c r="D106" s="704"/>
      <c r="E106" s="370"/>
      <c r="F106" s="370"/>
      <c r="G106" s="370"/>
      <c r="H106" s="370"/>
      <c r="I106" s="381"/>
      <c r="J106" s="370"/>
      <c r="K106" s="370"/>
      <c r="L106" s="370"/>
      <c r="M106" s="379"/>
      <c r="N106" s="377"/>
    </row>
    <row r="107" spans="1:14" ht="15" customHeight="1">
      <c r="A107" s="697"/>
      <c r="B107" s="359" t="str">
        <f>Idiomas!D167</f>
        <v>4º GRUPO G</v>
      </c>
      <c r="C107" s="349" t="str">
        <f ca="1">IF(OR(SUM(WORLDCUP!$AN$54:$AN$57)=12,WORLDCUP!$AJ$99=144),WORLDCUP!AL57,B107)</f>
        <v>Nueva Zelanda</v>
      </c>
      <c r="D107" s="704"/>
      <c r="E107" s="370"/>
      <c r="F107" s="370"/>
      <c r="G107" s="370"/>
      <c r="H107" s="370"/>
      <c r="I107" s="381"/>
      <c r="J107" s="370"/>
      <c r="K107" s="370"/>
      <c r="L107" s="370"/>
      <c r="M107" s="379"/>
      <c r="N107" s="377"/>
    </row>
    <row r="108" spans="1:14" ht="15" customHeight="1">
      <c r="A108" s="707" t="s">
        <v>447</v>
      </c>
      <c r="B108" s="357" t="str">
        <f>Idiomas!D168</f>
        <v>1º GRUPO H</v>
      </c>
      <c r="C108" s="349" t="str">
        <f ca="1">IF(OR(SUM(WORLDCUP!$AN$62:$AN$65)=12,WORLDCUP!$AJ$99=144),WORLDCUP!AL62,B108)</f>
        <v>España</v>
      </c>
      <c r="D108" s="704"/>
      <c r="E108" s="370"/>
      <c r="F108" s="370"/>
      <c r="G108" s="370"/>
      <c r="H108" s="370"/>
      <c r="I108" s="381"/>
      <c r="J108" s="370"/>
      <c r="K108" s="370"/>
      <c r="L108" s="370"/>
      <c r="M108" s="379"/>
      <c r="N108" s="377"/>
    </row>
    <row r="109" spans="1:14" ht="15" customHeight="1">
      <c r="A109" s="707"/>
      <c r="B109" s="357" t="str">
        <f>Idiomas!D169</f>
        <v>2º GRUPO H</v>
      </c>
      <c r="C109" s="349" t="str">
        <f ca="1">IF(OR(SUM(WORLDCUP!$AN$62:$AN$65)=12,WORLDCUP!$AJ$99=144),WORLDCUP!AL63,B109)</f>
        <v>Uruguay</v>
      </c>
      <c r="D109" s="704"/>
      <c r="E109" s="370"/>
      <c r="F109" s="370"/>
      <c r="G109" s="370"/>
      <c r="H109" s="370"/>
      <c r="I109" s="381"/>
      <c r="J109" s="370"/>
      <c r="K109" s="370"/>
      <c r="L109" s="370"/>
      <c r="M109" s="379"/>
      <c r="N109" s="377"/>
    </row>
    <row r="110" spans="1:14" ht="15" customHeight="1">
      <c r="A110" s="707"/>
      <c r="B110" s="357" t="str">
        <f>Idiomas!D170</f>
        <v>3º GRUPO H</v>
      </c>
      <c r="C110" s="349" t="str">
        <f ca="1">IF(OR(SUM(WORLDCUP!$AN$62:$AN$65)=12,WORLDCUP!$AJ$99=144),WORLDCUP!AL64,B110)</f>
        <v>Arabia Saudita</v>
      </c>
      <c r="D110" s="704"/>
      <c r="E110" s="370"/>
      <c r="F110" s="370"/>
      <c r="G110" s="370"/>
      <c r="H110" s="370"/>
      <c r="I110" s="381"/>
      <c r="J110" s="370"/>
      <c r="K110" s="370"/>
      <c r="L110" s="370"/>
      <c r="M110" s="379"/>
      <c r="N110" s="377"/>
    </row>
    <row r="111" spans="1:14" ht="15" customHeight="1">
      <c r="A111" s="707"/>
      <c r="B111" s="357" t="str">
        <f>Idiomas!D171</f>
        <v>4º GRUPO H</v>
      </c>
      <c r="C111" s="349" t="str">
        <f ca="1">IF(OR(SUM(WORLDCUP!$AN$62:$AN$65)=12,WORLDCUP!$AJ$99=144),WORLDCUP!AL65,B111)</f>
        <v>Cabo Verde</v>
      </c>
      <c r="D111" s="704"/>
      <c r="E111" s="370"/>
      <c r="F111" s="370"/>
      <c r="G111" s="370"/>
      <c r="H111" s="370"/>
      <c r="I111" s="381"/>
      <c r="J111" s="370"/>
      <c r="K111" s="370"/>
      <c r="L111" s="370"/>
      <c r="M111" s="379"/>
      <c r="N111" s="377"/>
    </row>
    <row r="112" spans="1:14" ht="15" customHeight="1">
      <c r="A112" s="697" t="s">
        <v>448</v>
      </c>
      <c r="B112" s="359" t="str">
        <f>Idiomas!D172</f>
        <v>1º GRUPO I</v>
      </c>
      <c r="C112" s="349" t="str">
        <f ca="1">IF(OR(SUM(WORLDCUP!$AN$70:$AN$73)=12,WORLDCUP!$AJ$99=144),WORLDCUP!AL70,B112)</f>
        <v>Francia</v>
      </c>
      <c r="D112" s="704"/>
      <c r="E112" s="370"/>
      <c r="F112" s="370"/>
      <c r="G112" s="370"/>
      <c r="H112" s="370"/>
      <c r="I112" s="381"/>
      <c r="J112" s="370"/>
      <c r="K112" s="370"/>
      <c r="L112" s="370"/>
      <c r="M112" s="379"/>
      <c r="N112" s="377"/>
    </row>
    <row r="113" spans="1:14" ht="15" customHeight="1">
      <c r="A113" s="697"/>
      <c r="B113" s="359" t="str">
        <f>Idiomas!D173</f>
        <v>2º GRUPO I</v>
      </c>
      <c r="C113" s="349" t="str">
        <f ca="1">IF(OR(SUM(WORLDCUP!$AN$70:$AN$73)=12,WORLDCUP!$AJ$99=144),WORLDCUP!AL71,B113)</f>
        <v>Noruega</v>
      </c>
      <c r="D113" s="704"/>
      <c r="E113" s="370"/>
      <c r="F113" s="370"/>
      <c r="G113" s="370"/>
      <c r="H113" s="370"/>
      <c r="I113" s="381"/>
      <c r="J113" s="370"/>
      <c r="K113" s="370"/>
      <c r="L113" s="370"/>
      <c r="M113" s="379"/>
      <c r="N113" s="377"/>
    </row>
    <row r="114" spans="1:14" ht="15" customHeight="1">
      <c r="A114" s="697"/>
      <c r="B114" s="359" t="str">
        <f>Idiomas!D174</f>
        <v>3º GRUPO I</v>
      </c>
      <c r="C114" s="349" t="str">
        <f ca="1">IF(OR(SUM(WORLDCUP!$AN$70:$AN$73)=12,WORLDCUP!$AJ$99=144),WORLDCUP!AL72,B114)</f>
        <v>Senegal</v>
      </c>
      <c r="D114" s="704"/>
      <c r="E114" s="370"/>
      <c r="F114" s="370"/>
      <c r="G114" s="370"/>
      <c r="H114" s="370"/>
      <c r="I114" s="381"/>
      <c r="J114" s="370"/>
      <c r="K114" s="370"/>
      <c r="L114" s="370"/>
      <c r="M114" s="379"/>
      <c r="N114" s="377"/>
    </row>
    <row r="115" spans="1:14" ht="15" customHeight="1">
      <c r="A115" s="697"/>
      <c r="B115" s="359" t="str">
        <f>Idiomas!D175</f>
        <v>4º GRUPO I</v>
      </c>
      <c r="C115" s="349" t="str">
        <f ca="1">IF(OR(SUM(WORLDCUP!$AN$70:$AN$73)=12,WORLDCUP!$AJ$99=144),WORLDCUP!AL73,B115)</f>
        <v>Irak</v>
      </c>
      <c r="D115" s="704"/>
      <c r="E115" s="370"/>
      <c r="F115" s="370"/>
      <c r="G115" s="370"/>
      <c r="H115" s="370"/>
      <c r="I115" s="381"/>
      <c r="J115" s="370"/>
      <c r="K115" s="370"/>
      <c r="L115" s="370"/>
      <c r="M115" s="379"/>
      <c r="N115" s="377"/>
    </row>
    <row r="116" spans="1:14" ht="15" customHeight="1">
      <c r="A116" s="707" t="s">
        <v>5</v>
      </c>
      <c r="B116" s="357" t="str">
        <f>Idiomas!D176</f>
        <v>1º GRUPO J</v>
      </c>
      <c r="C116" s="349" t="str">
        <f ca="1">IF(OR(SUM(WORLDCUP!$AN$78:$AN$81)=12,WORLDCUP!$AJ$99=144),WORLDCUP!AL78,B116)</f>
        <v>Argentina</v>
      </c>
      <c r="D116" s="704"/>
      <c r="E116" s="370"/>
      <c r="F116" s="370"/>
      <c r="G116" s="370"/>
      <c r="H116" s="370"/>
      <c r="I116" s="381"/>
      <c r="J116" s="370"/>
      <c r="K116" s="370"/>
      <c r="L116" s="370"/>
      <c r="M116" s="379"/>
      <c r="N116" s="377"/>
    </row>
    <row r="117" spans="1:14" ht="15" customHeight="1">
      <c r="A117" s="707"/>
      <c r="B117" s="357" t="str">
        <f>Idiomas!D177</f>
        <v>2º GRUPO J</v>
      </c>
      <c r="C117" s="349" t="str">
        <f ca="1">IF(OR(SUM(WORLDCUP!$AN$78:$AN$81)=12,WORLDCUP!$AJ$99=144),WORLDCUP!AL79,B117)</f>
        <v>Argelia</v>
      </c>
      <c r="D117" s="704"/>
      <c r="E117" s="370"/>
      <c r="F117" s="370"/>
      <c r="G117" s="370"/>
      <c r="H117" s="370"/>
      <c r="I117" s="381"/>
      <c r="J117" s="370"/>
      <c r="K117" s="370"/>
      <c r="L117" s="370"/>
      <c r="M117" s="379"/>
      <c r="N117" s="377"/>
    </row>
    <row r="118" spans="1:14" ht="15" customHeight="1">
      <c r="A118" s="707"/>
      <c r="B118" s="357" t="str">
        <f>Idiomas!D178</f>
        <v>3º GRUPO J</v>
      </c>
      <c r="C118" s="349" t="str">
        <f ca="1">IF(OR(SUM(WORLDCUP!$AN$78:$AN$81)=12,WORLDCUP!$AJ$99=144),WORLDCUP!AL80,B118)</f>
        <v>Austria</v>
      </c>
      <c r="D118" s="704"/>
      <c r="E118" s="370"/>
      <c r="F118" s="370"/>
      <c r="G118" s="370"/>
      <c r="H118" s="370"/>
      <c r="I118" s="381"/>
      <c r="J118" s="370"/>
      <c r="K118" s="370"/>
      <c r="L118" s="370"/>
      <c r="M118" s="379"/>
      <c r="N118" s="377"/>
    </row>
    <row r="119" spans="1:14" ht="15" customHeight="1">
      <c r="A119" s="707"/>
      <c r="B119" s="357" t="str">
        <f>Idiomas!D179</f>
        <v>4º GRUPO J</v>
      </c>
      <c r="C119" s="349" t="str">
        <f ca="1">IF(OR(SUM(WORLDCUP!$AN$78:$AN$81)=12,WORLDCUP!$AJ$99=144),WORLDCUP!AL81,B119)</f>
        <v>Jordania</v>
      </c>
      <c r="D119" s="704"/>
      <c r="E119" s="370"/>
      <c r="F119" s="370"/>
      <c r="G119" s="370"/>
      <c r="H119" s="370"/>
      <c r="I119" s="381"/>
      <c r="J119" s="370"/>
      <c r="K119" s="370"/>
      <c r="L119" s="370"/>
      <c r="M119" s="379"/>
      <c r="N119" s="377"/>
    </row>
    <row r="120" spans="1:14" ht="15" customHeight="1">
      <c r="A120" s="697" t="s">
        <v>449</v>
      </c>
      <c r="B120" s="359" t="str">
        <f>Idiomas!D180</f>
        <v>1º GRUPO K</v>
      </c>
      <c r="C120" s="349" t="str">
        <f ca="1">IF(OR(SUM(WORLDCUP!$AN$86:$AN$89)=12,WORLDCUP!$AJ$99=144),WORLDCUP!AL86,B120)</f>
        <v>Portugal</v>
      </c>
      <c r="D120" s="704"/>
      <c r="E120" s="370"/>
      <c r="F120" s="370"/>
      <c r="G120" s="370"/>
      <c r="H120" s="370"/>
      <c r="I120" s="381"/>
      <c r="J120" s="370"/>
      <c r="K120" s="370"/>
      <c r="L120" s="370"/>
      <c r="M120" s="379"/>
      <c r="N120" s="377"/>
    </row>
    <row r="121" spans="1:14" ht="15" customHeight="1">
      <c r="A121" s="697"/>
      <c r="B121" s="359" t="str">
        <f>Idiomas!D181</f>
        <v>2º GRUPO K</v>
      </c>
      <c r="C121" s="349" t="str">
        <f ca="1">IF(OR(SUM(WORLDCUP!$AN$86:$AN$89)=12,WORLDCUP!$AJ$99=144),WORLDCUP!AL87,B121)</f>
        <v>Colombia</v>
      </c>
      <c r="D121" s="704"/>
      <c r="E121" s="370"/>
      <c r="F121" s="370"/>
      <c r="G121" s="370"/>
      <c r="H121" s="370"/>
      <c r="I121" s="381"/>
      <c r="J121" s="370"/>
      <c r="K121" s="370"/>
      <c r="L121" s="370"/>
      <c r="M121" s="379"/>
      <c r="N121" s="377"/>
    </row>
    <row r="122" spans="1:14" ht="15" customHeight="1">
      <c r="A122" s="697"/>
      <c r="B122" s="359" t="str">
        <f>Idiomas!D182</f>
        <v>3º GRUPO K</v>
      </c>
      <c r="C122" s="349" t="str">
        <f ca="1">IF(OR(SUM(WORLDCUP!$AN$86:$AN$89)=12,WORLDCUP!$AJ$99=144),WORLDCUP!AL88,B122)</f>
        <v>RD Congo</v>
      </c>
      <c r="D122" s="704"/>
      <c r="E122" s="370"/>
      <c r="F122" s="370"/>
      <c r="G122" s="370"/>
      <c r="H122" s="370"/>
      <c r="I122" s="381"/>
      <c r="J122" s="370"/>
      <c r="K122" s="370"/>
      <c r="L122" s="370"/>
      <c r="M122" s="379"/>
      <c r="N122" s="377"/>
    </row>
    <row r="123" spans="1:14" ht="15" customHeight="1">
      <c r="A123" s="697"/>
      <c r="B123" s="359" t="str">
        <f>Idiomas!D183</f>
        <v>4º GRUPO K</v>
      </c>
      <c r="C123" s="349" t="str">
        <f ca="1">IF(OR(SUM(WORLDCUP!$AN$86:$AN$89)=12,WORLDCUP!$AJ$99=144),WORLDCUP!AL89,B123)</f>
        <v>Uzbekistán</v>
      </c>
      <c r="D123" s="704"/>
      <c r="E123" s="370"/>
      <c r="F123" s="370"/>
      <c r="G123" s="370"/>
      <c r="H123" s="370"/>
      <c r="I123" s="381"/>
      <c r="J123" s="370"/>
      <c r="K123" s="370"/>
      <c r="L123" s="370"/>
      <c r="M123" s="379"/>
      <c r="N123" s="377"/>
    </row>
    <row r="124" spans="1:14" ht="15" customHeight="1">
      <c r="A124" s="707" t="s">
        <v>247</v>
      </c>
      <c r="B124" s="357" t="str">
        <f>Idiomas!D184</f>
        <v>1º GRUPO L</v>
      </c>
      <c r="C124" s="349" t="str">
        <f ca="1">IF(OR(SUM(WORLDCUP!$AN$94:$AN$97)=12,WORLDCUP!$AJ$99=144),WORLDCUP!AL94,B124)</f>
        <v>Inglaterra</v>
      </c>
      <c r="D124" s="704"/>
      <c r="E124" s="370"/>
      <c r="F124" s="370"/>
      <c r="G124" s="370"/>
      <c r="H124" s="370"/>
      <c r="I124" s="381"/>
      <c r="J124" s="370"/>
      <c r="K124" s="370"/>
      <c r="L124" s="370"/>
      <c r="M124" s="379"/>
      <c r="N124" s="377"/>
    </row>
    <row r="125" spans="1:14" ht="15" customHeight="1">
      <c r="A125" s="707"/>
      <c r="B125" s="357" t="str">
        <f>Idiomas!D185</f>
        <v>2º GRUPO L</v>
      </c>
      <c r="C125" s="349" t="str">
        <f ca="1">IF(OR(SUM(WORLDCUP!$AN$94:$AN$97)=12,WORLDCUP!$AJ$99=144),WORLDCUP!AL95,B125)</f>
        <v>Croacia</v>
      </c>
      <c r="D125" s="704"/>
      <c r="E125" s="370"/>
      <c r="F125" s="370"/>
      <c r="G125" s="370"/>
      <c r="H125" s="370"/>
      <c r="I125" s="381"/>
      <c r="J125" s="370"/>
      <c r="K125" s="370"/>
      <c r="L125" s="370"/>
      <c r="M125" s="379"/>
      <c r="N125" s="377"/>
    </row>
    <row r="126" spans="1:14" ht="15" customHeight="1">
      <c r="A126" s="707"/>
      <c r="B126" s="357" t="str">
        <f>Idiomas!D186</f>
        <v>3º GRUPO L</v>
      </c>
      <c r="C126" s="349" t="str">
        <f ca="1">IF(OR(SUM(WORLDCUP!$AN$94:$AN$97)=12,WORLDCUP!$AJ$99=144),WORLDCUP!AL96,B126)</f>
        <v>Ghana</v>
      </c>
      <c r="D126" s="704"/>
      <c r="E126" s="370"/>
      <c r="F126" s="370"/>
      <c r="G126" s="370"/>
      <c r="H126" s="370"/>
      <c r="I126" s="381"/>
      <c r="J126" s="370"/>
      <c r="K126" s="370"/>
      <c r="L126" s="370"/>
      <c r="M126" s="379"/>
      <c r="N126" s="377"/>
    </row>
    <row r="127" spans="1:14" ht="15" customHeight="1">
      <c r="A127" s="707"/>
      <c r="B127" s="357" t="str">
        <f>Idiomas!D187</f>
        <v>4º GRUPO L</v>
      </c>
      <c r="C127" s="349" t="str">
        <f ca="1">IF(OR(SUM(WORLDCUP!$AN$94:$AN$97)=12,WORLDCUP!$AJ$99=144),WORLDCUP!AL97,B127)</f>
        <v>Panamá</v>
      </c>
      <c r="D127" s="704"/>
      <c r="E127" s="370"/>
      <c r="F127" s="370"/>
      <c r="G127" s="370"/>
      <c r="H127" s="370"/>
      <c r="I127" s="381"/>
      <c r="J127" s="370"/>
      <c r="K127" s="370"/>
      <c r="L127" s="370"/>
      <c r="M127" s="379"/>
      <c r="N127" s="377"/>
    </row>
    <row r="128" spans="1:14" ht="15" customHeight="1">
      <c r="A128" s="353"/>
      <c r="B128" s="353"/>
      <c r="C128" s="350"/>
      <c r="D128" s="704"/>
      <c r="E128" s="370"/>
      <c r="F128" s="370"/>
      <c r="G128" s="370"/>
      <c r="H128" s="370"/>
      <c r="I128" s="381"/>
      <c r="J128" s="370"/>
      <c r="K128" s="370"/>
      <c r="L128" s="370"/>
      <c r="M128" s="379"/>
      <c r="N128" s="377"/>
    </row>
    <row r="129" spans="1:14" ht="19" customHeight="1">
      <c r="A129" s="353"/>
      <c r="B129" s="358" t="str">
        <f>Idiomas!D127</f>
        <v>CLASIFICADOS PARA DIECISEISAVOS</v>
      </c>
      <c r="C129" s="350"/>
      <c r="D129" s="704"/>
      <c r="E129" s="370"/>
      <c r="F129" s="370"/>
      <c r="G129" s="370"/>
      <c r="H129" s="370"/>
      <c r="I129" s="381"/>
      <c r="J129" s="370"/>
      <c r="K129" s="370"/>
      <c r="L129" s="370"/>
      <c r="M129" s="379"/>
      <c r="N129" s="377"/>
    </row>
    <row r="130" spans="1:14" ht="15" customHeight="1">
      <c r="A130" s="703" t="s">
        <v>493</v>
      </c>
      <c r="B130" s="360" t="str">
        <f>Idiomas!$D$188</f>
        <v>Dieciseisavofinalista</v>
      </c>
      <c r="C130" s="349" t="str">
        <f ca="1">WORLDCUP!AA101</f>
        <v>Corea del Sur</v>
      </c>
      <c r="D130" s="704"/>
      <c r="E130" s="370"/>
      <c r="F130" s="370"/>
      <c r="G130" s="370"/>
      <c r="H130" s="370"/>
      <c r="I130" s="381"/>
      <c r="J130" s="370"/>
      <c r="K130" s="370"/>
      <c r="L130" s="370"/>
      <c r="M130" s="379"/>
      <c r="N130" s="377"/>
    </row>
    <row r="131" spans="1:14" ht="15" customHeight="1">
      <c r="A131" s="703"/>
      <c r="B131" s="360" t="str">
        <f>B130</f>
        <v>Dieciseisavofinalista</v>
      </c>
      <c r="C131" s="349" t="str">
        <f ca="1">WORLDCUP!AA102</f>
        <v>Brasil</v>
      </c>
      <c r="D131" s="704"/>
      <c r="E131" s="370"/>
      <c r="F131" s="370"/>
      <c r="G131" s="370"/>
      <c r="H131" s="370"/>
      <c r="I131" s="381"/>
      <c r="J131" s="370"/>
      <c r="K131" s="370"/>
      <c r="L131" s="370"/>
      <c r="M131" s="379"/>
      <c r="N131" s="377"/>
    </row>
    <row r="132" spans="1:14" ht="15" customHeight="1">
      <c r="A132" s="703"/>
      <c r="B132" s="360" t="str">
        <f t="shared" ref="B132:B145" si="0">B131</f>
        <v>Dieciseisavofinalista</v>
      </c>
      <c r="C132" s="349" t="str">
        <f ca="1">WORLDCUP!AA103</f>
        <v>Alemania</v>
      </c>
      <c r="D132" s="704"/>
      <c r="E132" s="370"/>
      <c r="F132" s="370"/>
      <c r="G132" s="370"/>
      <c r="H132" s="370"/>
      <c r="I132" s="381"/>
      <c r="J132" s="370"/>
      <c r="K132" s="370"/>
      <c r="L132" s="370"/>
      <c r="M132" s="379"/>
      <c r="N132" s="377"/>
    </row>
    <row r="133" spans="1:14" ht="15" customHeight="1">
      <c r="A133" s="703"/>
      <c r="B133" s="360" t="str">
        <f t="shared" si="0"/>
        <v>Dieciseisavofinalista</v>
      </c>
      <c r="C133" s="349" t="str">
        <f ca="1">WORLDCUP!AA104</f>
        <v>Países Bajos</v>
      </c>
      <c r="D133" s="704"/>
      <c r="E133" s="370"/>
      <c r="F133" s="370"/>
      <c r="G133" s="370"/>
      <c r="H133" s="370"/>
      <c r="I133" s="381"/>
      <c r="J133" s="370"/>
      <c r="K133" s="370"/>
      <c r="L133" s="370"/>
      <c r="M133" s="379"/>
      <c r="N133" s="377"/>
    </row>
    <row r="134" spans="1:14" ht="15" customHeight="1">
      <c r="A134" s="703"/>
      <c r="B134" s="360" t="str">
        <f t="shared" si="0"/>
        <v>Dieciseisavofinalista</v>
      </c>
      <c r="C134" s="349" t="str">
        <f ca="1">WORLDCUP!AA105</f>
        <v>Costa de Marfil</v>
      </c>
      <c r="D134" s="704"/>
      <c r="E134" s="370"/>
      <c r="F134" s="370"/>
      <c r="G134" s="370"/>
      <c r="H134" s="370"/>
      <c r="I134" s="381"/>
      <c r="J134" s="370"/>
      <c r="K134" s="370"/>
      <c r="L134" s="370"/>
      <c r="M134" s="379"/>
      <c r="N134" s="377"/>
    </row>
    <row r="135" spans="1:14" ht="15" customHeight="1">
      <c r="A135" s="703"/>
      <c r="B135" s="360" t="str">
        <f t="shared" si="0"/>
        <v>Dieciseisavofinalista</v>
      </c>
      <c r="C135" s="349" t="str">
        <f ca="1">WORLDCUP!AA106</f>
        <v>Francia</v>
      </c>
      <c r="D135" s="704"/>
      <c r="E135" s="370"/>
      <c r="F135" s="370"/>
      <c r="G135" s="370"/>
      <c r="H135" s="370"/>
      <c r="I135" s="381"/>
      <c r="J135" s="370"/>
      <c r="K135" s="370"/>
      <c r="L135" s="370"/>
      <c r="M135" s="379"/>
      <c r="N135" s="377"/>
    </row>
    <row r="136" spans="1:14" ht="15" customHeight="1">
      <c r="A136" s="703"/>
      <c r="B136" s="360" t="str">
        <f t="shared" si="0"/>
        <v>Dieciseisavofinalista</v>
      </c>
      <c r="C136" s="349" t="str">
        <f ca="1">WORLDCUP!AA107</f>
        <v>México</v>
      </c>
      <c r="D136" s="704"/>
      <c r="E136" s="370"/>
      <c r="F136" s="370"/>
      <c r="G136" s="370"/>
      <c r="H136" s="370"/>
      <c r="I136" s="381"/>
      <c r="J136" s="370"/>
      <c r="K136" s="370"/>
      <c r="L136" s="370"/>
      <c r="M136" s="379"/>
      <c r="N136" s="377"/>
    </row>
    <row r="137" spans="1:14" ht="15" customHeight="1">
      <c r="A137" s="703"/>
      <c r="B137" s="360" t="str">
        <f t="shared" si="0"/>
        <v>Dieciseisavofinalista</v>
      </c>
      <c r="C137" s="349" t="str">
        <f ca="1">WORLDCUP!AA108</f>
        <v>Inglaterra</v>
      </c>
      <c r="D137" s="704"/>
      <c r="E137" s="370"/>
      <c r="F137" s="370"/>
      <c r="G137" s="370"/>
      <c r="H137" s="370"/>
      <c r="I137" s="381"/>
      <c r="J137" s="370"/>
      <c r="K137" s="370"/>
      <c r="L137" s="370"/>
      <c r="M137" s="379"/>
      <c r="N137" s="377"/>
    </row>
    <row r="138" spans="1:14" ht="15" customHeight="1">
      <c r="A138" s="703"/>
      <c r="B138" s="360" t="str">
        <f t="shared" si="0"/>
        <v>Dieciseisavofinalista</v>
      </c>
      <c r="C138" s="349" t="str">
        <f ca="1">WORLDCUP!AA109</f>
        <v>Bélgica</v>
      </c>
      <c r="D138" s="704"/>
      <c r="E138" s="370"/>
      <c r="F138" s="370"/>
      <c r="G138" s="370"/>
      <c r="H138" s="370"/>
      <c r="I138" s="381"/>
      <c r="J138" s="370"/>
      <c r="K138" s="370"/>
      <c r="L138" s="370"/>
      <c r="M138" s="379"/>
      <c r="N138" s="377"/>
    </row>
    <row r="139" spans="1:14" ht="15" customHeight="1">
      <c r="A139" s="703"/>
      <c r="B139" s="360" t="str">
        <f t="shared" si="0"/>
        <v>Dieciseisavofinalista</v>
      </c>
      <c r="C139" s="349" t="str">
        <f ca="1">WORLDCUP!AA110</f>
        <v>Estados Unidos</v>
      </c>
      <c r="D139" s="704"/>
      <c r="E139" s="370"/>
      <c r="F139" s="370"/>
      <c r="G139" s="370"/>
      <c r="H139" s="370"/>
      <c r="I139" s="381"/>
      <c r="J139" s="370"/>
      <c r="K139" s="370"/>
      <c r="L139" s="370"/>
      <c r="M139" s="379"/>
      <c r="N139" s="377"/>
    </row>
    <row r="140" spans="1:14" ht="15" customHeight="1">
      <c r="A140" s="703"/>
      <c r="B140" s="360" t="str">
        <f t="shared" si="0"/>
        <v>Dieciseisavofinalista</v>
      </c>
      <c r="C140" s="349" t="str">
        <f ca="1">WORLDCUP!AA111</f>
        <v>España</v>
      </c>
      <c r="D140" s="704"/>
      <c r="E140" s="370"/>
      <c r="F140" s="370"/>
      <c r="G140" s="370"/>
      <c r="H140" s="370"/>
      <c r="I140" s="381"/>
      <c r="J140" s="370"/>
      <c r="K140" s="370"/>
      <c r="L140" s="370"/>
      <c r="M140" s="379"/>
      <c r="N140" s="377"/>
    </row>
    <row r="141" spans="1:14" ht="15" customHeight="1">
      <c r="A141" s="703"/>
      <c r="B141" s="360" t="str">
        <f t="shared" si="0"/>
        <v>Dieciseisavofinalista</v>
      </c>
      <c r="C141" s="349" t="str">
        <f ca="1">WORLDCUP!AA112</f>
        <v>Colombia</v>
      </c>
      <c r="D141" s="704"/>
      <c r="E141" s="370"/>
      <c r="F141" s="370"/>
      <c r="G141" s="370"/>
      <c r="H141" s="370"/>
      <c r="I141" s="381"/>
      <c r="J141" s="370"/>
      <c r="K141" s="370"/>
      <c r="L141" s="370"/>
      <c r="M141" s="379"/>
      <c r="N141" s="377"/>
    </row>
    <row r="142" spans="1:14" ht="15" customHeight="1">
      <c r="A142" s="703"/>
      <c r="B142" s="360" t="str">
        <f t="shared" si="0"/>
        <v>Dieciseisavofinalista</v>
      </c>
      <c r="C142" s="349" t="str">
        <f ca="1">WORLDCUP!AA113</f>
        <v>Suiza</v>
      </c>
      <c r="D142" s="704"/>
      <c r="E142" s="370"/>
      <c r="F142" s="370"/>
      <c r="G142" s="370"/>
      <c r="H142" s="370"/>
      <c r="I142" s="381"/>
      <c r="J142" s="370"/>
      <c r="K142" s="370"/>
      <c r="L142" s="370"/>
      <c r="M142" s="379"/>
      <c r="N142" s="377"/>
    </row>
    <row r="143" spans="1:14" ht="15" customHeight="1">
      <c r="A143" s="703"/>
      <c r="B143" s="360" t="str">
        <f t="shared" si="0"/>
        <v>Dieciseisavofinalista</v>
      </c>
      <c r="C143" s="349" t="str">
        <f ca="1">WORLDCUP!AA114</f>
        <v>Turquía</v>
      </c>
      <c r="D143" s="704"/>
      <c r="E143" s="370"/>
      <c r="F143" s="370"/>
      <c r="G143" s="370"/>
      <c r="H143" s="370"/>
      <c r="I143" s="381"/>
      <c r="J143" s="370"/>
      <c r="K143" s="370"/>
      <c r="L143" s="370"/>
      <c r="M143" s="379"/>
      <c r="N143" s="377"/>
    </row>
    <row r="144" spans="1:14" ht="15" customHeight="1">
      <c r="A144" s="703"/>
      <c r="B144" s="360" t="str">
        <f t="shared" si="0"/>
        <v>Dieciseisavofinalista</v>
      </c>
      <c r="C144" s="349" t="str">
        <f ca="1">WORLDCUP!AA115</f>
        <v>Argentina</v>
      </c>
      <c r="D144" s="704"/>
      <c r="E144" s="370"/>
      <c r="F144" s="370"/>
      <c r="G144" s="370"/>
      <c r="H144" s="370"/>
      <c r="I144" s="381"/>
      <c r="J144" s="370"/>
      <c r="K144" s="370"/>
      <c r="L144" s="370"/>
      <c r="M144" s="379"/>
      <c r="N144" s="377"/>
    </row>
    <row r="145" spans="1:14" ht="15" customHeight="1">
      <c r="A145" s="703"/>
      <c r="B145" s="360" t="str">
        <f t="shared" si="0"/>
        <v>Dieciseisavofinalista</v>
      </c>
      <c r="C145" s="349" t="str">
        <f ca="1">WORLDCUP!AA116</f>
        <v>Portugal</v>
      </c>
      <c r="D145" s="704"/>
      <c r="E145" s="370"/>
      <c r="F145" s="370"/>
      <c r="G145" s="370"/>
      <c r="H145" s="370"/>
      <c r="I145" s="381"/>
      <c r="J145" s="370"/>
      <c r="K145" s="370"/>
      <c r="L145" s="370"/>
      <c r="M145" s="379"/>
      <c r="N145" s="377"/>
    </row>
    <row r="146" spans="1:14" ht="15" customHeight="1">
      <c r="A146" s="703"/>
      <c r="B146" s="360" t="str">
        <f>Idiomas!$D$188</f>
        <v>Dieciseisavofinalista</v>
      </c>
      <c r="C146" s="349" t="str">
        <f ca="1">WORLDCUP!AF101</f>
        <v>Canadá</v>
      </c>
      <c r="D146" s="704"/>
      <c r="E146" s="370"/>
      <c r="F146" s="370"/>
      <c r="G146" s="370"/>
      <c r="H146" s="370"/>
      <c r="I146" s="381"/>
      <c r="J146" s="370"/>
      <c r="K146" s="370"/>
      <c r="L146" s="370"/>
      <c r="M146" s="379"/>
      <c r="N146" s="377"/>
    </row>
    <row r="147" spans="1:14" ht="15" customHeight="1">
      <c r="A147" s="703"/>
      <c r="B147" s="360" t="str">
        <f>B146</f>
        <v>Dieciseisavofinalista</v>
      </c>
      <c r="C147" s="349" t="str">
        <f ca="1">WORLDCUP!AF102</f>
        <v>Japón</v>
      </c>
      <c r="D147" s="704"/>
      <c r="E147" s="370"/>
      <c r="F147" s="370"/>
      <c r="G147" s="370"/>
      <c r="H147" s="370"/>
      <c r="I147" s="381"/>
      <c r="J147" s="370"/>
      <c r="K147" s="370"/>
      <c r="L147" s="370"/>
      <c r="M147" s="379"/>
      <c r="N147" s="377"/>
    </row>
    <row r="148" spans="1:14" ht="15" customHeight="1">
      <c r="A148" s="703"/>
      <c r="B148" s="360" t="str">
        <f t="shared" ref="B148:B161" si="1">B147</f>
        <v>Dieciseisavofinalista</v>
      </c>
      <c r="C148" s="349" t="str">
        <f ca="1">WORLDCUP!AF103</f>
        <v>Paraguay</v>
      </c>
      <c r="D148" s="704"/>
      <c r="E148" s="370"/>
      <c r="F148" s="370"/>
      <c r="G148" s="370"/>
      <c r="H148" s="370"/>
      <c r="I148" s="381"/>
      <c r="J148" s="370"/>
      <c r="K148" s="370"/>
      <c r="L148" s="370"/>
      <c r="M148" s="379"/>
      <c r="N148" s="377"/>
    </row>
    <row r="149" spans="1:14" ht="15" customHeight="1">
      <c r="A149" s="703"/>
      <c r="B149" s="360" t="str">
        <f t="shared" si="1"/>
        <v>Dieciseisavofinalista</v>
      </c>
      <c r="C149" s="349" t="str">
        <f ca="1">WORLDCUP!AF104</f>
        <v>Marruecos</v>
      </c>
      <c r="D149" s="704"/>
      <c r="E149" s="370"/>
      <c r="F149" s="370"/>
      <c r="G149" s="370"/>
      <c r="H149" s="370"/>
      <c r="I149" s="381"/>
      <c r="J149" s="370"/>
      <c r="K149" s="370"/>
      <c r="L149" s="370"/>
      <c r="M149" s="379"/>
      <c r="N149" s="377"/>
    </row>
    <row r="150" spans="1:14" ht="15" customHeight="1">
      <c r="A150" s="703"/>
      <c r="B150" s="360" t="str">
        <f t="shared" si="1"/>
        <v>Dieciseisavofinalista</v>
      </c>
      <c r="C150" s="349" t="str">
        <f ca="1">WORLDCUP!AF105</f>
        <v>Noruega</v>
      </c>
      <c r="D150" s="704"/>
      <c r="E150" s="370"/>
      <c r="F150" s="370"/>
      <c r="G150" s="370"/>
      <c r="H150" s="370"/>
      <c r="I150" s="381"/>
      <c r="J150" s="370"/>
      <c r="K150" s="370"/>
      <c r="L150" s="370"/>
      <c r="M150" s="379"/>
      <c r="N150" s="377"/>
    </row>
    <row r="151" spans="1:14" ht="15" customHeight="1">
      <c r="A151" s="703"/>
      <c r="B151" s="360" t="str">
        <f t="shared" si="1"/>
        <v>Dieciseisavofinalista</v>
      </c>
      <c r="C151" s="349" t="str">
        <f ca="1">WORLDCUP!AF106</f>
        <v>Suecia</v>
      </c>
      <c r="D151" s="704"/>
      <c r="E151" s="370"/>
      <c r="F151" s="370"/>
      <c r="G151" s="370"/>
      <c r="H151" s="370"/>
      <c r="I151" s="381"/>
      <c r="J151" s="370"/>
      <c r="K151" s="370"/>
      <c r="L151" s="370"/>
      <c r="M151" s="379"/>
      <c r="N151" s="377"/>
    </row>
    <row r="152" spans="1:14" ht="15" customHeight="1">
      <c r="A152" s="703"/>
      <c r="B152" s="360" t="str">
        <f t="shared" si="1"/>
        <v>Dieciseisavofinalista</v>
      </c>
      <c r="C152" s="349" t="str">
        <f ca="1">WORLDCUP!AF107</f>
        <v>Ecuador</v>
      </c>
      <c r="D152" s="704"/>
      <c r="E152" s="370"/>
      <c r="F152" s="370"/>
      <c r="G152" s="370"/>
      <c r="H152" s="370"/>
      <c r="I152" s="381"/>
      <c r="J152" s="370"/>
      <c r="K152" s="370"/>
      <c r="L152" s="370"/>
      <c r="M152" s="379"/>
      <c r="N152" s="377"/>
    </row>
    <row r="153" spans="1:14" ht="15" customHeight="1">
      <c r="A153" s="703"/>
      <c r="B153" s="360" t="str">
        <f t="shared" si="1"/>
        <v>Dieciseisavofinalista</v>
      </c>
      <c r="C153" s="349" t="str">
        <f ca="1">WORLDCUP!AF108</f>
        <v>Senegal</v>
      </c>
      <c r="D153" s="704"/>
      <c r="E153" s="370"/>
      <c r="F153" s="370"/>
      <c r="G153" s="370"/>
      <c r="H153" s="370"/>
      <c r="I153" s="381"/>
      <c r="J153" s="370"/>
      <c r="K153" s="370"/>
      <c r="L153" s="370"/>
      <c r="M153" s="379"/>
      <c r="N153" s="377"/>
    </row>
    <row r="154" spans="1:14" ht="15" customHeight="1">
      <c r="A154" s="703"/>
      <c r="B154" s="360" t="str">
        <f t="shared" si="1"/>
        <v>Dieciseisavofinalista</v>
      </c>
      <c r="C154" s="349" t="str">
        <f ca="1">WORLDCUP!AF109</f>
        <v>República Checa</v>
      </c>
      <c r="D154" s="704"/>
      <c r="E154" s="370"/>
      <c r="F154" s="370"/>
      <c r="G154" s="370"/>
      <c r="H154" s="370"/>
      <c r="I154" s="381"/>
      <c r="J154" s="370"/>
      <c r="K154" s="370"/>
      <c r="L154" s="370"/>
      <c r="M154" s="379"/>
      <c r="N154" s="377"/>
    </row>
    <row r="155" spans="1:14" ht="15" customHeight="1">
      <c r="A155" s="703"/>
      <c r="B155" s="360" t="str">
        <f t="shared" si="1"/>
        <v>Dieciseisavofinalista</v>
      </c>
      <c r="C155" s="349" t="str">
        <f ca="1">WORLDCUP!AF110</f>
        <v>Bosnia y Herzegovina</v>
      </c>
      <c r="D155" s="704"/>
      <c r="E155" s="370"/>
      <c r="F155" s="370"/>
      <c r="G155" s="370"/>
      <c r="H155" s="370"/>
      <c r="I155" s="381"/>
      <c r="J155" s="370"/>
      <c r="K155" s="370"/>
      <c r="L155" s="370"/>
      <c r="M155" s="379"/>
      <c r="N155" s="377"/>
    </row>
    <row r="156" spans="1:14" ht="15" customHeight="1">
      <c r="A156" s="703"/>
      <c r="B156" s="360" t="str">
        <f t="shared" si="1"/>
        <v>Dieciseisavofinalista</v>
      </c>
      <c r="C156" s="349" t="str">
        <f ca="1">WORLDCUP!AF111</f>
        <v>Argelia</v>
      </c>
      <c r="D156" s="704"/>
      <c r="E156" s="370"/>
      <c r="F156" s="370"/>
      <c r="G156" s="370"/>
      <c r="H156" s="370"/>
      <c r="I156" s="381"/>
      <c r="J156" s="370"/>
      <c r="K156" s="370"/>
      <c r="L156" s="370"/>
      <c r="M156" s="379"/>
      <c r="N156" s="377"/>
    </row>
    <row r="157" spans="1:14" ht="15" customHeight="1">
      <c r="A157" s="703"/>
      <c r="B157" s="360" t="str">
        <f t="shared" si="1"/>
        <v>Dieciseisavofinalista</v>
      </c>
      <c r="C157" s="349" t="str">
        <f ca="1">WORLDCUP!AF112</f>
        <v>Croacia</v>
      </c>
      <c r="D157" s="704"/>
      <c r="E157" s="370"/>
      <c r="F157" s="370"/>
      <c r="G157" s="370"/>
      <c r="H157" s="370"/>
      <c r="I157" s="381"/>
      <c r="J157" s="370"/>
      <c r="K157" s="370"/>
      <c r="L157" s="370"/>
      <c r="M157" s="379"/>
      <c r="N157" s="377"/>
    </row>
    <row r="158" spans="1:14" ht="15" customHeight="1">
      <c r="A158" s="703"/>
      <c r="B158" s="360" t="str">
        <f t="shared" si="1"/>
        <v>Dieciseisavofinalista</v>
      </c>
      <c r="C158" s="349" t="str">
        <f ca="1">WORLDCUP!AF113</f>
        <v>Irán</v>
      </c>
      <c r="D158" s="704"/>
      <c r="E158" s="370"/>
      <c r="F158" s="370"/>
      <c r="G158" s="370"/>
      <c r="H158" s="370"/>
      <c r="I158" s="381"/>
      <c r="J158" s="370"/>
      <c r="K158" s="370"/>
      <c r="L158" s="370"/>
      <c r="M158" s="379"/>
      <c r="N158" s="377"/>
    </row>
    <row r="159" spans="1:14" ht="15" customHeight="1">
      <c r="A159" s="703"/>
      <c r="B159" s="360" t="str">
        <f t="shared" si="1"/>
        <v>Dieciseisavofinalista</v>
      </c>
      <c r="C159" s="349" t="str">
        <f ca="1">WORLDCUP!AF114</f>
        <v>Egipto</v>
      </c>
      <c r="D159" s="704"/>
      <c r="E159" s="370"/>
      <c r="F159" s="370"/>
      <c r="G159" s="370"/>
      <c r="H159" s="370"/>
      <c r="I159" s="381"/>
      <c r="J159" s="370"/>
      <c r="K159" s="370"/>
      <c r="L159" s="370"/>
      <c r="M159" s="379"/>
      <c r="N159" s="377"/>
    </row>
    <row r="160" spans="1:14" ht="15" customHeight="1">
      <c r="A160" s="703"/>
      <c r="B160" s="360" t="str">
        <f t="shared" si="1"/>
        <v>Dieciseisavofinalista</v>
      </c>
      <c r="C160" s="349" t="str">
        <f ca="1">WORLDCUP!AF115</f>
        <v>Uruguay</v>
      </c>
      <c r="D160" s="704"/>
      <c r="E160" s="370"/>
      <c r="F160" s="370"/>
      <c r="G160" s="370"/>
      <c r="H160" s="370"/>
      <c r="I160" s="381"/>
      <c r="J160" s="370"/>
      <c r="K160" s="370"/>
      <c r="L160" s="370"/>
      <c r="M160" s="379"/>
      <c r="N160" s="377"/>
    </row>
    <row r="161" spans="1:14" ht="15" customHeight="1">
      <c r="A161" s="703"/>
      <c r="B161" s="360" t="str">
        <f t="shared" si="1"/>
        <v>Dieciseisavofinalista</v>
      </c>
      <c r="C161" s="349" t="str">
        <f ca="1">WORLDCUP!AF116</f>
        <v>Ghana</v>
      </c>
      <c r="D161" s="705"/>
      <c r="E161" s="372"/>
      <c r="F161" s="372"/>
      <c r="G161" s="372"/>
      <c r="H161" s="372"/>
      <c r="I161" s="382"/>
      <c r="J161" s="383"/>
      <c r="K161" s="372"/>
      <c r="L161" s="372"/>
      <c r="M161" s="384"/>
      <c r="N161" s="377"/>
    </row>
    <row r="162" spans="1:14" ht="20.149999999999999" customHeight="1">
      <c r="A162" s="353"/>
      <c r="B162" s="353"/>
      <c r="C162" s="350"/>
      <c r="D162" s="370"/>
      <c r="E162" s="687" t="str">
        <f>Idiomas!D113</f>
        <v>·Si haceis todas las eliminatorias de golpe, copiar de la C164 a la C252 y pegar valores en la plantilla de Administrador.</v>
      </c>
      <c r="F162" s="687"/>
      <c r="G162" s="687"/>
      <c r="H162" s="687"/>
      <c r="I162" s="687"/>
      <c r="J162" s="687"/>
      <c r="K162" s="687"/>
      <c r="L162" s="688"/>
      <c r="M162" s="385"/>
      <c r="N162" s="377"/>
    </row>
    <row r="163" spans="1:14" ht="23.15" customHeight="1">
      <c r="A163" s="353"/>
      <c r="B163" s="358" t="str">
        <f>Idiomas!D128</f>
        <v>ENFRENTAMIENTOS DIECISEISAVOS</v>
      </c>
      <c r="C163" s="350"/>
      <c r="D163" s="370"/>
      <c r="E163" s="689" t="str">
        <f>Idiomas!D114</f>
        <v>·Si haceis eliminatoria a eliminatoria seguir las instrucciones de cada eliminatoria.</v>
      </c>
      <c r="F163" s="689"/>
      <c r="G163" s="689"/>
      <c r="H163" s="689"/>
      <c r="I163" s="689"/>
      <c r="J163" s="689"/>
      <c r="K163" s="689"/>
      <c r="L163" s="690"/>
      <c r="M163" s="386"/>
      <c r="N163" s="377"/>
    </row>
    <row r="164" spans="1:14" ht="15" customHeight="1">
      <c r="A164" s="703" t="s">
        <v>493</v>
      </c>
      <c r="B164" s="360" t="str">
        <f ca="1">CONCATENATE(WORLDCUP!AA101,"-",WORLDCUP!AF101)</f>
        <v>Corea del Sur-Canadá</v>
      </c>
      <c r="C164" s="349" t="str">
        <f ca="1">CONCATENATE(WORLDCUP!AA101,"-",WORLDCUP!AF101,"·",IF(WORLDCUP!AC101&gt;WORLDCUP!AD101,1,IF(WORLDCUP!AC101&lt;WORLDCUP!AD101,2,IF(AND(WORLDCUP!AC101=WORLDCUP!AD101,WORLDCUP!AC101&lt;&gt;"",WORLDCUP!AD101&lt;&gt;""),"X",0))),"|",WORLDCUP!AC101,"-",WORLDCUP!AD101)</f>
        <v>Corea del Sur-Canadá·1|1-0</v>
      </c>
      <c r="D164" s="706" t="s">
        <v>493</v>
      </c>
      <c r="E164" s="691" t="str">
        <f>Idiomas!D115</f>
        <v>·Para los dieciseisavos copiar de la C164 a la C197 y pega valores en la plantilla de administrador.</v>
      </c>
      <c r="F164" s="691"/>
      <c r="G164" s="691"/>
      <c r="H164" s="691"/>
      <c r="I164" s="352"/>
      <c r="J164" s="370"/>
      <c r="K164" s="370"/>
      <c r="L164" s="370"/>
      <c r="M164" s="386"/>
      <c r="N164" s="377"/>
    </row>
    <row r="165" spans="1:14" ht="15" customHeight="1">
      <c r="A165" s="703"/>
      <c r="B165" s="360" t="str">
        <f ca="1">CONCATENATE(WORLDCUP!AA102,"-",WORLDCUP!AF102)</f>
        <v>Brasil-Japón</v>
      </c>
      <c r="C165" s="349" t="str">
        <f ca="1">CONCATENATE(WORLDCUP!AA102,"-",WORLDCUP!AF102,"·",IF(WORLDCUP!AC102&gt;WORLDCUP!AD102,1,IF(WORLDCUP!AC102&lt;WORLDCUP!AD102,2,IF(AND(WORLDCUP!AC102=WORLDCUP!AD102,WORLDCUP!AC102&lt;&gt;"",WORLDCUP!AD102&lt;&gt;""),"X",0))),"|",WORLDCUP!AC102,"-",WORLDCUP!AD102)</f>
        <v>Brasil-Japón·1|2-0</v>
      </c>
      <c r="D165" s="706"/>
      <c r="E165" s="692"/>
      <c r="F165" s="692"/>
      <c r="G165" s="692"/>
      <c r="H165" s="692"/>
      <c r="I165" s="352"/>
      <c r="J165" s="370"/>
      <c r="K165" s="370"/>
      <c r="L165" s="370"/>
      <c r="M165" s="386"/>
      <c r="N165" s="377"/>
    </row>
    <row r="166" spans="1:14" ht="15" customHeight="1">
      <c r="A166" s="703"/>
      <c r="B166" s="360" t="str">
        <f ca="1">CONCATENATE(WORLDCUP!AA103,"-",WORLDCUP!AF103)</f>
        <v>Alemania-Paraguay</v>
      </c>
      <c r="C166" s="349" t="str">
        <f ca="1">CONCATENATE(WORLDCUP!AA103,"-",WORLDCUP!AF103,"·",IF(WORLDCUP!AC103&gt;WORLDCUP!AD103,1,IF(WORLDCUP!AC103&lt;WORLDCUP!AD103,2,IF(AND(WORLDCUP!AC103=WORLDCUP!AD103,WORLDCUP!AC103&lt;&gt;"",WORLDCUP!AD103&lt;&gt;""),"X",0))),"|",WORLDCUP!AC103,"-",WORLDCUP!AD103)</f>
        <v>Alemania-Paraguay·1|2-0</v>
      </c>
      <c r="D166" s="706"/>
      <c r="E166" s="692"/>
      <c r="F166" s="692"/>
      <c r="G166" s="692"/>
      <c r="H166" s="692"/>
      <c r="I166" s="352"/>
      <c r="J166" s="370"/>
      <c r="K166" s="370"/>
      <c r="L166" s="370"/>
      <c r="M166" s="386"/>
      <c r="N166" s="377"/>
    </row>
    <row r="167" spans="1:14" ht="15" customHeight="1">
      <c r="A167" s="703"/>
      <c r="B167" s="360" t="str">
        <f ca="1">CONCATENATE(WORLDCUP!AA104,"-",WORLDCUP!AF104)</f>
        <v>Países Bajos-Marruecos</v>
      </c>
      <c r="C167" s="349" t="str">
        <f ca="1">CONCATENATE(WORLDCUP!AA104,"-",WORLDCUP!AF104,"·",IF(WORLDCUP!AC104&gt;WORLDCUP!AD104,1,IF(WORLDCUP!AC104&lt;WORLDCUP!AD104,2,IF(AND(WORLDCUP!AC104=WORLDCUP!AD104,WORLDCUP!AC104&lt;&gt;"",WORLDCUP!AD104&lt;&gt;""),"X",0))),"|",WORLDCUP!AC104,"-",WORLDCUP!AD104)</f>
        <v>Países Bajos-Marruecos·1|2-1</v>
      </c>
      <c r="D167" s="706"/>
      <c r="E167" s="692"/>
      <c r="F167" s="692"/>
      <c r="G167" s="692"/>
      <c r="H167" s="692"/>
      <c r="I167" s="352"/>
      <c r="J167" s="370"/>
      <c r="K167" s="370"/>
      <c r="L167" s="370"/>
      <c r="M167" s="386"/>
      <c r="N167" s="377"/>
    </row>
    <row r="168" spans="1:14" ht="15" customHeight="1">
      <c r="A168" s="703"/>
      <c r="B168" s="360" t="str">
        <f ca="1">CONCATENATE(WORLDCUP!AA105,"-",WORLDCUP!AF105)</f>
        <v>Costa de Marfil-Noruega</v>
      </c>
      <c r="C168" s="349" t="str">
        <f ca="1">CONCATENATE(WORLDCUP!AA105,"-",WORLDCUP!AF105,"·",IF(WORLDCUP!AC105&gt;WORLDCUP!AD105,1,IF(WORLDCUP!AC105&lt;WORLDCUP!AD105,2,IF(AND(WORLDCUP!AC105=WORLDCUP!AD105,WORLDCUP!AC105&lt;&gt;"",WORLDCUP!AD105&lt;&gt;""),"X",0))),"|",WORLDCUP!AC105,"-",WORLDCUP!AD105)</f>
        <v>Costa de Marfil-Noruega·X|1-1</v>
      </c>
      <c r="D168" s="706"/>
      <c r="E168" s="370"/>
      <c r="F168" s="370"/>
      <c r="G168" s="370"/>
      <c r="H168" s="370"/>
      <c r="I168" s="352"/>
      <c r="J168" s="370"/>
      <c r="K168" s="370"/>
      <c r="L168" s="370"/>
      <c r="M168" s="386"/>
      <c r="N168" s="377"/>
    </row>
    <row r="169" spans="1:14" ht="15" customHeight="1">
      <c r="A169" s="703"/>
      <c r="B169" s="360" t="str">
        <f ca="1">CONCATENATE(WORLDCUP!AA106,"-",WORLDCUP!AF106)</f>
        <v>Francia-Suecia</v>
      </c>
      <c r="C169" s="349" t="str">
        <f ca="1">CONCATENATE(WORLDCUP!AA106,"-",WORLDCUP!AF106,"·",IF(WORLDCUP!AC106&gt;WORLDCUP!AD106,1,IF(WORLDCUP!AC106&lt;WORLDCUP!AD106,2,IF(AND(WORLDCUP!AC106=WORLDCUP!AD106,WORLDCUP!AC106&lt;&gt;"",WORLDCUP!AD106&lt;&gt;""),"X",0))),"|",WORLDCUP!AC106,"-",WORLDCUP!AD106)</f>
        <v>Francia-Suecia·1|1-0</v>
      </c>
      <c r="D169" s="706"/>
      <c r="E169" s="370"/>
      <c r="F169" s="370"/>
      <c r="G169" s="370"/>
      <c r="H169" s="370"/>
      <c r="I169" s="352"/>
      <c r="J169" s="370"/>
      <c r="K169" s="370"/>
      <c r="L169" s="370"/>
      <c r="M169" s="386"/>
      <c r="N169" s="377"/>
    </row>
    <row r="170" spans="1:14" ht="15" customHeight="1">
      <c r="A170" s="703"/>
      <c r="B170" s="360" t="str">
        <f ca="1">CONCATENATE(WORLDCUP!AA107,"-",WORLDCUP!AF107)</f>
        <v>México-Ecuador</v>
      </c>
      <c r="C170" s="349" t="str">
        <f ca="1">CONCATENATE(WORLDCUP!AA107,"-",WORLDCUP!AF107,"·",IF(WORLDCUP!AC107&gt;WORLDCUP!AD107,1,IF(WORLDCUP!AC107&lt;WORLDCUP!AD107,2,IF(AND(WORLDCUP!AC107=WORLDCUP!AD107,WORLDCUP!AC107&lt;&gt;"",WORLDCUP!AD107&lt;&gt;""),"X",0))),"|",WORLDCUP!AC107,"-",WORLDCUP!AD107)</f>
        <v>México-Ecuador·1|1-0</v>
      </c>
      <c r="D170" s="706"/>
      <c r="E170" s="370"/>
      <c r="F170" s="370"/>
      <c r="G170" s="370"/>
      <c r="H170" s="370"/>
      <c r="I170" s="352"/>
      <c r="J170" s="370"/>
      <c r="K170" s="370"/>
      <c r="L170" s="370"/>
      <c r="M170" s="386"/>
      <c r="N170" s="377"/>
    </row>
    <row r="171" spans="1:14" ht="15" customHeight="1">
      <c r="A171" s="703"/>
      <c r="B171" s="360" t="str">
        <f ca="1">CONCATENATE(WORLDCUP!AA108,"-",WORLDCUP!AF108)</f>
        <v>Inglaterra-Senegal</v>
      </c>
      <c r="C171" s="349" t="str">
        <f ca="1">CONCATENATE(WORLDCUP!AA108,"-",WORLDCUP!AF108,"·",IF(WORLDCUP!AC108&gt;WORLDCUP!AD108,1,IF(WORLDCUP!AC108&lt;WORLDCUP!AD108,2,IF(AND(WORLDCUP!AC108=WORLDCUP!AD108,WORLDCUP!AC108&lt;&gt;"",WORLDCUP!AD108&lt;&gt;""),"X",0))),"|",WORLDCUP!AC108,"-",WORLDCUP!AD108)</f>
        <v>Inglaterra-Senegal·1|2-0</v>
      </c>
      <c r="D171" s="706"/>
      <c r="E171" s="370"/>
      <c r="F171" s="370"/>
      <c r="G171" s="370"/>
      <c r="H171" s="370"/>
      <c r="I171" s="352"/>
      <c r="J171" s="370"/>
      <c r="K171" s="370"/>
      <c r="L171" s="370"/>
      <c r="M171" s="386"/>
      <c r="N171" s="377"/>
    </row>
    <row r="172" spans="1:14" ht="15" customHeight="1">
      <c r="A172" s="703"/>
      <c r="B172" s="360" t="str">
        <f ca="1">CONCATENATE(WORLDCUP!AA109,"-",WORLDCUP!AF109)</f>
        <v>Bélgica-República Checa</v>
      </c>
      <c r="C172" s="349" t="str">
        <f ca="1">CONCATENATE(WORLDCUP!AA109,"-",WORLDCUP!AF109,"·",IF(WORLDCUP!AC109&gt;WORLDCUP!AD109,1,IF(WORLDCUP!AC109&lt;WORLDCUP!AD109,2,IF(AND(WORLDCUP!AC109=WORLDCUP!AD109,WORLDCUP!AC109&lt;&gt;"",WORLDCUP!AD109&lt;&gt;""),"X",0))),"|",WORLDCUP!AC109,"-",WORLDCUP!AD109)</f>
        <v>Bélgica-República Checa·1|1-0</v>
      </c>
      <c r="D172" s="706"/>
      <c r="E172" s="370"/>
      <c r="F172" s="370"/>
      <c r="G172" s="370"/>
      <c r="H172" s="370"/>
      <c r="I172" s="352"/>
      <c r="J172" s="370"/>
      <c r="K172" s="370"/>
      <c r="L172" s="370"/>
      <c r="M172" s="386"/>
      <c r="N172" s="377"/>
    </row>
    <row r="173" spans="1:14" ht="15" customHeight="1">
      <c r="A173" s="703"/>
      <c r="B173" s="360" t="str">
        <f ca="1">CONCATENATE(WORLDCUP!AA110,"-",WORLDCUP!AF110)</f>
        <v>Estados Unidos-Bosnia y Herzegovina</v>
      </c>
      <c r="C173" s="349" t="str">
        <f ca="1">CONCATENATE(WORLDCUP!AA110,"-",WORLDCUP!AF110,"·",IF(WORLDCUP!AC110&gt;WORLDCUP!AD110,1,IF(WORLDCUP!AC110&lt;WORLDCUP!AD110,2,IF(AND(WORLDCUP!AC110=WORLDCUP!AD110,WORLDCUP!AC110&lt;&gt;"",WORLDCUP!AD110&lt;&gt;""),"X",0))),"|",WORLDCUP!AC110,"-",WORLDCUP!AD110)</f>
        <v>Estados Unidos-Bosnia y Herzegovina·1|2-0</v>
      </c>
      <c r="D173" s="706"/>
      <c r="E173" s="370"/>
      <c r="F173" s="370"/>
      <c r="G173" s="370"/>
      <c r="H173" s="370"/>
      <c r="I173" s="352"/>
      <c r="J173" s="370"/>
      <c r="K173" s="370"/>
      <c r="L173" s="370"/>
      <c r="M173" s="386"/>
      <c r="N173" s="377"/>
    </row>
    <row r="174" spans="1:14" ht="15" customHeight="1">
      <c r="A174" s="703"/>
      <c r="B174" s="360" t="str">
        <f ca="1">CONCATENATE(WORLDCUP!AA111,"-",WORLDCUP!AF111)</f>
        <v>España-Argelia</v>
      </c>
      <c r="C174" s="349" t="str">
        <f ca="1">CONCATENATE(WORLDCUP!AA111,"-",WORLDCUP!AF111,"·",IF(WORLDCUP!AC111&gt;WORLDCUP!AD111,1,IF(WORLDCUP!AC111&lt;WORLDCUP!AD111,2,IF(AND(WORLDCUP!AC111=WORLDCUP!AD111,WORLDCUP!AC111&lt;&gt;"",WORLDCUP!AD111&lt;&gt;""),"X",0))),"|",WORLDCUP!AC111,"-",WORLDCUP!AD111)</f>
        <v>España-Argelia·1|3-1</v>
      </c>
      <c r="D174" s="706"/>
      <c r="E174" s="370"/>
      <c r="F174" s="370"/>
      <c r="G174" s="370"/>
      <c r="H174" s="370"/>
      <c r="I174" s="352"/>
      <c r="J174" s="370"/>
      <c r="K174" s="370"/>
      <c r="L174" s="370"/>
      <c r="M174" s="386"/>
      <c r="N174" s="377"/>
    </row>
    <row r="175" spans="1:14" ht="15" customHeight="1">
      <c r="A175" s="703"/>
      <c r="B175" s="360" t="str">
        <f ca="1">CONCATENATE(WORLDCUP!AA112,"-",WORLDCUP!AF112)</f>
        <v>Colombia-Croacia</v>
      </c>
      <c r="C175" s="349" t="str">
        <f ca="1">CONCATENATE(WORLDCUP!AA112,"-",WORLDCUP!AF112,"·",IF(WORLDCUP!AC112&gt;WORLDCUP!AD112,1,IF(WORLDCUP!AC112&lt;WORLDCUP!AD112,2,IF(AND(WORLDCUP!AC112=WORLDCUP!AD112,WORLDCUP!AC112&lt;&gt;"",WORLDCUP!AD112&lt;&gt;""),"X",0))),"|",WORLDCUP!AC112,"-",WORLDCUP!AD112)</f>
        <v>Colombia-Croacia·1|2-1</v>
      </c>
      <c r="D175" s="706"/>
      <c r="E175" s="370"/>
      <c r="F175" s="370"/>
      <c r="G175" s="370"/>
      <c r="H175" s="370"/>
      <c r="I175" s="352"/>
      <c r="J175" s="370"/>
      <c r="K175" s="370"/>
      <c r="L175" s="370"/>
      <c r="M175" s="386"/>
      <c r="N175" s="377"/>
    </row>
    <row r="176" spans="1:14" ht="15" customHeight="1">
      <c r="A176" s="703"/>
      <c r="B176" s="360" t="str">
        <f ca="1">CONCATENATE(WORLDCUP!AA113,"-",WORLDCUP!AF113)</f>
        <v>Suiza-Irán</v>
      </c>
      <c r="C176" s="349" t="str">
        <f ca="1">CONCATENATE(WORLDCUP!AA113,"-",WORLDCUP!AF113,"·",IF(WORLDCUP!AC113&gt;WORLDCUP!AD113,1,IF(WORLDCUP!AC113&lt;WORLDCUP!AD113,2,IF(AND(WORLDCUP!AC113=WORLDCUP!AD113,WORLDCUP!AC113&lt;&gt;"",WORLDCUP!AD113&lt;&gt;""),"X",0))),"|",WORLDCUP!AC113,"-",WORLDCUP!AD113)</f>
        <v>Suiza-Irán·1|1-0</v>
      </c>
      <c r="D176" s="706"/>
      <c r="E176" s="370"/>
      <c r="F176" s="370"/>
      <c r="G176" s="370"/>
      <c r="H176" s="370"/>
      <c r="I176" s="352"/>
      <c r="J176" s="370"/>
      <c r="K176" s="370"/>
      <c r="L176" s="370"/>
      <c r="M176" s="386"/>
      <c r="N176" s="377"/>
    </row>
    <row r="177" spans="1:14" ht="15" customHeight="1">
      <c r="A177" s="703"/>
      <c r="B177" s="360" t="str">
        <f ca="1">CONCATENATE(WORLDCUP!AA114,"-",WORLDCUP!AF114)</f>
        <v>Turquía-Egipto</v>
      </c>
      <c r="C177" s="349" t="str">
        <f ca="1">CONCATENATE(WORLDCUP!AA114,"-",WORLDCUP!AF114,"·",IF(WORLDCUP!AC114&gt;WORLDCUP!AD114,1,IF(WORLDCUP!AC114&lt;WORLDCUP!AD114,2,IF(AND(WORLDCUP!AC114=WORLDCUP!AD114,WORLDCUP!AC114&lt;&gt;"",WORLDCUP!AD114&lt;&gt;""),"X",0))),"|",WORLDCUP!AC114,"-",WORLDCUP!AD114)</f>
        <v>Turquía-Egipto·1|1-0</v>
      </c>
      <c r="D177" s="706"/>
      <c r="E177" s="370"/>
      <c r="F177" s="370"/>
      <c r="G177" s="370"/>
      <c r="H177" s="370"/>
      <c r="I177" s="352"/>
      <c r="J177" s="370"/>
      <c r="K177" s="370"/>
      <c r="L177" s="370"/>
      <c r="M177" s="386"/>
      <c r="N177" s="377"/>
    </row>
    <row r="178" spans="1:14" ht="15" customHeight="1">
      <c r="A178" s="703"/>
      <c r="B178" s="360" t="str">
        <f ca="1">CONCATENATE(WORLDCUP!AA115,"-",WORLDCUP!AF115)</f>
        <v>Argentina-Uruguay</v>
      </c>
      <c r="C178" s="349" t="str">
        <f ca="1">CONCATENATE(WORLDCUP!AA115,"-",WORLDCUP!AF115,"·",IF(WORLDCUP!AC115&gt;WORLDCUP!AD115,1,IF(WORLDCUP!AC115&lt;WORLDCUP!AD115,2,IF(AND(WORLDCUP!AC115=WORLDCUP!AD115,WORLDCUP!AC115&lt;&gt;"",WORLDCUP!AD115&lt;&gt;""),"X",0))),"|",WORLDCUP!AC115,"-",WORLDCUP!AD115)</f>
        <v>Argentina-Uruguay·1|2-0</v>
      </c>
      <c r="D178" s="706"/>
      <c r="E178" s="370"/>
      <c r="F178" s="370"/>
      <c r="G178" s="370"/>
      <c r="H178" s="370"/>
      <c r="I178" s="352"/>
      <c r="J178" s="370"/>
      <c r="K178" s="370"/>
      <c r="L178" s="370"/>
      <c r="M178" s="386"/>
      <c r="N178" s="377"/>
    </row>
    <row r="179" spans="1:14" ht="15" customHeight="1">
      <c r="A179" s="703"/>
      <c r="B179" s="360" t="str">
        <f ca="1">CONCATENATE(WORLDCUP!AA116,"-",WORLDCUP!AF116)</f>
        <v>Portugal-Ghana</v>
      </c>
      <c r="C179" s="349" t="str">
        <f ca="1">CONCATENATE(WORLDCUP!AA116,"-",WORLDCUP!AF116,"·",IF(WORLDCUP!AC116&gt;WORLDCUP!AD116,1,IF(WORLDCUP!AC116&lt;WORLDCUP!AD116,2,IF(AND(WORLDCUP!AC116=WORLDCUP!AD116,WORLDCUP!AC116&lt;&gt;"",WORLDCUP!AD116&lt;&gt;""),"X",0))),"|",WORLDCUP!AC116,"-",WORLDCUP!AD116)</f>
        <v>Portugal-Ghana·1|3-1</v>
      </c>
      <c r="D179" s="706"/>
      <c r="E179" s="370"/>
      <c r="F179" s="370"/>
      <c r="G179" s="370"/>
      <c r="H179" s="370"/>
      <c r="I179" s="352"/>
      <c r="J179" s="370"/>
      <c r="K179" s="370"/>
      <c r="L179" s="370"/>
      <c r="M179" s="386"/>
      <c r="N179" s="377"/>
    </row>
    <row r="180" spans="1:14" ht="15" customHeight="1">
      <c r="A180" s="353"/>
      <c r="B180" s="353"/>
      <c r="C180" s="350"/>
      <c r="D180" s="706"/>
      <c r="E180" s="370"/>
      <c r="F180" s="370"/>
      <c r="G180" s="370"/>
      <c r="H180" s="370"/>
      <c r="I180" s="352"/>
      <c r="J180" s="370"/>
      <c r="K180" s="370"/>
      <c r="L180" s="370"/>
      <c r="M180" s="386"/>
      <c r="N180" s="377"/>
    </row>
    <row r="181" spans="1:14" ht="19" customHeight="1">
      <c r="A181" s="353"/>
      <c r="B181" s="358" t="str">
        <f>Idiomas!D129</f>
        <v>CLASIFICADOS PARA OCTAVOS</v>
      </c>
      <c r="C181" s="350"/>
      <c r="D181" s="706"/>
      <c r="E181" s="370"/>
      <c r="F181" s="370"/>
      <c r="G181" s="370"/>
      <c r="H181" s="370"/>
      <c r="I181" s="352"/>
      <c r="J181" s="370"/>
      <c r="K181" s="370"/>
      <c r="L181" s="370"/>
      <c r="M181" s="386"/>
      <c r="N181" s="377"/>
    </row>
    <row r="182" spans="1:14" ht="15" customHeight="1">
      <c r="A182" s="703" t="s">
        <v>89</v>
      </c>
      <c r="B182" s="360" t="str">
        <f>Idiomas!$D$189</f>
        <v>Octavofinalista</v>
      </c>
      <c r="C182" s="349" t="str">
        <f ca="1">WORLDCUP!AA120</f>
        <v>Corea del Sur</v>
      </c>
      <c r="D182" s="706"/>
      <c r="E182" s="370"/>
      <c r="F182" s="370"/>
      <c r="G182" s="370"/>
      <c r="H182" s="370"/>
      <c r="I182" s="352"/>
      <c r="J182" s="370"/>
      <c r="K182" s="370"/>
      <c r="L182" s="370"/>
      <c r="M182" s="386"/>
      <c r="N182" s="377"/>
    </row>
    <row r="183" spans="1:14" ht="15" customHeight="1">
      <c r="A183" s="703"/>
      <c r="B183" s="360" t="str">
        <f>B182</f>
        <v>Octavofinalista</v>
      </c>
      <c r="C183" s="349" t="str">
        <f ca="1">WORLDCUP!AA121</f>
        <v>Alemania</v>
      </c>
      <c r="D183" s="706"/>
      <c r="E183" s="370"/>
      <c r="F183" s="370"/>
      <c r="G183" s="370"/>
      <c r="H183" s="370"/>
      <c r="I183" s="352"/>
      <c r="J183" s="370"/>
      <c r="K183" s="370"/>
      <c r="L183" s="370"/>
      <c r="M183" s="386"/>
      <c r="N183" s="377"/>
    </row>
    <row r="184" spans="1:14" ht="15" customHeight="1">
      <c r="A184" s="703"/>
      <c r="B184" s="360" t="str">
        <f t="shared" ref="B184:B197" si="2">B183</f>
        <v>Octavofinalista</v>
      </c>
      <c r="C184" s="349" t="str">
        <f ca="1">WORLDCUP!AA122</f>
        <v>Brasil</v>
      </c>
      <c r="D184" s="706"/>
      <c r="E184" s="370"/>
      <c r="F184" s="370"/>
      <c r="G184" s="370"/>
      <c r="H184" s="370"/>
      <c r="I184" s="352"/>
      <c r="J184" s="370"/>
      <c r="K184" s="370"/>
      <c r="L184" s="370"/>
      <c r="M184" s="386"/>
      <c r="N184" s="377"/>
    </row>
    <row r="185" spans="1:14" ht="15" customHeight="1">
      <c r="A185" s="703"/>
      <c r="B185" s="360" t="str">
        <f t="shared" si="2"/>
        <v>Octavofinalista</v>
      </c>
      <c r="C185" s="349" t="str">
        <f ca="1">WORLDCUP!AA123</f>
        <v>México</v>
      </c>
      <c r="D185" s="706"/>
      <c r="E185" s="370"/>
      <c r="F185" s="370"/>
      <c r="G185" s="370"/>
      <c r="H185" s="370"/>
      <c r="I185" s="352"/>
      <c r="J185" s="370"/>
      <c r="K185" s="370"/>
      <c r="L185" s="370"/>
      <c r="M185" s="386"/>
      <c r="N185" s="377"/>
    </row>
    <row r="186" spans="1:14" ht="15" customHeight="1">
      <c r="A186" s="703"/>
      <c r="B186" s="360" t="str">
        <f t="shared" si="2"/>
        <v>Octavofinalista</v>
      </c>
      <c r="C186" s="349" t="str">
        <f ca="1">WORLDCUP!AA124</f>
        <v>Colombia</v>
      </c>
      <c r="D186" s="706"/>
      <c r="E186" s="370"/>
      <c r="F186" s="370"/>
      <c r="G186" s="370"/>
      <c r="H186" s="370"/>
      <c r="I186" s="352"/>
      <c r="J186" s="370"/>
      <c r="K186" s="370"/>
      <c r="L186" s="370"/>
      <c r="M186" s="386"/>
      <c r="N186" s="377"/>
    </row>
    <row r="187" spans="1:14" ht="15" customHeight="1">
      <c r="A187" s="703"/>
      <c r="B187" s="360" t="str">
        <f t="shared" si="2"/>
        <v>Octavofinalista</v>
      </c>
      <c r="C187" s="349" t="str">
        <f ca="1">WORLDCUP!AA125</f>
        <v>Estados Unidos</v>
      </c>
      <c r="D187" s="706"/>
      <c r="E187" s="370"/>
      <c r="F187" s="370"/>
      <c r="G187" s="370"/>
      <c r="H187" s="370"/>
      <c r="I187" s="352"/>
      <c r="J187" s="370"/>
      <c r="K187" s="370"/>
      <c r="L187" s="370"/>
      <c r="M187" s="386"/>
      <c r="N187" s="377"/>
    </row>
    <row r="188" spans="1:14" ht="15" customHeight="1">
      <c r="A188" s="703"/>
      <c r="B188" s="360" t="str">
        <f t="shared" si="2"/>
        <v>Octavofinalista</v>
      </c>
      <c r="C188" s="349" t="str">
        <f ca="1">WORLDCUP!AA126</f>
        <v>Argentina</v>
      </c>
      <c r="D188" s="706"/>
      <c r="E188" s="370"/>
      <c r="F188" s="370"/>
      <c r="G188" s="370"/>
      <c r="H188" s="370"/>
      <c r="I188" s="352"/>
      <c r="J188" s="370"/>
      <c r="K188" s="370"/>
      <c r="L188" s="370"/>
      <c r="M188" s="386"/>
      <c r="N188" s="377"/>
    </row>
    <row r="189" spans="1:14" ht="15" customHeight="1">
      <c r="A189" s="703"/>
      <c r="B189" s="360" t="str">
        <f t="shared" si="2"/>
        <v>Octavofinalista</v>
      </c>
      <c r="C189" s="349" t="str">
        <f ca="1">WORLDCUP!AA127</f>
        <v>Suiza</v>
      </c>
      <c r="D189" s="706"/>
      <c r="E189" s="370"/>
      <c r="F189" s="370"/>
      <c r="G189" s="370"/>
      <c r="H189" s="370"/>
      <c r="I189" s="352"/>
      <c r="J189" s="370"/>
      <c r="K189" s="370"/>
      <c r="L189" s="370"/>
      <c r="M189" s="386"/>
      <c r="N189" s="377"/>
    </row>
    <row r="190" spans="1:14" ht="15" customHeight="1">
      <c r="A190" s="703"/>
      <c r="B190" s="360" t="str">
        <f t="shared" si="2"/>
        <v>Octavofinalista</v>
      </c>
      <c r="C190" s="349" t="str">
        <f ca="1">WORLDCUP!AF120</f>
        <v>Países Bajos</v>
      </c>
      <c r="D190" s="706"/>
      <c r="E190" s="370"/>
      <c r="F190" s="370"/>
      <c r="G190" s="370"/>
      <c r="H190" s="370"/>
      <c r="I190" s="352"/>
      <c r="J190" s="370"/>
      <c r="K190" s="370"/>
      <c r="L190" s="370"/>
      <c r="M190" s="386"/>
      <c r="N190" s="377"/>
    </row>
    <row r="191" spans="1:14" ht="15" customHeight="1">
      <c r="A191" s="703"/>
      <c r="B191" s="360" t="str">
        <f t="shared" si="2"/>
        <v>Octavofinalista</v>
      </c>
      <c r="C191" s="349" t="str">
        <f ca="1">WORLDCUP!AF121</f>
        <v>Francia</v>
      </c>
      <c r="D191" s="706"/>
      <c r="E191" s="370"/>
      <c r="F191" s="370"/>
      <c r="G191" s="370"/>
      <c r="H191" s="370"/>
      <c r="I191" s="352"/>
      <c r="J191" s="370"/>
      <c r="K191" s="370"/>
      <c r="L191" s="370"/>
      <c r="M191" s="386"/>
      <c r="N191" s="377"/>
    </row>
    <row r="192" spans="1:14" ht="15" customHeight="1">
      <c r="A192" s="703"/>
      <c r="B192" s="360" t="str">
        <f t="shared" si="2"/>
        <v>Octavofinalista</v>
      </c>
      <c r="C192" s="349" t="str">
        <f ca="1">WORLDCUP!AF122</f>
        <v>Noruega</v>
      </c>
      <c r="D192" s="706"/>
      <c r="E192" s="370"/>
      <c r="F192" s="370"/>
      <c r="G192" s="370"/>
      <c r="H192" s="370"/>
      <c r="I192" s="352"/>
      <c r="J192" s="370"/>
      <c r="K192" s="370"/>
      <c r="L192" s="370"/>
      <c r="M192" s="386"/>
      <c r="N192" s="377"/>
    </row>
    <row r="193" spans="1:14" ht="15" customHeight="1">
      <c r="A193" s="703"/>
      <c r="B193" s="360" t="str">
        <f t="shared" si="2"/>
        <v>Octavofinalista</v>
      </c>
      <c r="C193" s="349" t="str">
        <f ca="1">WORLDCUP!AF123</f>
        <v>Inglaterra</v>
      </c>
      <c r="D193" s="706"/>
      <c r="E193" s="370"/>
      <c r="F193" s="370"/>
      <c r="G193" s="370"/>
      <c r="H193" s="370"/>
      <c r="I193" s="352"/>
      <c r="J193" s="370"/>
      <c r="K193" s="370"/>
      <c r="L193" s="370"/>
      <c r="M193" s="386"/>
      <c r="N193" s="377"/>
    </row>
    <row r="194" spans="1:14" ht="15" customHeight="1">
      <c r="A194" s="703"/>
      <c r="B194" s="360" t="str">
        <f t="shared" si="2"/>
        <v>Octavofinalista</v>
      </c>
      <c r="C194" s="349" t="str">
        <f ca="1">WORLDCUP!AF124</f>
        <v>España</v>
      </c>
      <c r="D194" s="706"/>
      <c r="E194" s="370"/>
      <c r="F194" s="370"/>
      <c r="G194" s="370"/>
      <c r="H194" s="370"/>
      <c r="I194" s="352"/>
      <c r="J194" s="370"/>
      <c r="K194" s="370"/>
      <c r="L194" s="370"/>
      <c r="M194" s="386"/>
      <c r="N194" s="377"/>
    </row>
    <row r="195" spans="1:14" ht="15" customHeight="1">
      <c r="A195" s="703"/>
      <c r="B195" s="360" t="str">
        <f t="shared" si="2"/>
        <v>Octavofinalista</v>
      </c>
      <c r="C195" s="349" t="str">
        <f ca="1">WORLDCUP!AF125</f>
        <v>Bélgica</v>
      </c>
      <c r="D195" s="706"/>
      <c r="E195" s="370"/>
      <c r="F195" s="370"/>
      <c r="G195" s="370"/>
      <c r="H195" s="370"/>
      <c r="I195" s="352"/>
      <c r="J195" s="370"/>
      <c r="K195" s="370"/>
      <c r="L195" s="370"/>
      <c r="M195" s="386"/>
      <c r="N195" s="377"/>
    </row>
    <row r="196" spans="1:14" ht="15" customHeight="1">
      <c r="A196" s="703"/>
      <c r="B196" s="360" t="str">
        <f t="shared" si="2"/>
        <v>Octavofinalista</v>
      </c>
      <c r="C196" s="349" t="str">
        <f ca="1">WORLDCUP!AF126</f>
        <v>Turquía</v>
      </c>
      <c r="D196" s="706"/>
      <c r="E196" s="370"/>
      <c r="F196" s="370"/>
      <c r="G196" s="370"/>
      <c r="H196" s="370"/>
      <c r="I196" s="352"/>
      <c r="J196" s="370"/>
      <c r="K196" s="370"/>
      <c r="L196" s="370"/>
      <c r="M196" s="386"/>
      <c r="N196" s="377"/>
    </row>
    <row r="197" spans="1:14" ht="15" customHeight="1">
      <c r="A197" s="703"/>
      <c r="B197" s="360" t="str">
        <f t="shared" si="2"/>
        <v>Octavofinalista</v>
      </c>
      <c r="C197" s="349" t="str">
        <f ca="1">WORLDCUP!AF127</f>
        <v>Portugal</v>
      </c>
      <c r="D197" s="706"/>
      <c r="E197" s="373"/>
      <c r="F197" s="373"/>
      <c r="G197" s="373"/>
      <c r="H197" s="373"/>
      <c r="I197" s="352"/>
      <c r="J197" s="370"/>
      <c r="K197" s="370"/>
      <c r="L197" s="370"/>
      <c r="M197" s="386"/>
      <c r="N197" s="377"/>
    </row>
    <row r="198" spans="1:14">
      <c r="A198" s="353"/>
      <c r="B198" s="353"/>
      <c r="C198" s="350"/>
      <c r="D198" s="370"/>
      <c r="E198" s="370"/>
      <c r="F198" s="370"/>
      <c r="G198" s="370"/>
      <c r="H198" s="370"/>
      <c r="I198" s="387"/>
      <c r="J198" s="370"/>
      <c r="K198" s="370"/>
      <c r="L198" s="370"/>
      <c r="M198" s="386"/>
      <c r="N198" s="377"/>
    </row>
    <row r="199" spans="1:14" ht="19" customHeight="1">
      <c r="A199" s="353"/>
      <c r="B199" s="358" t="str">
        <f>Idiomas!D130</f>
        <v>ENFRENTAMIENTOS OCTAVOS</v>
      </c>
      <c r="C199" s="350"/>
      <c r="D199" s="370"/>
      <c r="E199" s="370"/>
      <c r="F199" s="370"/>
      <c r="G199" s="370"/>
      <c r="H199" s="370"/>
      <c r="I199" s="388"/>
      <c r="J199" s="370"/>
      <c r="K199" s="370"/>
      <c r="L199" s="370"/>
      <c r="M199" s="386"/>
      <c r="N199" s="377"/>
    </row>
    <row r="200" spans="1:14" ht="15" customHeight="1">
      <c r="A200" s="703" t="s">
        <v>89</v>
      </c>
      <c r="B200" s="361" t="str">
        <f ca="1">CONCATENATE(WORLDCUP!AA120,"-",WORLDCUP!AF120)</f>
        <v>Corea del Sur-Países Bajos</v>
      </c>
      <c r="C200" s="351" t="str">
        <f ca="1">CONCATENATE(WORLDCUP!AA120,"-",WORLDCUP!AF120,"·",IF(WORLDCUP!AC120&gt;WORLDCUP!AD120,1,IF(WORLDCUP!AC120&lt;WORLDCUP!AD120,2,IF(AND(WORLDCUP!AC120=WORLDCUP!AD120,WORLDCUP!AC120&lt;&gt;"",WORLDCUP!AD120&lt;&gt;""),"X",0))),"|",WORLDCUP!AC120,"-",WORLDCUP!AD120)</f>
        <v>Corea del Sur-Países Bajos·2|1-3</v>
      </c>
      <c r="D200" s="686" t="s">
        <v>89</v>
      </c>
      <c r="E200" s="685" t="str">
        <f>Idiomas!D116</f>
        <v>·Para los octavos de final copiar de la C200 a la C217 y pega valores en la plantilla de administrador.</v>
      </c>
      <c r="F200" s="685"/>
      <c r="G200" s="685"/>
      <c r="H200" s="685"/>
      <c r="I200" s="352"/>
      <c r="J200" s="370"/>
      <c r="K200" s="370"/>
      <c r="L200" s="370"/>
      <c r="M200" s="386"/>
      <c r="N200" s="377"/>
    </row>
    <row r="201" spans="1:14" ht="15" customHeight="1">
      <c r="A201" s="703"/>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Alemania-Francia·1|1-0</v>
      </c>
      <c r="D201" s="686"/>
      <c r="E201" s="685"/>
      <c r="F201" s="685"/>
      <c r="G201" s="685"/>
      <c r="H201" s="685"/>
      <c r="I201" s="352"/>
      <c r="J201" s="370"/>
      <c r="K201" s="370"/>
      <c r="L201" s="370"/>
      <c r="M201" s="386"/>
      <c r="N201" s="377"/>
    </row>
    <row r="202" spans="1:14" ht="15" customHeight="1">
      <c r="A202" s="703"/>
      <c r="B202" s="361" t="str">
        <f ca="1">CONCATENATE(WORLDCUP!AA122,"-",WORLDCUP!AF122)</f>
        <v>Brasil-Noruega</v>
      </c>
      <c r="C202" s="351" t="str">
        <f ca="1">CONCATENATE(WORLDCUP!AA122,"-",WORLDCUP!AF122,"·",IF(WORLDCUP!AC122&gt;WORLDCUP!AD122,1,IF(WORLDCUP!AC122&lt;WORLDCUP!AD122,2,IF(AND(WORLDCUP!AC122=WORLDCUP!AD122,WORLDCUP!AC122&lt;&gt;"",WORLDCUP!AD122&lt;&gt;""),"X",0))),"|",WORLDCUP!AC122,"-",WORLDCUP!AD122)</f>
        <v>Brasil-Noruega·1|2-1</v>
      </c>
      <c r="D202" s="686"/>
      <c r="E202" s="685"/>
      <c r="F202" s="685"/>
      <c r="G202" s="685"/>
      <c r="H202" s="685"/>
      <c r="I202" s="352"/>
      <c r="J202" s="370"/>
      <c r="K202" s="370"/>
      <c r="L202" s="370"/>
      <c r="M202" s="386"/>
      <c r="N202" s="377"/>
    </row>
    <row r="203" spans="1:14" ht="15" customHeight="1">
      <c r="A203" s="703"/>
      <c r="B203" s="361" t="str">
        <f ca="1">CONCATENATE(WORLDCUP!AA123,"-",WORLDCUP!AF123)</f>
        <v>México-Inglaterra</v>
      </c>
      <c r="C203" s="351" t="str">
        <f ca="1">CONCATENATE(WORLDCUP!AA123,"-",WORLDCUP!AF123,"·",IF(WORLDCUP!AC123&gt;WORLDCUP!AD123,1,IF(WORLDCUP!AC123&lt;WORLDCUP!AD123,2,IF(AND(WORLDCUP!AC123=WORLDCUP!AD123,WORLDCUP!AC123&lt;&gt;"",WORLDCUP!AD123&lt;&gt;""),"X",0))),"|",WORLDCUP!AC123,"-",WORLDCUP!AD123)</f>
        <v>México-Inglaterra·2|1-3</v>
      </c>
      <c r="D203" s="686"/>
      <c r="E203" s="685"/>
      <c r="F203" s="685"/>
      <c r="G203" s="685"/>
      <c r="H203" s="685"/>
      <c r="I203" s="352"/>
      <c r="J203" s="370"/>
      <c r="K203" s="370"/>
      <c r="L203" s="370"/>
      <c r="M203" s="386"/>
      <c r="N203" s="377"/>
    </row>
    <row r="204" spans="1:14" ht="15" customHeight="1">
      <c r="A204" s="703"/>
      <c r="B204" s="361" t="str">
        <f ca="1">CONCATENATE(WORLDCUP!AA124,"-",WORLDCUP!AF124)</f>
        <v>Colombia-España</v>
      </c>
      <c r="C204" s="351" t="str">
        <f ca="1">CONCATENATE(WORLDCUP!AA124,"-",WORLDCUP!AF124,"·",IF(WORLDCUP!AC124&gt;WORLDCUP!AD124,1,IF(WORLDCUP!AC124&lt;WORLDCUP!AD124,2,IF(AND(WORLDCUP!AC124=WORLDCUP!AD124,WORLDCUP!AC124&lt;&gt;"",WORLDCUP!AD124&lt;&gt;""),"X",0))),"|",WORLDCUP!AC124,"-",WORLDCUP!AD124)</f>
        <v>Colombia-España·X|2-2</v>
      </c>
      <c r="D204" s="686"/>
      <c r="E204" s="352"/>
      <c r="F204" s="352"/>
      <c r="G204" s="352"/>
      <c r="H204" s="352"/>
      <c r="I204" s="352"/>
      <c r="J204" s="370"/>
      <c r="K204" s="370"/>
      <c r="L204" s="370"/>
      <c r="M204" s="386"/>
      <c r="N204" s="377"/>
    </row>
    <row r="205" spans="1:14" ht="15" customHeight="1">
      <c r="A205" s="703"/>
      <c r="B205" s="361" t="str">
        <f ca="1">CONCATENATE(WORLDCUP!AA125,"-",WORLDCUP!AF125)</f>
        <v>Estados Unidos-Bélgica</v>
      </c>
      <c r="C205" s="351" t="str">
        <f ca="1">CONCATENATE(WORLDCUP!AA125,"-",WORLDCUP!AF125,"·",IF(WORLDCUP!AC125&gt;WORLDCUP!AD125,1,IF(WORLDCUP!AC125&lt;WORLDCUP!AD125,2,IF(AND(WORLDCUP!AC125=WORLDCUP!AD125,WORLDCUP!AC125&lt;&gt;"",WORLDCUP!AD125&lt;&gt;""),"X",0))),"|",WORLDCUP!AC125,"-",WORLDCUP!AD125)</f>
        <v>Estados Unidos-Bélgica·X|1-1</v>
      </c>
      <c r="D205" s="686"/>
      <c r="E205" s="352"/>
      <c r="F205" s="352"/>
      <c r="G205" s="352"/>
      <c r="H205" s="352"/>
      <c r="I205" s="352"/>
      <c r="J205" s="370"/>
      <c r="K205" s="370"/>
      <c r="L205" s="370"/>
      <c r="M205" s="386"/>
      <c r="N205" s="377"/>
    </row>
    <row r="206" spans="1:14" ht="15" customHeight="1">
      <c r="A206" s="703"/>
      <c r="B206" s="361" t="str">
        <f ca="1">CONCATENATE(WORLDCUP!AA126,"-",WORLDCUP!AF126)</f>
        <v>Argentina-Turquía</v>
      </c>
      <c r="C206" s="351" t="str">
        <f ca="1">CONCATENATE(WORLDCUP!AA126,"-",WORLDCUP!AF126,"·",IF(WORLDCUP!AC126&gt;WORLDCUP!AD126,1,IF(WORLDCUP!AC126&lt;WORLDCUP!AD126,2,IF(AND(WORLDCUP!AC126=WORLDCUP!AD126,WORLDCUP!AC126&lt;&gt;"",WORLDCUP!AD126&lt;&gt;""),"X",0))),"|",WORLDCUP!AC126,"-",WORLDCUP!AD126)</f>
        <v>Argentina-Turquía·1|2-0</v>
      </c>
      <c r="D206" s="686"/>
      <c r="E206" s="352"/>
      <c r="F206" s="352"/>
      <c r="G206" s="352"/>
      <c r="H206" s="352"/>
      <c r="I206" s="352"/>
      <c r="J206" s="370"/>
      <c r="K206" s="370"/>
      <c r="L206" s="370"/>
      <c r="M206" s="386"/>
      <c r="N206" s="377"/>
    </row>
    <row r="207" spans="1:14" ht="15" customHeight="1">
      <c r="A207" s="703"/>
      <c r="B207" s="361" t="str">
        <f ca="1">CONCATENATE(WORLDCUP!AA127,"-",WORLDCUP!AF127)</f>
        <v>Suiza-Portugal</v>
      </c>
      <c r="C207" s="351" t="str">
        <f ca="1">CONCATENATE(WORLDCUP!AA127,"-",WORLDCUP!AF127,"·",IF(WORLDCUP!AC127&gt;WORLDCUP!AD127,1,IF(WORLDCUP!AC127&lt;WORLDCUP!AD127,2,IF(AND(WORLDCUP!AC127=WORLDCUP!AD127,WORLDCUP!AC127&lt;&gt;"",WORLDCUP!AD127&lt;&gt;""),"X",0))),"|",WORLDCUP!AC127,"-",WORLDCUP!AD127)</f>
        <v>Suiza-Portugal·2|1-2</v>
      </c>
      <c r="D207" s="686"/>
      <c r="E207" s="352"/>
      <c r="F207" s="352"/>
      <c r="G207" s="352"/>
      <c r="H207" s="352"/>
      <c r="I207" s="352"/>
      <c r="J207" s="370"/>
      <c r="K207" s="370"/>
      <c r="L207" s="370"/>
      <c r="M207" s="386"/>
      <c r="N207" s="377"/>
    </row>
    <row r="208" spans="1:14" ht="15" customHeight="1">
      <c r="A208" s="353"/>
      <c r="B208" s="353"/>
      <c r="C208" s="350"/>
      <c r="D208" s="686"/>
      <c r="E208" s="370"/>
      <c r="F208" s="370"/>
      <c r="G208" s="370"/>
      <c r="H208" s="370"/>
      <c r="I208" s="352"/>
      <c r="J208" s="370"/>
      <c r="K208" s="370"/>
      <c r="L208" s="370"/>
      <c r="M208" s="386"/>
      <c r="N208" s="377"/>
    </row>
    <row r="209" spans="1:14" ht="19" customHeight="1">
      <c r="A209" s="353"/>
      <c r="B209" s="358" t="str">
        <f>Idiomas!D131</f>
        <v>CLASIFICADOS PARA CUARTOS</v>
      </c>
      <c r="C209" s="350"/>
      <c r="D209" s="686"/>
      <c r="E209" s="370"/>
      <c r="F209" s="370"/>
      <c r="G209" s="370"/>
      <c r="H209" s="370"/>
      <c r="I209" s="352"/>
      <c r="J209" s="370"/>
      <c r="K209" s="370"/>
      <c r="L209" s="370"/>
      <c r="M209" s="386"/>
      <c r="N209" s="377"/>
    </row>
    <row r="210" spans="1:14" ht="15" customHeight="1">
      <c r="A210" s="703" t="s">
        <v>36</v>
      </c>
      <c r="B210" s="360" t="str">
        <f>Idiomas!$D$190</f>
        <v>Cuartofinalista</v>
      </c>
      <c r="C210" s="349" t="str">
        <f ca="1">WORLDCUP!AA131</f>
        <v>Alemania</v>
      </c>
      <c r="D210" s="686"/>
      <c r="E210" s="370"/>
      <c r="F210" s="370"/>
      <c r="G210" s="370"/>
      <c r="H210" s="370"/>
      <c r="I210" s="352"/>
      <c r="J210" s="370"/>
      <c r="K210" s="370"/>
      <c r="L210" s="370"/>
      <c r="M210" s="386"/>
      <c r="N210" s="377"/>
    </row>
    <row r="211" spans="1:14" ht="15" customHeight="1">
      <c r="A211" s="703"/>
      <c r="B211" s="360" t="str">
        <f>B210</f>
        <v>Cuartofinalista</v>
      </c>
      <c r="C211" s="349" t="str">
        <f ca="1">WORLDCUP!AA132</f>
        <v>Colombia</v>
      </c>
      <c r="D211" s="686"/>
      <c r="E211" s="370"/>
      <c r="F211" s="370"/>
      <c r="G211" s="370"/>
      <c r="H211" s="370"/>
      <c r="I211" s="352"/>
      <c r="J211" s="370"/>
      <c r="K211" s="370"/>
      <c r="L211" s="370"/>
      <c r="M211" s="386"/>
      <c r="N211" s="377"/>
    </row>
    <row r="212" spans="1:14" ht="15" customHeight="1">
      <c r="A212" s="703"/>
      <c r="B212" s="360" t="str">
        <f t="shared" ref="B212:B217" si="3">B211</f>
        <v>Cuartofinalista</v>
      </c>
      <c r="C212" s="349" t="str">
        <f ca="1">WORLDCUP!AA133</f>
        <v>Brasil</v>
      </c>
      <c r="D212" s="686"/>
      <c r="E212" s="370"/>
      <c r="F212" s="370"/>
      <c r="G212" s="370"/>
      <c r="H212" s="370"/>
      <c r="I212" s="352"/>
      <c r="J212" s="370"/>
      <c r="K212" s="370"/>
      <c r="L212" s="370"/>
      <c r="M212" s="386"/>
      <c r="N212" s="377"/>
    </row>
    <row r="213" spans="1:14" ht="15" customHeight="1">
      <c r="A213" s="703"/>
      <c r="B213" s="360" t="str">
        <f t="shared" si="3"/>
        <v>Cuartofinalista</v>
      </c>
      <c r="C213" s="349" t="str">
        <f ca="1">WORLDCUP!AA134</f>
        <v>Argentina</v>
      </c>
      <c r="D213" s="686"/>
      <c r="E213" s="370"/>
      <c r="F213" s="370"/>
      <c r="G213" s="370"/>
      <c r="H213" s="370"/>
      <c r="I213" s="352"/>
      <c r="J213" s="370"/>
      <c r="K213" s="370"/>
      <c r="L213" s="370"/>
      <c r="M213" s="386"/>
      <c r="N213" s="377"/>
    </row>
    <row r="214" spans="1:14" ht="15" customHeight="1">
      <c r="A214" s="703"/>
      <c r="B214" s="360" t="str">
        <f t="shared" si="3"/>
        <v>Cuartofinalista</v>
      </c>
      <c r="C214" s="349" t="str">
        <f ca="1">WORLDCUP!AF131</f>
        <v>Países Bajos</v>
      </c>
      <c r="D214" s="686"/>
      <c r="E214" s="370"/>
      <c r="F214" s="370"/>
      <c r="G214" s="370"/>
      <c r="H214" s="370"/>
      <c r="I214" s="352"/>
      <c r="J214" s="370"/>
      <c r="K214" s="370"/>
      <c r="L214" s="370"/>
      <c r="M214" s="386"/>
      <c r="N214" s="377"/>
    </row>
    <row r="215" spans="1:14" ht="15" customHeight="1">
      <c r="A215" s="703"/>
      <c r="B215" s="360" t="str">
        <f t="shared" si="3"/>
        <v>Cuartofinalista</v>
      </c>
      <c r="C215" s="349" t="str">
        <f ca="1">WORLDCUP!AF132</f>
        <v>Estados Unidos</v>
      </c>
      <c r="D215" s="686"/>
      <c r="E215" s="370"/>
      <c r="F215" s="370"/>
      <c r="G215" s="370"/>
      <c r="H215" s="370"/>
      <c r="I215" s="352"/>
      <c r="J215" s="370"/>
      <c r="K215" s="370"/>
      <c r="L215" s="370"/>
      <c r="M215" s="386"/>
      <c r="N215" s="377"/>
    </row>
    <row r="216" spans="1:14" ht="15" customHeight="1">
      <c r="A216" s="703"/>
      <c r="B216" s="360" t="str">
        <f t="shared" si="3"/>
        <v>Cuartofinalista</v>
      </c>
      <c r="C216" s="349" t="str">
        <f ca="1">WORLDCUP!AF133</f>
        <v>Inglaterra</v>
      </c>
      <c r="D216" s="686"/>
      <c r="E216" s="370"/>
      <c r="F216" s="370"/>
      <c r="G216" s="370"/>
      <c r="H216" s="370"/>
      <c r="I216" s="352"/>
      <c r="J216" s="370"/>
      <c r="K216" s="370"/>
      <c r="L216" s="370"/>
      <c r="M216" s="386"/>
      <c r="N216" s="377"/>
    </row>
    <row r="217" spans="1:14" ht="15" customHeight="1">
      <c r="A217" s="703"/>
      <c r="B217" s="360" t="str">
        <f t="shared" si="3"/>
        <v>Cuartofinalista</v>
      </c>
      <c r="C217" s="349" t="str">
        <f ca="1">WORLDCUP!AF134</f>
        <v>Portugal</v>
      </c>
      <c r="D217" s="686"/>
      <c r="E217" s="373"/>
      <c r="F217" s="373"/>
      <c r="G217" s="373"/>
      <c r="H217" s="373"/>
      <c r="I217" s="352"/>
      <c r="J217" s="370"/>
      <c r="K217" s="370"/>
      <c r="L217" s="370"/>
      <c r="M217" s="386"/>
      <c r="N217" s="377"/>
    </row>
    <row r="218" spans="1:14">
      <c r="A218" s="353"/>
      <c r="B218" s="353"/>
      <c r="C218" s="350"/>
      <c r="D218" s="370"/>
      <c r="E218" s="370"/>
      <c r="F218" s="370"/>
      <c r="G218" s="370"/>
      <c r="H218" s="370"/>
      <c r="I218" s="387"/>
      <c r="J218" s="370"/>
      <c r="K218" s="370"/>
      <c r="L218" s="370"/>
      <c r="M218" s="386"/>
      <c r="N218" s="377"/>
    </row>
    <row r="219" spans="1:14" ht="18.5">
      <c r="A219" s="353"/>
      <c r="B219" s="358" t="str">
        <f>Idiomas!D132</f>
        <v>ENFRENTAMIENTOS CUARTOS</v>
      </c>
      <c r="C219" s="350"/>
      <c r="D219" s="370"/>
      <c r="E219" s="370"/>
      <c r="F219" s="370"/>
      <c r="G219" s="370"/>
      <c r="H219" s="370"/>
      <c r="I219" s="388"/>
      <c r="J219" s="370"/>
      <c r="K219" s="370"/>
      <c r="L219" s="370"/>
      <c r="M219" s="386"/>
      <c r="N219" s="377"/>
    </row>
    <row r="220" spans="1:14" ht="15" customHeight="1">
      <c r="A220" s="703" t="s">
        <v>36</v>
      </c>
      <c r="B220" s="360" t="str">
        <f ca="1">CONCATENATE(WORLDCUP!AA131,"-",WORLDCUP!AF131)</f>
        <v>Alemania-Países Bajos</v>
      </c>
      <c r="C220" s="349" t="str">
        <f ca="1">CONCATENATE(WORLDCUP!AA131,"-",WORLDCUP!AF131,"·",IF(WORLDCUP!AC131&gt;WORLDCUP!AD131,1,IF(WORLDCUP!AC131&lt;WORLDCUP!AD131,2,IF(AND(WORLDCUP!AC131=WORLDCUP!AD131,WORLDCUP!AC131&lt;&gt;"",WORLDCUP!AD131&lt;&gt;""),"X",0))),"|",WORLDCUP!AC131,"-",WORLDCUP!AD131)</f>
        <v>Alemania-Países Bajos·2|0-2</v>
      </c>
      <c r="D220" s="706" t="s">
        <v>36</v>
      </c>
      <c r="E220" s="685" t="str">
        <f>Idiomas!D117</f>
        <v>·Para los cuartos de final copiar de la C220 a la C229 y pega valores en la plantilla de administrador.</v>
      </c>
      <c r="F220" s="685"/>
      <c r="G220" s="685"/>
      <c r="H220" s="685"/>
      <c r="I220" s="352"/>
      <c r="J220" s="370"/>
      <c r="K220" s="370"/>
      <c r="L220" s="370"/>
      <c r="M220" s="386"/>
      <c r="N220" s="377"/>
    </row>
    <row r="221" spans="1:14" ht="15" customHeight="1">
      <c r="A221" s="703"/>
      <c r="B221" s="360" t="str">
        <f ca="1">CONCATENATE(WORLDCUP!AA132,"-",WORLDCUP!AF132)</f>
        <v>Colombia-Estados Unidos</v>
      </c>
      <c r="C221" s="349" t="str">
        <f ca="1">CONCATENATE(WORLDCUP!AA132,"-",WORLDCUP!AF132,"·",IF(WORLDCUP!AC132&gt;WORLDCUP!AD132,1,IF(WORLDCUP!AC132&lt;WORLDCUP!AD132,2,IF(AND(WORLDCUP!AC132=WORLDCUP!AD132,WORLDCUP!AC132&lt;&gt;"",WORLDCUP!AD132&lt;&gt;""),"X",0))),"|",WORLDCUP!AC132,"-",WORLDCUP!AD132)</f>
        <v>Colombia-Estados Unidos·1|2-1</v>
      </c>
      <c r="D221" s="706"/>
      <c r="E221" s="685"/>
      <c r="F221" s="685"/>
      <c r="G221" s="685"/>
      <c r="H221" s="685"/>
      <c r="I221" s="352"/>
      <c r="J221" s="370"/>
      <c r="K221" s="370"/>
      <c r="L221" s="370"/>
      <c r="M221" s="386"/>
      <c r="N221" s="377"/>
    </row>
    <row r="222" spans="1:14" ht="15" customHeight="1">
      <c r="A222" s="703"/>
      <c r="B222" s="360" t="str">
        <f ca="1">CONCATENATE(WORLDCUP!AA133,"-",WORLDCUP!AF133)</f>
        <v>Brasil-Inglaterra</v>
      </c>
      <c r="C222" s="349" t="str">
        <f ca="1">CONCATENATE(WORLDCUP!AA133,"-",WORLDCUP!AF133,"·",IF(WORLDCUP!AC133&gt;WORLDCUP!AD133,1,IF(WORLDCUP!AC133&lt;WORLDCUP!AD133,2,IF(AND(WORLDCUP!AC133=WORLDCUP!AD133,WORLDCUP!AC133&lt;&gt;"",WORLDCUP!AD133&lt;&gt;""),"X",0))),"|",WORLDCUP!AC133,"-",WORLDCUP!AD133)</f>
        <v>Brasil-Inglaterra·X|2-2</v>
      </c>
      <c r="D222" s="706"/>
      <c r="E222" s="685"/>
      <c r="F222" s="685"/>
      <c r="G222" s="685"/>
      <c r="H222" s="685"/>
      <c r="I222" s="352"/>
      <c r="J222" s="370"/>
      <c r="K222" s="370"/>
      <c r="L222" s="370"/>
      <c r="M222" s="386"/>
      <c r="N222" s="377"/>
    </row>
    <row r="223" spans="1:14" ht="15" customHeight="1">
      <c r="A223" s="703"/>
      <c r="B223" s="360" t="str">
        <f ca="1">CONCATENATE(WORLDCUP!AA134,"-",WORLDCUP!AF134)</f>
        <v>Argentina-Portugal</v>
      </c>
      <c r="C223" s="349" t="str">
        <f ca="1">CONCATENATE(WORLDCUP!AA134,"-",WORLDCUP!AF134,"·",IF(WORLDCUP!AC134&gt;WORLDCUP!AD134,1,IF(WORLDCUP!AC134&lt;WORLDCUP!AD134,2,IF(AND(WORLDCUP!AC134=WORLDCUP!AD134,WORLDCUP!AC134&lt;&gt;"",WORLDCUP!AD134&lt;&gt;""),"X",0))),"|",WORLDCUP!AC134,"-",WORLDCUP!AD134)</f>
        <v>Argentina-Portugal·X|2-2</v>
      </c>
      <c r="D223" s="706"/>
      <c r="E223" s="685"/>
      <c r="F223" s="685"/>
      <c r="G223" s="685"/>
      <c r="H223" s="685"/>
      <c r="I223" s="352"/>
      <c r="J223" s="370"/>
      <c r="K223" s="370"/>
      <c r="L223" s="370"/>
      <c r="M223" s="386"/>
      <c r="N223" s="377"/>
    </row>
    <row r="224" spans="1:14">
      <c r="A224" s="353"/>
      <c r="B224" s="353"/>
      <c r="C224" s="350"/>
      <c r="D224" s="706"/>
      <c r="E224" s="352"/>
      <c r="F224" s="352"/>
      <c r="G224" s="352"/>
      <c r="H224" s="352"/>
      <c r="I224" s="352"/>
      <c r="J224" s="370"/>
      <c r="K224" s="370"/>
      <c r="L224" s="370"/>
      <c r="M224" s="386"/>
      <c r="N224" s="377"/>
    </row>
    <row r="225" spans="1:14" ht="18.5">
      <c r="A225" s="353"/>
      <c r="B225" s="358" t="str">
        <f>Idiomas!D133</f>
        <v>CLASIFICADOS PARA SEMIFINALES</v>
      </c>
      <c r="C225" s="350"/>
      <c r="D225" s="706"/>
      <c r="E225" s="370"/>
      <c r="F225" s="370"/>
      <c r="G225" s="370"/>
      <c r="H225" s="370"/>
      <c r="I225" s="352"/>
      <c r="J225" s="370"/>
      <c r="K225" s="370"/>
      <c r="L225" s="370"/>
      <c r="M225" s="386"/>
      <c r="N225" s="377"/>
    </row>
    <row r="226" spans="1:14" ht="15" customHeight="1">
      <c r="A226" s="703" t="s">
        <v>37</v>
      </c>
      <c r="B226" s="360" t="str">
        <f>Idiomas!$D$191</f>
        <v>Semifinalista</v>
      </c>
      <c r="C226" s="349" t="str">
        <f ca="1">WORLDCUP!AA138</f>
        <v>Países Bajos</v>
      </c>
      <c r="D226" s="706"/>
      <c r="E226" s="370"/>
      <c r="F226" s="370"/>
      <c r="G226" s="370"/>
      <c r="H226" s="370"/>
      <c r="I226" s="352"/>
      <c r="J226" s="370"/>
      <c r="K226" s="370"/>
      <c r="L226" s="370"/>
      <c r="M226" s="386"/>
      <c r="N226" s="377"/>
    </row>
    <row r="227" spans="1:14" ht="15" customHeight="1">
      <c r="A227" s="703"/>
      <c r="B227" s="360" t="str">
        <f>Idiomas!$D$191</f>
        <v>Semifinalista</v>
      </c>
      <c r="C227" s="349" t="str">
        <f ca="1">WORLDCUP!AA139</f>
        <v>Brasil</v>
      </c>
      <c r="D227" s="706"/>
      <c r="E227" s="370"/>
      <c r="F227" s="370"/>
      <c r="G227" s="370"/>
      <c r="H227" s="370"/>
      <c r="I227" s="352"/>
      <c r="J227" s="370"/>
      <c r="K227" s="370"/>
      <c r="L227" s="370"/>
      <c r="M227" s="386"/>
      <c r="N227" s="377"/>
    </row>
    <row r="228" spans="1:14" ht="15" customHeight="1">
      <c r="A228" s="703"/>
      <c r="B228" s="360" t="str">
        <f>Idiomas!$D$191</f>
        <v>Semifinalista</v>
      </c>
      <c r="C228" s="349" t="str">
        <f ca="1">WORLDCUP!AF138</f>
        <v>Colombia</v>
      </c>
      <c r="D228" s="706"/>
      <c r="E228" s="370"/>
      <c r="F228" s="370"/>
      <c r="G228" s="370"/>
      <c r="H228" s="370"/>
      <c r="I228" s="352"/>
      <c r="J228" s="370"/>
      <c r="K228" s="370"/>
      <c r="L228" s="370"/>
      <c r="M228" s="386"/>
      <c r="N228" s="377"/>
    </row>
    <row r="229" spans="1:14" ht="15" customHeight="1">
      <c r="A229" s="703"/>
      <c r="B229" s="360" t="str">
        <f>Idiomas!$D$191</f>
        <v>Semifinalista</v>
      </c>
      <c r="C229" s="349" t="str">
        <f ca="1">WORLDCUP!AF139</f>
        <v>Argentina</v>
      </c>
      <c r="D229" s="706"/>
      <c r="E229" s="373"/>
      <c r="F229" s="373"/>
      <c r="G229" s="373"/>
      <c r="H229" s="373"/>
      <c r="I229" s="352"/>
      <c r="J229" s="370"/>
      <c r="K229" s="370"/>
      <c r="L229" s="370"/>
      <c r="M229" s="386"/>
      <c r="N229" s="377"/>
    </row>
    <row r="230" spans="1:14">
      <c r="A230" s="353"/>
      <c r="B230" s="353"/>
      <c r="C230" s="350"/>
      <c r="D230" s="370"/>
      <c r="E230" s="370"/>
      <c r="F230" s="370"/>
      <c r="G230" s="370"/>
      <c r="H230" s="370"/>
      <c r="I230" s="388"/>
      <c r="J230" s="370"/>
      <c r="K230" s="370"/>
      <c r="L230" s="370"/>
      <c r="M230" s="386"/>
      <c r="N230" s="377"/>
    </row>
    <row r="231" spans="1:14" ht="19" customHeight="1">
      <c r="A231" s="353"/>
      <c r="B231" s="358" t="str">
        <f>Idiomas!D134</f>
        <v>ENFRENTAMIENTOS SEMIFINALES</v>
      </c>
      <c r="C231" s="350"/>
      <c r="D231" s="370"/>
      <c r="E231" s="370"/>
      <c r="F231" s="370"/>
      <c r="G231" s="370"/>
      <c r="H231" s="370"/>
      <c r="I231" s="388"/>
      <c r="J231" s="370"/>
      <c r="K231" s="370"/>
      <c r="L231" s="370"/>
      <c r="M231" s="386"/>
      <c r="N231" s="377"/>
    </row>
    <row r="232" spans="1:14" ht="15" customHeight="1">
      <c r="A232" s="710" t="s">
        <v>37</v>
      </c>
      <c r="B232" s="360" t="str">
        <f ca="1">CONCATENATE(WORLDCUP!AA138,"-",WORLDCUP!AF138)</f>
        <v>Países Bajos-Colombia</v>
      </c>
      <c r="C232" s="351" t="str">
        <f ca="1">CONCATENATE(WORLDCUP!AA138,"-",WORLDCUP!AF138,"·",IF(WORLDCUP!AC138&gt;WORLDCUP!AD138,1,IF(WORLDCUP!AC138&lt;WORLDCUP!AD138,2,IF(AND(WORLDCUP!AC138=WORLDCUP!AD138,WORLDCUP!AC138&lt;&gt;"",WORLDCUP!AD138&lt;&gt;""),"X",0))),"|",WORLDCUP!AC138,"-",WORLDCUP!AD138)</f>
        <v>Países Bajos-Colombia·X|1-1</v>
      </c>
      <c r="D232" s="686" t="s">
        <v>37</v>
      </c>
      <c r="E232" s="685" t="str">
        <f>Idiomas!D118</f>
        <v>·Para las semifinales copiar de la C232 a la C241 y pega valores en la plantilla de administrador.</v>
      </c>
      <c r="F232" s="685"/>
      <c r="G232" s="685"/>
      <c r="H232" s="685"/>
      <c r="I232" s="352"/>
      <c r="J232" s="370"/>
      <c r="K232" s="370"/>
      <c r="L232" s="370"/>
      <c r="M232" s="386"/>
      <c r="N232" s="377"/>
    </row>
    <row r="233" spans="1:14" ht="15" customHeight="1">
      <c r="A233" s="710"/>
      <c r="B233" s="360" t="str">
        <f ca="1">CONCATENATE(WORLDCUP!AA139,"-",WORLDCUP!AF139)</f>
        <v>Brasil-Argentina</v>
      </c>
      <c r="C233" s="351" t="str">
        <f ca="1">CONCATENATE(WORLDCUP!AA139,"-",WORLDCUP!AF139,"·",IF(WORLDCUP!AC139&gt;WORLDCUP!AD139,1,IF(WORLDCUP!AC139&lt;WORLDCUP!AD139,2,IF(AND(WORLDCUP!AC139=WORLDCUP!AD139,WORLDCUP!AC139&lt;&gt;"",WORLDCUP!AD139&lt;&gt;""),"X",0))),"|",WORLDCUP!AC139,"-",WORLDCUP!AD139)</f>
        <v>Brasil-Argentina·2|0-1</v>
      </c>
      <c r="D233" s="686"/>
      <c r="E233" s="685"/>
      <c r="F233" s="685"/>
      <c r="G233" s="685"/>
      <c r="H233" s="685"/>
      <c r="I233" s="352"/>
      <c r="J233" s="370"/>
      <c r="K233" s="370"/>
      <c r="L233" s="370"/>
      <c r="M233" s="386"/>
      <c r="N233" s="377"/>
    </row>
    <row r="234" spans="1:14" ht="15" customHeight="1">
      <c r="A234" s="353"/>
      <c r="B234" s="353"/>
      <c r="C234" s="350"/>
      <c r="D234" s="686"/>
      <c r="E234" s="685"/>
      <c r="F234" s="685"/>
      <c r="G234" s="685"/>
      <c r="H234" s="685"/>
      <c r="I234" s="352"/>
      <c r="J234" s="370"/>
      <c r="K234" s="370"/>
      <c r="L234" s="370"/>
      <c r="M234" s="386"/>
      <c r="N234" s="377"/>
    </row>
    <row r="235" spans="1:14" ht="18.5">
      <c r="A235" s="353"/>
      <c r="B235" s="358" t="str">
        <f>Idiomas!D135</f>
        <v>CLASIFICADOS PARA EL 3º y 4º PUESTO</v>
      </c>
      <c r="C235" s="350"/>
      <c r="D235" s="686"/>
      <c r="E235" s="685"/>
      <c r="F235" s="685"/>
      <c r="G235" s="685"/>
      <c r="H235" s="685"/>
      <c r="I235" s="352"/>
      <c r="J235" s="370"/>
      <c r="K235" s="370"/>
      <c r="L235" s="370"/>
      <c r="M235" s="386"/>
      <c r="N235" s="377"/>
    </row>
    <row r="236" spans="1:14" ht="15" customHeight="1">
      <c r="A236" s="710" t="s">
        <v>503</v>
      </c>
      <c r="B236" s="360" t="str">
        <f>Idiomas!D192</f>
        <v>3º y 4º puesto</v>
      </c>
      <c r="C236" s="349" t="str">
        <f ca="1">WORLDCUP!AA143</f>
        <v>Colombia</v>
      </c>
      <c r="D236" s="686"/>
      <c r="E236" s="374"/>
      <c r="F236" s="374"/>
      <c r="G236" s="374"/>
      <c r="H236" s="374"/>
      <c r="I236" s="352"/>
      <c r="J236" s="370"/>
      <c r="K236" s="370"/>
      <c r="L236" s="370"/>
      <c r="M236" s="386"/>
      <c r="N236" s="377"/>
    </row>
    <row r="237" spans="1:14" ht="15" customHeight="1">
      <c r="A237" s="710"/>
      <c r="B237" s="360" t="str">
        <f>Idiomas!D192</f>
        <v>3º y 4º puesto</v>
      </c>
      <c r="C237" s="349" t="str">
        <f ca="1">WORLDCUP!AF143</f>
        <v>Brasil</v>
      </c>
      <c r="D237" s="686"/>
      <c r="E237" s="374"/>
      <c r="F237" s="374"/>
      <c r="G237" s="374"/>
      <c r="H237" s="374"/>
      <c r="I237" s="352"/>
      <c r="J237" s="370"/>
      <c r="K237" s="370"/>
      <c r="L237" s="370"/>
      <c r="M237" s="386"/>
      <c r="N237" s="377"/>
    </row>
    <row r="238" spans="1:14" ht="15" customHeight="1">
      <c r="A238" s="353"/>
      <c r="B238" s="353"/>
      <c r="C238" s="350"/>
      <c r="D238" s="686"/>
      <c r="E238" s="374"/>
      <c r="F238" s="374"/>
      <c r="G238" s="374"/>
      <c r="H238" s="374"/>
      <c r="I238" s="352"/>
      <c r="J238" s="370"/>
      <c r="K238" s="370"/>
      <c r="L238" s="370"/>
      <c r="M238" s="386"/>
      <c r="N238" s="377"/>
    </row>
    <row r="239" spans="1:14" ht="19" customHeight="1">
      <c r="A239" s="353"/>
      <c r="B239" s="358" t="str">
        <f>Idiomas!D136</f>
        <v>CLASIFICADOS PARA LA FINAL</v>
      </c>
      <c r="C239" s="350"/>
      <c r="D239" s="686"/>
      <c r="E239" s="374"/>
      <c r="F239" s="374"/>
      <c r="G239" s="374"/>
      <c r="H239" s="374"/>
      <c r="I239" s="352"/>
      <c r="J239" s="370"/>
      <c r="K239" s="370"/>
      <c r="L239" s="370"/>
      <c r="M239" s="386"/>
      <c r="N239" s="377"/>
    </row>
    <row r="240" spans="1:14" ht="15" customHeight="1">
      <c r="A240" s="710" t="s">
        <v>4</v>
      </c>
      <c r="B240" s="360" t="str">
        <f>Idiomas!D193</f>
        <v>Finalista</v>
      </c>
      <c r="C240" s="349" t="str">
        <f ca="1">WORLDCUP!AA147</f>
        <v>Países Bajos</v>
      </c>
      <c r="D240" s="686"/>
      <c r="E240" s="370"/>
      <c r="F240" s="370"/>
      <c r="G240" s="370"/>
      <c r="H240" s="370"/>
      <c r="I240" s="352"/>
      <c r="J240" s="370"/>
      <c r="K240" s="370"/>
      <c r="L240" s="370"/>
      <c r="M240" s="386"/>
      <c r="N240" s="377"/>
    </row>
    <row r="241" spans="1:14" ht="15" customHeight="1">
      <c r="A241" s="710"/>
      <c r="B241" s="360" t="str">
        <f>B240</f>
        <v>Finalista</v>
      </c>
      <c r="C241" s="349" t="str">
        <f ca="1">WORLDCUP!AF147</f>
        <v>Argentina</v>
      </c>
      <c r="D241" s="686"/>
      <c r="E241" s="375"/>
      <c r="F241" s="375"/>
      <c r="G241" s="375"/>
      <c r="H241" s="389"/>
      <c r="I241" s="390"/>
      <c r="J241" s="370"/>
      <c r="K241" s="370"/>
      <c r="L241" s="370"/>
      <c r="M241" s="386"/>
      <c r="N241" s="377"/>
    </row>
    <row r="242" spans="1:14">
      <c r="A242" s="353"/>
      <c r="B242" s="353"/>
      <c r="C242" s="350"/>
      <c r="D242" s="370"/>
      <c r="E242" s="370"/>
      <c r="F242" s="370"/>
      <c r="G242" s="370"/>
      <c r="H242" s="370"/>
      <c r="I242" s="387"/>
      <c r="J242" s="370"/>
      <c r="K242" s="370"/>
      <c r="L242" s="370"/>
      <c r="M242" s="386"/>
      <c r="N242" s="377"/>
    </row>
    <row r="243" spans="1:14" ht="18.5">
      <c r="A243" s="353"/>
      <c r="B243" s="358" t="str">
        <f>Idiomas!D137</f>
        <v>3º-4º puesto</v>
      </c>
      <c r="C243" s="350"/>
      <c r="D243" s="370"/>
      <c r="E243" s="370"/>
      <c r="F243" s="370"/>
      <c r="G243" s="370"/>
      <c r="H243" s="370"/>
      <c r="I243" s="388"/>
      <c r="J243" s="370"/>
      <c r="K243" s="370"/>
      <c r="L243" s="370"/>
      <c r="M243" s="386"/>
      <c r="N243" s="377"/>
    </row>
    <row r="244" spans="1:14" ht="15" customHeight="1">
      <c r="A244" s="362" t="s">
        <v>503</v>
      </c>
      <c r="B244" s="360" t="str">
        <f ca="1">CONCATENATE(WORLDCUP!AA143,"-",WORLDCUP!AF143)</f>
        <v>Colombia-Brasil</v>
      </c>
      <c r="C244" s="349" t="str">
        <f ca="1">CONCATENATE(WORLDCUP!AA143,"-",WORLDCUP!AF143,"·",IF(WORLDCUP!AC143&gt;WORLDCUP!AD143,1,IF(WORLDCUP!AC143&lt;WORLDCUP!AD143,2,IF(AND(WORLDCUP!AC143=WORLDCUP!AD143,WORLDCUP!AC143&lt;&gt;"",WORLDCUP!AD143&lt;&gt;""),"X",0))),"|",WORLDCUP!AC143,"-",WORLDCUP!AD143)</f>
        <v>Colombia-Brasil·1|2-1</v>
      </c>
      <c r="D244" s="711" t="s">
        <v>582</v>
      </c>
      <c r="E244" s="709" t="str">
        <f>Idiomas!D119</f>
        <v>·Para el 3º y 4º puesto y la Final copiar de la C244 a la C252 y pega valores en la plantilla de administrador.</v>
      </c>
      <c r="F244" s="709"/>
      <c r="G244" s="709"/>
      <c r="H244" s="709"/>
      <c r="I244" s="381"/>
      <c r="J244" s="370"/>
      <c r="K244" s="370"/>
      <c r="L244" s="370"/>
      <c r="M244" s="386"/>
      <c r="N244" s="377"/>
    </row>
    <row r="245" spans="1:14" ht="15" customHeight="1">
      <c r="A245" s="353"/>
      <c r="B245" s="353"/>
      <c r="C245" s="350"/>
      <c r="D245" s="711"/>
      <c r="E245" s="709"/>
      <c r="F245" s="709"/>
      <c r="G245" s="709"/>
      <c r="H245" s="709"/>
      <c r="I245" s="381"/>
      <c r="J245" s="370"/>
      <c r="K245" s="370"/>
      <c r="L245" s="370"/>
      <c r="M245" s="386"/>
      <c r="N245" s="377"/>
    </row>
    <row r="246" spans="1:14" ht="21" customHeight="1">
      <c r="A246" s="353"/>
      <c r="B246" s="358" t="str">
        <f>Idiomas!D138</f>
        <v>ENFRENTAMIENTO FINAL</v>
      </c>
      <c r="C246" s="350"/>
      <c r="D246" s="711"/>
      <c r="E246" s="709"/>
      <c r="F246" s="709"/>
      <c r="G246" s="709"/>
      <c r="H246" s="709"/>
      <c r="I246" s="381"/>
      <c r="J246" s="370"/>
      <c r="K246" s="370"/>
      <c r="L246" s="370"/>
      <c r="M246" s="386"/>
      <c r="N246" s="377"/>
    </row>
    <row r="247" spans="1:14" ht="15" customHeight="1">
      <c r="A247" s="362" t="s">
        <v>4</v>
      </c>
      <c r="B247" s="360" t="str">
        <f ca="1">CONCATENATE(WORLDCUP!AA147,"-",WORLDCUP!AF147)</f>
        <v>Países Bajos-Argentina</v>
      </c>
      <c r="C247" s="351" t="str">
        <f ca="1">CONCATENATE(WORLDCUP!AA147,"-",WORLDCUP!AF147,"·",IF(WORLDCUP!AC147&gt;WORLDCUP!AD147,1,IF(WORLDCUP!AC147&lt;WORLDCUP!AD147,2,IF(AND(WORLDCUP!AC147=WORLDCUP!AD147,WORLDCUP!AC147&lt;&gt;"",WORLDCUP!AD147&lt;&gt;""),"X",0))),"|",WORLDCUP!AC147,"-",WORLDCUP!AD147)</f>
        <v>Países Bajos-Argentina·2|0-1</v>
      </c>
      <c r="D247" s="711"/>
      <c r="E247" s="376"/>
      <c r="F247" s="376"/>
      <c r="G247" s="376"/>
      <c r="H247" s="376"/>
      <c r="I247" s="381"/>
      <c r="J247" s="370"/>
      <c r="K247" s="370"/>
      <c r="L247" s="370"/>
      <c r="M247" s="386"/>
      <c r="N247" s="377"/>
    </row>
    <row r="248" spans="1:14" ht="15" customHeight="1">
      <c r="A248" s="353"/>
      <c r="B248" s="353"/>
      <c r="C248" s="350"/>
      <c r="D248" s="711"/>
      <c r="E248" s="374"/>
      <c r="F248" s="374"/>
      <c r="G248" s="374"/>
      <c r="H248" s="374"/>
      <c r="I248" s="381"/>
      <c r="J248" s="370"/>
      <c r="K248" s="370"/>
      <c r="L248" s="370"/>
      <c r="M248" s="386"/>
      <c r="N248" s="377"/>
    </row>
    <row r="249" spans="1:14" ht="19" customHeight="1">
      <c r="A249" s="353"/>
      <c r="B249" s="358" t="str">
        <f>Idiomas!D139</f>
        <v>CUADRO DE HONOR</v>
      </c>
      <c r="C249" s="350"/>
      <c r="D249" s="711"/>
      <c r="E249" s="374"/>
      <c r="F249" s="374"/>
      <c r="G249" s="374"/>
      <c r="H249" s="374"/>
      <c r="I249" s="381"/>
      <c r="J249" s="370"/>
      <c r="K249" s="370"/>
      <c r="L249" s="370"/>
      <c r="M249" s="386"/>
      <c r="N249" s="377"/>
    </row>
    <row r="250" spans="1:14" ht="15" customHeight="1">
      <c r="A250" s="363"/>
      <c r="B250" s="360" t="str">
        <f>WORLDCUP!W150</f>
        <v>🥇Campeón</v>
      </c>
      <c r="C250" s="349" t="str">
        <f ca="1">WORLDCUP!AA150</f>
        <v>Argentina</v>
      </c>
      <c r="D250" s="711"/>
      <c r="E250" s="374"/>
      <c r="F250" s="374"/>
      <c r="G250" s="374"/>
      <c r="H250" s="374"/>
      <c r="I250" s="381"/>
      <c r="J250" s="370"/>
      <c r="K250" s="370"/>
      <c r="L250" s="370"/>
      <c r="M250" s="386"/>
      <c r="N250" s="377"/>
    </row>
    <row r="251" spans="1:14" ht="15" customHeight="1">
      <c r="A251" s="364"/>
      <c r="B251" s="360" t="str">
        <f>WORLDCUP!W151</f>
        <v>🥈Subcampeón</v>
      </c>
      <c r="C251" s="349" t="str">
        <f ca="1">WORLDCUP!AA151</f>
        <v>Países Bajos</v>
      </c>
      <c r="D251" s="711"/>
      <c r="E251" s="374"/>
      <c r="F251" s="374"/>
      <c r="G251" s="374"/>
      <c r="H251" s="374"/>
      <c r="I251" s="390"/>
      <c r="J251" s="383"/>
      <c r="K251" s="372"/>
      <c r="L251" s="372"/>
      <c r="M251" s="386"/>
      <c r="N251" s="377"/>
    </row>
    <row r="252" spans="1:14" ht="15" customHeight="1">
      <c r="A252" s="364"/>
      <c r="B252" s="360" t="str">
        <f>WORLDCUP!W152</f>
        <v>🥉3º puesto</v>
      </c>
      <c r="C252" s="349" t="str">
        <f ca="1">WORLDCUP!AA152</f>
        <v>Colombia</v>
      </c>
      <c r="D252" s="711"/>
      <c r="E252" s="370"/>
      <c r="F252" s="370"/>
      <c r="G252" s="370"/>
      <c r="H252" s="370"/>
      <c r="I252" s="352"/>
      <c r="J252" s="370"/>
      <c r="K252" s="370"/>
      <c r="L252" s="370"/>
      <c r="M252" s="391"/>
      <c r="N252" s="377"/>
    </row>
    <row r="253" spans="1:14" ht="15" customHeight="1">
      <c r="A253" s="365"/>
      <c r="B253" s="360" t="str">
        <f>WORLDCUP!W154</f>
        <v>Bota de Oro  (máximo goleador)</v>
      </c>
      <c r="C253" s="349" t="str">
        <f>WORLDCUP!AA154</f>
        <v>Julián Álvarez</v>
      </c>
      <c r="D253" s="371"/>
      <c r="E253" s="708" t="str">
        <f>Idiomas!D120</f>
        <v>·Al inicio de la competición si se hace por fases copiar de la C253 a la C258 y pegarla al final del jugador en el archivo de administrador.</v>
      </c>
      <c r="F253" s="708"/>
      <c r="G253" s="708"/>
      <c r="H253" s="708"/>
      <c r="I253" s="392"/>
      <c r="J253" s="392"/>
      <c r="K253" s="392"/>
      <c r="L253" s="393"/>
      <c r="M253" s="393"/>
      <c r="N253" s="377"/>
    </row>
    <row r="254" spans="1:14" ht="15" customHeight="1">
      <c r="A254" s="366"/>
      <c r="B254" s="360" t="str">
        <f>WORLDCUP!W155</f>
        <v>Bota de Plata (2º máximo goleador)</v>
      </c>
      <c r="C254" s="349" t="str">
        <f>WORLDCUP!AA155</f>
        <v>Luis Díaz</v>
      </c>
      <c r="D254" s="371"/>
      <c r="E254" s="708"/>
      <c r="F254" s="708"/>
      <c r="G254" s="708"/>
      <c r="H254" s="708"/>
      <c r="I254" s="392"/>
      <c r="J254" s="392"/>
      <c r="K254" s="392"/>
      <c r="L254" s="393"/>
      <c r="M254" s="393"/>
      <c r="N254" s="377"/>
    </row>
    <row r="255" spans="1:14" ht="15" customHeight="1">
      <c r="A255" s="366"/>
      <c r="B255" s="360" t="str">
        <f>WORLDCUP!W156</f>
        <v>Bota de Bronce (3º máximo goleador)</v>
      </c>
      <c r="C255" s="349" t="str">
        <f>WORLDCUP!AA156</f>
        <v>Harry Kane</v>
      </c>
      <c r="D255" s="371"/>
      <c r="E255" s="708"/>
      <c r="F255" s="708"/>
      <c r="G255" s="708"/>
      <c r="H255" s="708"/>
      <c r="I255" s="392"/>
      <c r="J255" s="392"/>
      <c r="K255" s="392"/>
      <c r="L255" s="393"/>
      <c r="M255" s="393"/>
      <c r="N255" s="377"/>
    </row>
    <row r="256" spans="1:14" ht="15" customHeight="1">
      <c r="A256" s="363"/>
      <c r="B256" s="360" t="str">
        <f>WORLDCUP!W158</f>
        <v>Balón de Oro  (mejor jugador)</v>
      </c>
      <c r="C256" s="349" t="str">
        <f>WORLDCUP!AA158</f>
        <v>Messi</v>
      </c>
      <c r="D256" s="371"/>
      <c r="E256" s="708"/>
      <c r="F256" s="708"/>
      <c r="G256" s="708"/>
      <c r="H256" s="708"/>
      <c r="I256" s="392"/>
      <c r="J256" s="392"/>
      <c r="K256" s="392"/>
      <c r="L256" s="393"/>
      <c r="M256" s="393"/>
      <c r="N256" s="377"/>
    </row>
    <row r="257" spans="1:14" ht="15" customHeight="1">
      <c r="A257" s="364"/>
      <c r="B257" s="360" t="str">
        <f>WORLDCUP!W159</f>
        <v>Balón de Plata (2º mejor jugador)</v>
      </c>
      <c r="C257" s="349" t="str">
        <f>WORLDCUP!AA159</f>
        <v>Rapinha</v>
      </c>
      <c r="D257" s="371"/>
      <c r="E257" s="371"/>
      <c r="F257" s="392"/>
      <c r="G257" s="392"/>
      <c r="H257" s="392"/>
      <c r="I257" s="392"/>
      <c r="J257" s="392"/>
      <c r="K257" s="392"/>
      <c r="L257" s="393"/>
      <c r="M257" s="393"/>
      <c r="N257" s="377"/>
    </row>
    <row r="258" spans="1:14" ht="15" customHeight="1">
      <c r="A258" s="364"/>
      <c r="B258" s="360" t="str">
        <f>WORLDCUP!W160</f>
        <v>Balón de Bronce (3º mejor jugador)</v>
      </c>
      <c r="C258" s="349" t="str">
        <f>WORLDCUP!AA160</f>
        <v>Saka</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5"/>
  <cols>
    <col min="1" max="1" width="3.26953125" style="186" customWidth="1"/>
    <col min="2" max="2" width="2.7265625" style="9" customWidth="1"/>
    <col min="3" max="3" width="5.7265625" style="3" bestFit="1" customWidth="1"/>
    <col min="4" max="5" width="3.26953125" style="3" customWidth="1"/>
    <col min="6" max="6" width="6.1796875" style="3" customWidth="1"/>
    <col min="7" max="7" width="2.453125" style="3" bestFit="1" customWidth="1"/>
    <col min="8" max="9" width="3.81640625" style="3" customWidth="1"/>
    <col min="10" max="10" width="4.453125" style="3" customWidth="1"/>
    <col min="11" max="11" width="5.26953125" style="3" customWidth="1"/>
    <col min="12" max="12" width="3.26953125" style="3" hidden="1" customWidth="1"/>
    <col min="13" max="13" width="1.7265625" style="186" customWidth="1"/>
    <col min="14" max="14" width="2.7265625" style="9" customWidth="1"/>
    <col min="15" max="15" width="4.26953125" style="3" bestFit="1" customWidth="1"/>
    <col min="16" max="17" width="3.26953125" style="3" customWidth="1"/>
    <col min="18" max="18" width="5.1796875" style="3" bestFit="1" customWidth="1"/>
    <col min="19" max="19" width="2.453125" style="3" bestFit="1" customWidth="1"/>
    <col min="20" max="20" width="4.26953125" style="3" bestFit="1" customWidth="1"/>
    <col min="21" max="22" width="3.7265625" style="3" customWidth="1"/>
    <col min="23" max="23" width="4.81640625" style="3" customWidth="1"/>
    <col min="24" max="24" width="4.26953125" style="186" hidden="1" customWidth="1"/>
    <col min="25" max="25" width="2.81640625" style="9" customWidth="1"/>
    <col min="26" max="26" width="7.453125" style="9" bestFit="1" customWidth="1"/>
    <col min="27" max="27" width="9.81640625" style="3" customWidth="1"/>
    <col min="28" max="29" width="4.26953125" style="3" customWidth="1"/>
    <col min="30" max="30" width="2.81640625" style="9" customWidth="1"/>
    <col min="31" max="31" width="9.81640625" style="3" customWidth="1"/>
    <col min="32" max="33" width="4.26953125" style="3" customWidth="1"/>
    <col min="34" max="34" width="2.81640625" style="9" customWidth="1"/>
    <col min="35" max="35" width="9.81640625" style="3" customWidth="1"/>
    <col min="36" max="37" width="4.26953125" style="3" customWidth="1"/>
    <col min="38" max="38" width="2.81640625" style="9" customWidth="1"/>
    <col min="39" max="39" width="9.81640625" style="3" customWidth="1"/>
    <col min="40" max="41" width="4.26953125" style="3" customWidth="1"/>
    <col min="42" max="42" width="2.81640625" style="9" customWidth="1"/>
    <col min="43" max="43" width="9.81640625" style="3" customWidth="1"/>
    <col min="44" max="45" width="4.26953125" style="3" customWidth="1"/>
    <col min="46" max="46" width="2.81640625" style="9" customWidth="1"/>
    <col min="47" max="47" width="9.81640625" style="3" customWidth="1"/>
    <col min="48" max="49" width="4.26953125" style="3" customWidth="1"/>
    <col min="50" max="50" width="4" style="3" bestFit="1" customWidth="1"/>
    <col min="51" max="51" width="3.26953125" style="3" customWidth="1"/>
    <col min="52" max="54" width="7.81640625" style="3" customWidth="1"/>
    <col min="55" max="55" width="3.26953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1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 thickBot="1">
      <c r="A3" s="181">
        <v>1</v>
      </c>
      <c r="B3" s="416" t="s">
        <v>0</v>
      </c>
      <c r="C3" s="417" t="str">
        <f ca="1">+MID(INDEX(WORLDCUP!$AA$4:$AA$147,MATCH(A3,WORLDCUP!$AH$4:$AH$147,0)),1,3)</f>
        <v>Méx</v>
      </c>
      <c r="D3" s="418">
        <f>IF(ISBLANK(INDEX(WORLDCUP!$AC$4:$AC$147,MATCH(A3,WORLDCUP!$AH$4:$AH$147,0))),"",INDEX(WORLDCUP!$AC$4:$AC$147,MATCH(A3,WORLDCUP!$AH$4:$AH$147,0)))</f>
        <v>1</v>
      </c>
      <c r="E3" s="418">
        <f>IF(ISBLANK(INDEX(WORLDCUP!$AD$4:$AD$147,MATCH(A3,WORLDCUP!$AH$4:$AH$147,0))),"",INDEX(WORLDCUP!$AD$4:$AD$147,MATCH(A3,WORLDCUP!$AH$4:$AH$147,0)))</f>
        <v>1</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f>IF(ISBLANK(INDEX(WORLDCUP!$AC$4:$AC$147,MATCH(M3,WORLDCUP!$AH$4:$AH$147,0))),"",INDEX(WORLDCUP!$AC$4:$AC$147,MATCH(M3,WORLDCUP!$AH$4:$AH$147,0)))</f>
        <v>2</v>
      </c>
      <c r="Q3" s="418">
        <f>IF(ISBLANK(INDEX(WORLDCUP!$AD$4:$AD$147,MATCH(M3,WORLDCUP!$AH$4:$AH$147,0))),"",INDEX(WORLDCUP!$AD$4:$AD$147,MATCH(M3,WORLDCUP!$AH$4:$AH$147,0)))</f>
        <v>0</v>
      </c>
      <c r="R3" s="419" t="str">
        <f ca="1">+MID(INDEX(WORLDCUP!$AF$4:$AF$147,MATCH(M3,WORLDCUP!$AH$4:$AH$147,0)),1,3)</f>
        <v>Egi</v>
      </c>
      <c r="S3" s="420"/>
      <c r="T3" s="421" t="str">
        <f>+H43</f>
        <v>Sel</v>
      </c>
      <c r="U3" s="422" t="str">
        <f>+I43</f>
        <v>Pts</v>
      </c>
      <c r="V3" s="422" t="str">
        <f>+J43</f>
        <v>DG</v>
      </c>
      <c r="W3" s="423" t="str">
        <f>+K43</f>
        <v>GF-GC</v>
      </c>
      <c r="X3" s="181"/>
      <c r="Y3" s="181">
        <v>74</v>
      </c>
      <c r="Z3" s="425" t="s">
        <v>672</v>
      </c>
      <c r="AA3" s="426" t="str">
        <f ca="1">+MID(INDEX(WORLDCUP!$AA$101:$AA$147,MATCH(Y3,WORLDCUP!$Z$101:$Z$147,0)),1,3)</f>
        <v>Ale</v>
      </c>
      <c r="AB3" s="427">
        <f>+IF(ISBLANK(INDEX(WORLDCUP!$AC$101:$AC$147,MATCH(Y3,WORLDCUP!$Z$101:$Z$147,0))),"",INDEX(WORLDCUP!$AC$101:$AC$147,MATCH(Y3,WORLDCUP!$Z$101:$Z$147,0)))</f>
        <v>2</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1353</v>
      </c>
      <c r="BN3" s="441" t="s">
        <v>1354</v>
      </c>
      <c r="BO3" s="442" t="s">
        <v>1355</v>
      </c>
    </row>
    <row r="4" spans="1:67" ht="15" thickBot="1">
      <c r="A4" s="181">
        <v>2</v>
      </c>
      <c r="B4" s="443"/>
      <c r="C4" s="444" t="str">
        <f ca="1">+MID(INDEX(WORLDCUP!$AA$4:$AA$147,MATCH(A4,WORLDCUP!$AH$4:$AH$147,0)),1,3)</f>
        <v>Cor</v>
      </c>
      <c r="D4" s="445">
        <f>IF(ISBLANK(INDEX(WORLDCUP!$AC$4:$AC$147,MATCH(A4,WORLDCUP!$AH$4:$AH$147,0))),"",INDEX(WORLDCUP!$AC$4:$AC$147,MATCH(A4,WORLDCUP!$AH$4:$AH$147,0)))</f>
        <v>2</v>
      </c>
      <c r="E4" s="445">
        <f>IF(ISBLANK(INDEX(WORLDCUP!$AD$4:$AD$147,MATCH(A4,WORLDCUP!$AH$4:$AH$147,0))),"",INDEX(WORLDCUP!$AD$4:$AD$147,MATCH(A4,WORLDCUP!$AH$4:$AH$147,0)))</f>
        <v>1</v>
      </c>
      <c r="F4" s="446" t="str">
        <f ca="1">+MID(INDEX(WORLDCUP!$AF$4:$AF$147,MATCH(A4,WORLDCUP!$AH$4:$AH$147,0)),1,3)</f>
        <v>Rep</v>
      </c>
      <c r="G4" s="447">
        <v>1</v>
      </c>
      <c r="H4" s="448" t="str">
        <f ca="1">+MID(INDEX(WORLDCUP!$AL$6:$AL$97,MATCH(L4,WORLDCUP!$AI$6:$AI$97,0)),1,3)</f>
        <v>Méx</v>
      </c>
      <c r="I4" s="449">
        <f ca="1">+INDEX(WORLDCUP!$AM$6:$AM$97,MATCH(L4,WORLDCUP!$AI$6:$AI$97,0))</f>
        <v>5</v>
      </c>
      <c r="J4" s="450">
        <f ca="1">+INDEX(WORLDCUP!$AT$6:$AT$97,MATCH(L4,WORLDCUP!$AI$6:$AI$97,0))</f>
        <v>1</v>
      </c>
      <c r="K4" s="451" t="str">
        <f ca="1">+INDEX(WORLDCUP!$AR$6:$AR$97,MATCH(L4,WORLDCUP!$AI$6:$AI$97,0))&amp;"-"&amp;INDEX(WORLDCUP!$AS$6:$AS$97,MATCH(L4,WORLDCUP!$AI$6:$AI$97,0))</f>
        <v>5-4</v>
      </c>
      <c r="L4" s="181" t="s">
        <v>656</v>
      </c>
      <c r="M4" s="181">
        <v>15</v>
      </c>
      <c r="N4" s="452"/>
      <c r="O4" s="444" t="str">
        <f ca="1">+MID(INDEX(WORLDCUP!$AA$4:$AA$147,MATCH(M4,WORLDCUP!$AH$4:$AH$147,0)),1,3)</f>
        <v>Irá</v>
      </c>
      <c r="P4" s="445">
        <f>IF(ISBLANK(INDEX(WORLDCUP!$AC$4:$AC$147,MATCH(M4,WORLDCUP!$AH$4:$AH$147,0))),"",INDEX(WORLDCUP!$AC$4:$AC$147,MATCH(M4,WORLDCUP!$AH$4:$AH$147,0)))</f>
        <v>1</v>
      </c>
      <c r="Q4" s="445">
        <f>IF(ISBLANK(INDEX(WORLDCUP!$AD$4:$AD$147,MATCH(M4,WORLDCUP!$AH$4:$AH$147,0))),"",INDEX(WORLDCUP!$AD$4:$AD$147,MATCH(M4,WORLDCUP!$AH$4:$AH$147,0)))</f>
        <v>0</v>
      </c>
      <c r="R4" s="446" t="str">
        <f ca="1">+MID(INDEX(WORLDCUP!$AF$4:$AF$147,MATCH(M4,WORLDCUP!$AH$4:$AH$147,0)),1,3)</f>
        <v>Nue</v>
      </c>
      <c r="S4" s="447">
        <v>1</v>
      </c>
      <c r="T4" s="448" t="str">
        <f ca="1">+MID(INDEX(WORLDCUP!$AL$6:$AL$97,MATCH(X4,WORLDCUP!$AI$6:$AI$97,0)),1,3)</f>
        <v>Bél</v>
      </c>
      <c r="U4" s="449">
        <f ca="1">+INDEX(WORLDCUP!$AM$6:$AM$97,MATCH(X4,WORLDCUP!$AI$6:$AI$97,0))</f>
        <v>9</v>
      </c>
      <c r="V4" s="450">
        <f ca="1">+INDEX(WORLDCUP!$AT$6:$AT$97,MATCH(X4,WORLDCUP!$AI$6:$AI$97,0))</f>
        <v>5</v>
      </c>
      <c r="W4" s="451" t="str">
        <f ca="1">+INDEX(WORLDCUP!$AR$6:$AR$97,MATCH(X4,WORLDCUP!$AI$6:$AI$97,0))&amp;"-"&amp;INDEX(WORLDCUP!$AS$6:$AS$97,MATCH(X4,WORLDCUP!$AI$6:$AI$97,0))</f>
        <v>5-0</v>
      </c>
      <c r="X4" s="181" t="s">
        <v>678</v>
      </c>
      <c r="Y4" s="181">
        <v>74</v>
      </c>
      <c r="Z4" s="425" t="s">
        <v>733</v>
      </c>
      <c r="AA4" s="426" t="str">
        <f ca="1">+MID(INDEX(WORLDCUP!$AF$101:$AF$147,MATCH(Y4,WORLDCUP!$Z$101:$Z$147,0)),1,IF(WORLDCUP!$H$113&lt;144,6,3))</f>
        <v>Par</v>
      </c>
      <c r="AB4" s="453">
        <f>+IF(ISBLANK(INDEX(WORLDCUP!$AD$101:$AD$147,MATCH(Y4,WORLDCUP!$Z$101:$Z$147,0))),"",INDEX(WORLDCUP!$AD$101:$AD$147,MATCH(Y4,WORLDCUP!$Z$101:$Z$147,0)))</f>
        <v>0</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1</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0</v>
      </c>
      <c r="BK4" s="465">
        <f ca="1">COUNTIF(Pool!$C$210:$C$217,Fixture!BG4)-BL4-BM4-BN4-BO4</f>
        <v>1</v>
      </c>
      <c r="BL4" s="465">
        <f ca="1">COUNTIF(Pool!$C$226:$C$229,Fixture!BG4)-BM4-BN4-BO4</f>
        <v>0</v>
      </c>
      <c r="BM4" s="463">
        <f ca="1">COUNTIF(Pool!$C$252,Fixture!BG4)</f>
        <v>0</v>
      </c>
      <c r="BN4" s="463">
        <f ca="1">COUNTIF(Pool!$C$251,Fixture!BG4)</f>
        <v>0</v>
      </c>
      <c r="BO4" s="466">
        <f ca="1">COUNTIF(Pool!$C$250,Fixture!BG4)</f>
        <v>0</v>
      </c>
    </row>
    <row r="5" spans="1:67">
      <c r="A5" s="181">
        <v>25</v>
      </c>
      <c r="B5" s="443"/>
      <c r="C5" s="444" t="str">
        <f ca="1">+MID(INDEX(WORLDCUP!$AA$4:$AA$147,MATCH(A5,WORLDCUP!$AH$4:$AH$147,0)),1,3)</f>
        <v>Rep</v>
      </c>
      <c r="D5" s="445">
        <f>IF(ISBLANK(INDEX(WORLDCUP!$AC$4:$AC$147,MATCH(A5,WORLDCUP!$AH$4:$AH$147,0))),"",INDEX(WORLDCUP!$AC$4:$AC$147,MATCH(A5,WORLDCUP!$AH$4:$AH$147,0)))</f>
        <v>2</v>
      </c>
      <c r="E5" s="445">
        <f>IF(ISBLANK(INDEX(WORLDCUP!$AD$4:$AD$147,MATCH(A5,WORLDCUP!$AH$4:$AH$147,0))),"",INDEX(WORLDCUP!$AD$4:$AD$147,MATCH(A5,WORLDCUP!$AH$4:$AH$147,0)))</f>
        <v>1</v>
      </c>
      <c r="F5" s="446" t="str">
        <f ca="1">+MID(INDEX(WORLDCUP!$AF$4:$AF$147,MATCH(A5,WORLDCUP!$AH$4:$AH$147,0)),1,3)</f>
        <v>Sud</v>
      </c>
      <c r="G5" s="467">
        <v>2</v>
      </c>
      <c r="H5" s="468"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657</v>
      </c>
      <c r="M5" s="181">
        <v>39</v>
      </c>
      <c r="N5" s="452"/>
      <c r="O5" s="444" t="str">
        <f ca="1">+MID(INDEX(WORLDCUP!$AA$4:$AA$147,MATCH(M5,WORLDCUP!$AH$4:$AH$147,0)),1,3)</f>
        <v>Bél</v>
      </c>
      <c r="P5" s="445">
        <f>IF(ISBLANK(INDEX(WORLDCUP!$AC$4:$AC$147,MATCH(M5,WORLDCUP!$AH$4:$AH$147,0))),"",INDEX(WORLDCUP!$AC$4:$AC$147,MATCH(M5,WORLDCUP!$AH$4:$AH$147,0)))</f>
        <v>1</v>
      </c>
      <c r="Q5" s="445">
        <f>IF(ISBLANK(INDEX(WORLDCUP!$AD$4:$AD$147,MATCH(M5,WORLDCUP!$AH$4:$AH$147,0))),"",INDEX(WORLDCUP!$AD$4:$AD$147,MATCH(M5,WORLDCUP!$AH$4:$AH$147,0)))</f>
        <v>0</v>
      </c>
      <c r="R5" s="446" t="str">
        <f ca="1">+MID(INDEX(WORLDCUP!$AF$4:$AF$147,MATCH(M5,WORLDCUP!$AH$4:$AH$147,0)),1,3)</f>
        <v>Irá</v>
      </c>
      <c r="S5" s="467">
        <v>2</v>
      </c>
      <c r="T5" s="468"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2-2</v>
      </c>
      <c r="X5" s="181" t="s">
        <v>679</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0</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1</v>
      </c>
      <c r="BI5" s="463">
        <f ca="1">COUNTIF(Pool!$C$130:$C$161,Fixture!BG5)-BJ5-BK5-BL5-BM5-BN5-BO5</f>
        <v>0</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 thickBot="1">
      <c r="A6" s="181">
        <v>28</v>
      </c>
      <c r="B6" s="443"/>
      <c r="C6" s="444" t="str">
        <f ca="1">+MID(INDEX(WORLDCUP!$AA$4:$AA$147,MATCH(A6,WORLDCUP!$AH$4:$AH$147,0)),1,3)</f>
        <v>Méx</v>
      </c>
      <c r="D6" s="445">
        <f>IF(ISBLANK(INDEX(WORLDCUP!$AC$4:$AC$147,MATCH(A6,WORLDCUP!$AH$4:$AH$147,0))),"",INDEX(WORLDCUP!$AC$4:$AC$147,MATCH(A6,WORLDCUP!$AH$4:$AH$147,0)))</f>
        <v>2</v>
      </c>
      <c r="E6" s="445">
        <f>IF(ISBLANK(INDEX(WORLDCUP!$AD$4:$AD$147,MATCH(A6,WORLDCUP!$AH$4:$AH$147,0))),"",INDEX(WORLDCUP!$AD$4:$AD$147,MATCH(A6,WORLDCUP!$AH$4:$AH$147,0)))</f>
        <v>2</v>
      </c>
      <c r="F6" s="446" t="str">
        <f ca="1">+MID(INDEX(WORLDCUP!$AF$4:$AF$147,MATCH(A6,WORLDCUP!$AH$4:$AH$147,0)),1,3)</f>
        <v>Cor</v>
      </c>
      <c r="G6" s="467">
        <v>3</v>
      </c>
      <c r="H6" s="468"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4-5</v>
      </c>
      <c r="L6" s="181" t="s">
        <v>90</v>
      </c>
      <c r="M6" s="181">
        <v>40</v>
      </c>
      <c r="N6" s="452"/>
      <c r="O6" s="444" t="str">
        <f ca="1">+MID(INDEX(WORLDCUP!$AA$4:$AA$147,MATCH(M6,WORLDCUP!$AH$4:$AH$147,0)),1,3)</f>
        <v>Nue</v>
      </c>
      <c r="P6" s="445">
        <f>IF(ISBLANK(INDEX(WORLDCUP!$AC$4:$AC$147,MATCH(M6,WORLDCUP!$AH$4:$AH$147,0))),"",INDEX(WORLDCUP!$AC$4:$AC$147,MATCH(M6,WORLDCUP!$AH$4:$AH$147,0)))</f>
        <v>0</v>
      </c>
      <c r="Q6" s="445">
        <f>IF(ISBLANK(INDEX(WORLDCUP!$AD$4:$AD$147,MATCH(M6,WORLDCUP!$AH$4:$AH$147,0))),"",INDEX(WORLDCUP!$AD$4:$AD$147,MATCH(M6,WORLDCUP!$AH$4:$AH$147,0)))</f>
        <v>1</v>
      </c>
      <c r="R6" s="446" t="str">
        <f ca="1">+MID(INDEX(WORLDCUP!$AF$4:$AF$147,MATCH(M6,WORLDCUP!$AH$4:$AH$147,0)),1,3)</f>
        <v>Egi</v>
      </c>
      <c r="S6" s="467">
        <v>3</v>
      </c>
      <c r="T6" s="468"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1-2</v>
      </c>
      <c r="X6" s="181" t="s">
        <v>445</v>
      </c>
      <c r="Y6" s="181">
        <v>77</v>
      </c>
      <c r="Z6" s="425" t="s">
        <v>684</v>
      </c>
      <c r="AA6" s="426" t="str">
        <f ca="1">+MID(INDEX(WORLDCUP!$AA$101:$AA$147,MATCH(Y6,WORLDCUP!$Z$101:$Z$147,0)),1,3)</f>
        <v>Fra</v>
      </c>
      <c r="AB6" s="472">
        <f>+IF(ISBLANK(INDEX(WORLDCUP!$AC$101:$AC$147,MATCH(Y6,WORLDCUP!$Z$101:$Z$147,0))),"",INDEX(WORLDCUP!$AC$101:$AC$147,MATCH(Y6,WORLDCUP!$Z$101:$Z$147,0)))</f>
        <v>1</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0</v>
      </c>
      <c r="BI6" s="463">
        <f ca="1">COUNTIF(Pool!$C$130:$C$161,Fixture!BG6)-BJ6-BK6-BL6-BM6-BN6-BO6</f>
        <v>1</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 thickBot="1">
      <c r="A7" s="181">
        <v>53</v>
      </c>
      <c r="B7" s="443"/>
      <c r="C7" s="444" t="str">
        <f ca="1">+MID(INDEX(WORLDCUP!$AA$4:$AA$147,MATCH(A7,WORLDCUP!$AH$4:$AH$147,0)),1,3)</f>
        <v>Rep</v>
      </c>
      <c r="D7" s="445">
        <f>IF(ISBLANK(INDEX(WORLDCUP!$AC$4:$AC$147,MATCH(A7,WORLDCUP!$AH$4:$AH$147,0))),"",INDEX(WORLDCUP!$AC$4:$AC$147,MATCH(A7,WORLDCUP!$AH$4:$AH$147,0)))</f>
        <v>1</v>
      </c>
      <c r="E7" s="445">
        <f>IF(ISBLANK(INDEX(WORLDCUP!$AD$4:$AD$147,MATCH(A7,WORLDCUP!$AH$4:$AH$147,0))),"",INDEX(WORLDCUP!$AD$4:$AD$147,MATCH(A7,WORLDCUP!$AH$4:$AH$147,0)))</f>
        <v>2</v>
      </c>
      <c r="F7" s="446" t="str">
        <f ca="1">+MID(INDEX(WORLDCUP!$AF$4:$AF$147,MATCH(A7,WORLDCUP!$AH$4:$AH$147,0)),1,3)</f>
        <v>Méx</v>
      </c>
      <c r="G7" s="467">
        <v>4</v>
      </c>
      <c r="H7" s="476" t="str">
        <f ca="1">+MID(INDEX(WORLDCUP!$AL$6:$AL$97,MATCH(L7,WORLDCUP!$AI$6:$AI$97,0)),1,3)</f>
        <v>Sud</v>
      </c>
      <c r="I7" s="477">
        <f ca="1">+INDEX(WORLDCUP!$AM$6:$AM$97,MATCH(L7,WORLDCUP!$AI$6:$AI$97,0))</f>
        <v>2</v>
      </c>
      <c r="J7" s="478">
        <f ca="1">+INDEX(WORLDCUP!$AT$6:$AT$97,MATCH(L7,WORLDCUP!$AI$6:$AI$97,0))</f>
        <v>-1</v>
      </c>
      <c r="K7" s="479" t="str">
        <f ca="1">+INDEX(WORLDCUP!$AR$6:$AR$97,MATCH(L7,WORLDCUP!$AI$6:$AI$97,0))&amp;"-"&amp;INDEX(WORLDCUP!$AS$6:$AS$97,MATCH(L7,WORLDCUP!$AI$6:$AI$97,0))</f>
        <v>3-4</v>
      </c>
      <c r="L7" s="181" t="s">
        <v>658</v>
      </c>
      <c r="M7" s="181">
        <v>63</v>
      </c>
      <c r="N7" s="452"/>
      <c r="O7" s="444" t="str">
        <f ca="1">+MID(INDEX(WORLDCUP!$AA$4:$AA$147,MATCH(M7,WORLDCUP!$AH$4:$AH$147,0)),1,3)</f>
        <v>Egi</v>
      </c>
      <c r="P7" s="445">
        <f>IF(ISBLANK(INDEX(WORLDCUP!$AC$4:$AC$147,MATCH(M7,WORLDCUP!$AH$4:$AH$147,0))),"",INDEX(WORLDCUP!$AC$4:$AC$147,MATCH(M7,WORLDCUP!$AH$4:$AH$147,0)))</f>
        <v>1</v>
      </c>
      <c r="Q7" s="445">
        <f>IF(ISBLANK(INDEX(WORLDCUP!$AD$4:$AD$147,MATCH(M7,WORLDCUP!$AH$4:$AH$147,0))),"",INDEX(WORLDCUP!$AD$4:$AD$147,MATCH(M7,WORLDCUP!$AH$4:$AH$147,0)))</f>
        <v>0</v>
      </c>
      <c r="R7" s="446" t="str">
        <f ca="1">+MID(INDEX(WORLDCUP!$AF$4:$AF$147,MATCH(M7,WORLDCUP!$AH$4:$AH$147,0)),1,3)</f>
        <v>Irá</v>
      </c>
      <c r="S7" s="467">
        <v>4</v>
      </c>
      <c r="T7" s="476" t="str">
        <f ca="1">+MID(INDEX(WORLDCUP!$AL$6:$AL$97,MATCH(X7,WORLDCUP!$AI$6:$AI$97,0)),1,3)</f>
        <v>Nue</v>
      </c>
      <c r="U7" s="477">
        <f ca="1">+INDEX(WORLDCUP!$AM$6:$AM$97,MATCH(X7,WORLDCUP!$AI$6:$AI$97,0))</f>
        <v>0</v>
      </c>
      <c r="V7" s="478">
        <f ca="1">+INDEX(WORLDCUP!$AT$6:$AT$97,MATCH(X7,WORLDCUP!$AI$6:$AI$97,0))</f>
        <v>-4</v>
      </c>
      <c r="W7" s="479" t="str">
        <f ca="1">+INDEX(WORLDCUP!$AR$6:$AR$97,MATCH(X7,WORLDCUP!$AI$6:$AI$97,0))&amp;"-"&amp;INDEX(WORLDCUP!$AS$6:$AS$97,MATCH(X7,WORLDCUP!$AI$6:$AI$97,0))</f>
        <v>0-4</v>
      </c>
      <c r="X7" s="181" t="s">
        <v>680</v>
      </c>
      <c r="Y7" s="181">
        <v>77</v>
      </c>
      <c r="Z7" s="425" t="s">
        <v>734</v>
      </c>
      <c r="AA7" s="480" t="str">
        <f ca="1">+MID(INDEX(WORLDCUP!$AF$101:$AF$147,MATCH(Y7,WORLDCUP!$Z$101:$Z$147,0)),1,IF(WORLDCUP!$H$113&lt;144,6,3))</f>
        <v>Sue</v>
      </c>
      <c r="AB7" s="481">
        <f>+IF(ISBLANK(INDEX(WORLDCUP!$AD$101:$AD$147,MATCH(Y7,WORLDCUP!$Z$101:$Z$147,0))),"",INDEX(WORLDCUP!$AD$101:$AD$147,MATCH(Y7,WORLDCUP!$Z$101:$Z$147,0)))</f>
        <v>0</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Ale</v>
      </c>
      <c r="AJ7" s="484">
        <f>+IF(ISBLANK(INDEX(WORLDCUP!$AC$101:$AC$147,MATCH(AH7,WORLDCUP!$Z$101:$Z$147,0))),"",INDEX(WORLDCUP!$AC$101:$AC$147,MATCH(AH7,WORLDCUP!$Z$101:$Z$147,0)))</f>
        <v>0</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0</v>
      </c>
      <c r="BL7" s="465">
        <f ca="1">COUNTIF(Pool!$C$226:$C$229,Fixture!BG7)-BM7-BN7-BO7</f>
        <v>0</v>
      </c>
      <c r="BM7" s="463">
        <f ca="1">COUNTIF(Pool!$C$252,Fixture!BG7)</f>
        <v>0</v>
      </c>
      <c r="BN7" s="463">
        <f ca="1">COUNTIF(Pool!$C$251,Fixture!BG7)</f>
        <v>0</v>
      </c>
      <c r="BO7" s="466">
        <f ca="1">COUNTIF(Pool!$C$250,Fixture!BG7)</f>
        <v>1</v>
      </c>
    </row>
    <row r="8" spans="1:67" ht="15" thickBot="1">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1</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0</v>
      </c>
      <c r="Q8" s="488">
        <f>IF(ISBLANK(INDEX(WORLDCUP!$AD$4:$AD$147,MATCH(M8,WORLDCUP!$AH$4:$AH$147,0))),"",INDEX(WORLDCUP!$AD$4:$AD$147,MATCH(M8,WORLDCUP!$AH$4:$AH$147,0)))</f>
        <v>2</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Paí</v>
      </c>
      <c r="AJ8" s="484">
        <f>+IF(ISBLANK(INDEX(WORLDCUP!$AD$101:$AD$147,MATCH(AH8,WORLDCUP!$Z$101:$Z$147,0))),"",INDEX(WORLDCUP!$AD$101:$AD$147,MATCH(AH8,WORLDCUP!$Z$101:$Z$147,0)))</f>
        <v>2</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1</v>
      </c>
      <c r="BI8" s="463">
        <f ca="1">COUNTIF(Pool!$C$130:$C$161,Fixture!BG8)-BJ8-BK8-BL8-BM8-BN8-BO8</f>
        <v>0</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 thickBot="1">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657</v>
      </c>
      <c r="AA9" s="426" t="str">
        <f ca="1">+MID(INDEX(WORLDCUP!$AA$101:$AA$147,MATCH(Y9,WORLDCUP!$Z$101:$Z$147,0)),1,3)</f>
        <v>Cor</v>
      </c>
      <c r="AB9" s="427">
        <f>+IF(ISBLANK(INDEX(WORLDCUP!$AC$101:$AC$147,MATCH(Y9,WORLDCUP!$Z$101:$Z$147,0))),"",INDEX(WORLDCUP!$AC$101:$AC$147,MATCH(Y9,WORLDCUP!$Z$101:$Z$147,0)))</f>
        <v>1</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1</v>
      </c>
      <c r="BI9" s="463">
        <f ca="1">COUNTIF(Pool!$C$130:$C$161,Fixture!BG9)-BJ9-BK9-BL9-BM9-BN9-BO9</f>
        <v>0</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 thickBot="1">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660</v>
      </c>
      <c r="AA10" s="426" t="str">
        <f ca="1">+MID(INDEX(WORLDCUP!$AF$101:$AF$147,MATCH(Y10,WORLDCUP!$Z$101:$Z$147,0)),1,3)</f>
        <v>Can</v>
      </c>
      <c r="AB10" s="453">
        <f>+IF(ISBLANK(INDEX(WORLDCUP!$AD$101:$AD$147,MATCH(Y10,WORLDCUP!$Z$101:$Z$147,0))),"",INDEX(WORLDCUP!$AD$101:$AD$147,MATCH(Y10,WORLDCUP!$Z$101:$Z$147,0)))</f>
        <v>0</v>
      </c>
      <c r="AC10" s="454" t="str">
        <f>+IF(ISBLANK(INDEX(WORLDCUP!$AE$101:$AE$147,MATCH(Y10,WORLDCUP!$Z$101:$Z$147,0))),"","( "&amp;INDEX(WORLDCUP!$AE$101:$AE$147,MATCH(Y10,WORLDCUP!$Z$101:$Z$147,0))&amp;" )")</f>
        <v/>
      </c>
      <c r="AD10" s="500">
        <v>90</v>
      </c>
      <c r="AE10" s="456" t="str">
        <f ca="1">+MID(INDEX(WORLDCUP!$AA$101:$AA$147,MATCH(AD10,WORLDCUP!$Z$101:$Z$147,0)),1,3)</f>
        <v>Cor</v>
      </c>
      <c r="AF10" s="457">
        <f>+IF(ISBLANK(INDEX(WORLDCUP!$AC$101:$AC$147,MATCH(AD10,WORLDCUP!$Z$101:$Z$147,0))),"",INDEX(WORLDCUP!$AC$101:$AC$147,MATCH(AD10,WORLDCUP!$Z$101:$Z$147,0)))</f>
        <v>1</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1</v>
      </c>
      <c r="BK10" s="465">
        <f ca="1">COUNTIF(Pool!$C$210:$C$217,Fixture!BG10)-BL10-BM10-BN10-BO10</f>
        <v>0</v>
      </c>
      <c r="BL10" s="465">
        <f ca="1">COUNTIF(Pool!$C$226:$C$229,Fixture!BG10)-BM10-BN10-BO10</f>
        <v>0</v>
      </c>
      <c r="BM10" s="463">
        <f ca="1">COUNTIF(Pool!$C$252,Fixture!BG10)</f>
        <v>0</v>
      </c>
      <c r="BN10" s="463">
        <f ca="1">COUNTIF(Pool!$C$251,Fixture!BG10)</f>
        <v>0</v>
      </c>
      <c r="BO10" s="466">
        <f ca="1">COUNTIF(Pool!$C$250,Fixture!BG10)</f>
        <v>0</v>
      </c>
    </row>
    <row r="11" spans="1:67">
      <c r="A11" s="181">
        <v>3</v>
      </c>
      <c r="B11" s="502" t="s">
        <v>1</v>
      </c>
      <c r="C11" s="417" t="str">
        <f ca="1">+MID(INDEX(WORLDCUP!$AA$4:$AA$147,MATCH(A11,WORLDCUP!$AH$4:$AH$147,0)),1,3)</f>
        <v>Can</v>
      </c>
      <c r="D11" s="418">
        <f>IF(ISBLANK(INDEX(WORLDCUP!$AC$4:$AC$147,MATCH(A11,WORLDCUP!$AH$4:$AH$147,0))),"",INDEX(WORLDCUP!$AC$4:$AC$147,MATCH(A11,WORLDCUP!$AH$4:$AH$147,0)))</f>
        <v>2</v>
      </c>
      <c r="E11" s="418">
        <f>IF(ISBLANK(INDEX(WORLDCUP!$AD$4:$AD$147,MATCH(A11,WORLDCUP!$AH$4:$AH$147,0))),"",INDEX(WORLDCUP!$AD$4:$AD$147,MATCH(A11,WORLDCUP!$AH$4:$AH$147,0)))</f>
        <v>1</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f>IF(ISBLANK(INDEX(WORLDCUP!$AC$4:$AC$147,MATCH(M11,WORLDCUP!$AH$4:$AH$147,0))),"",INDEX(WORLDCUP!$AC$4:$AC$147,MATCH(M11,WORLDCUP!$AH$4:$AH$147,0)))</f>
        <v>3</v>
      </c>
      <c r="Q11" s="418">
        <f>IF(ISBLANK(INDEX(WORLDCUP!$AD$4:$AD$147,MATCH(M11,WORLDCUP!$AH$4:$AH$147,0))),"",INDEX(WORLDCUP!$AD$4:$AD$147,MATCH(M11,WORLDCUP!$AH$4:$AH$147,0)))</f>
        <v>1</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Paí</v>
      </c>
      <c r="AF11" s="457">
        <f>+IF(ISBLANK(INDEX(WORLDCUP!$AD$101:$AD$147,MATCH(AD11,WORLDCUP!$Z$101:$Z$147,0))),"",INDEX(WORLDCUP!$AD$101:$AD$147,MATCH(AD11,WORLDCUP!$Z$101:$Z$147,0)))</f>
        <v>3</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0</v>
      </c>
      <c r="BI11" s="463">
        <f ca="1">COUNTIF(Pool!$C$130:$C$161,Fixture!BG11)-BJ11-BK11-BL11-BM11-BN11-BO11</f>
        <v>1</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 thickBot="1">
      <c r="A12" s="181">
        <v>8</v>
      </c>
      <c r="B12" s="504"/>
      <c r="C12" s="444" t="str">
        <f ca="1">+MID(INDEX(WORLDCUP!$AA$4:$AA$147,MATCH(A12,WORLDCUP!$AH$4:$AH$147,0)),1,3)</f>
        <v>Cat</v>
      </c>
      <c r="D12" s="445">
        <f>IF(ISBLANK(INDEX(WORLDCUP!$AC$4:$AC$147,MATCH(A12,WORLDCUP!$AH$4:$AH$147,0))),"",INDEX(WORLDCUP!$AC$4:$AC$147,MATCH(A12,WORLDCUP!$AH$4:$AH$147,0)))</f>
        <v>0</v>
      </c>
      <c r="E12" s="445">
        <f>IF(ISBLANK(INDEX(WORLDCUP!$AD$4:$AD$147,MATCH(A12,WORLDCUP!$AH$4:$AH$147,0))),"",INDEX(WORLDCUP!$AD$4:$AD$147,MATCH(A12,WORLDCUP!$AH$4:$AH$147,0)))</f>
        <v>2</v>
      </c>
      <c r="F12" s="446" t="str">
        <f ca="1">+MID(INDEX(WORLDCUP!$AF$4:$AF$147,MATCH(A12,WORLDCUP!$AH$4:$AH$147,0)),1,3)</f>
        <v>Sui</v>
      </c>
      <c r="G12" s="447">
        <v>1</v>
      </c>
      <c r="H12" s="448" t="str">
        <f ca="1">+MID(INDEX(WORLDCUP!$AL$6:$AL$97,MATCH(L12,WORLDCUP!$AI$6:$AI$97,0)),1,3)</f>
        <v>Sui</v>
      </c>
      <c r="I12" s="449">
        <f ca="1">+INDEX(WORLDCUP!$AM$6:$AM$97,MATCH(L12,WORLDCUP!$AI$6:$AI$97,0))</f>
        <v>9</v>
      </c>
      <c r="J12" s="450">
        <f ca="1">+INDEX(WORLDCUP!$AT$6:$AT$97,MATCH(L12,WORLDCUP!$AI$6:$AI$97,0))</f>
        <v>4</v>
      </c>
      <c r="K12" s="451" t="str">
        <f ca="1">+INDEX(WORLDCUP!$AR$6:$AR$97,MATCH(L12,WORLDCUP!$AI$6:$AI$97,0))&amp;"-"&amp;INDEX(WORLDCUP!$AS$6:$AS$97,MATCH(L12,WORLDCUP!$AI$6:$AI$97,0))</f>
        <v>5-1</v>
      </c>
      <c r="L12" s="181" t="s">
        <v>659</v>
      </c>
      <c r="M12" s="181">
        <v>13</v>
      </c>
      <c r="N12" s="505"/>
      <c r="O12" s="444" t="str">
        <f ca="1">+MID(INDEX(WORLDCUP!$AA$4:$AA$147,MATCH(M12,WORLDCUP!$AH$4:$AH$147,0)),1,3)</f>
        <v>Ara</v>
      </c>
      <c r="P12" s="445">
        <f>IF(ISBLANK(INDEX(WORLDCUP!$AC$4:$AC$147,MATCH(M12,WORLDCUP!$AH$4:$AH$147,0))),"",INDEX(WORLDCUP!$AC$4:$AC$147,MATCH(M12,WORLDCUP!$AH$4:$AH$147,0)))</f>
        <v>1</v>
      </c>
      <c r="Q12" s="445">
        <f>IF(ISBLANK(INDEX(WORLDCUP!$AD$4:$AD$147,MATCH(M12,WORLDCUP!$AH$4:$AH$147,0))),"",INDEX(WORLDCUP!$AD$4:$AD$147,MATCH(M12,WORLDCUP!$AH$4:$AH$147,0)))</f>
        <v>1</v>
      </c>
      <c r="R12" s="446" t="str">
        <f ca="1">+MID(INDEX(WORLDCUP!$AF$4:$AF$147,MATCH(M12,WORLDCUP!$AH$4:$AH$147,0)),1,3)</f>
        <v>Uru</v>
      </c>
      <c r="S12" s="447">
        <v>1</v>
      </c>
      <c r="T12" s="448" t="str">
        <f ca="1">+MID(INDEX(WORLDCUP!$AL$6:$AL$97,MATCH(X12,WORLDCUP!$AI$6:$AI$97,0)),1,3)</f>
        <v>Esp</v>
      </c>
      <c r="U12" s="449">
        <f ca="1">+INDEX(WORLDCUP!$AM$6:$AM$97,MATCH(X12,WORLDCUP!$AI$6:$AI$97,0))</f>
        <v>7</v>
      </c>
      <c r="V12" s="450">
        <f ca="1">+INDEX(WORLDCUP!$AT$6:$AT$97,MATCH(X12,WORLDCUP!$AI$6:$AI$97,0))</f>
        <v>3</v>
      </c>
      <c r="W12" s="451" t="str">
        <f ca="1">+INDEX(WORLDCUP!$AR$6:$AR$97,MATCH(X12,WORLDCUP!$AI$6:$AI$97,0))&amp;"-"&amp;INDEX(WORLDCUP!$AS$6:$AS$97,MATCH(X12,WORLDCUP!$AI$6:$AI$97,0))</f>
        <v>6-3</v>
      </c>
      <c r="X12" s="181" t="s">
        <v>681</v>
      </c>
      <c r="Y12" s="181">
        <v>75</v>
      </c>
      <c r="Z12" s="425" t="s">
        <v>675</v>
      </c>
      <c r="AA12" s="426" t="str">
        <f ca="1">+MID(INDEX(WORLDCUP!$AA$101:$AA$147,MATCH(Y12,WORLDCUP!$Z$101:$Z$147,0)),1,3)</f>
        <v>Paí</v>
      </c>
      <c r="AB12" s="472">
        <f>+IF(ISBLANK(INDEX(WORLDCUP!$AC$101:$AC$147,MATCH(Y12,WORLDCUP!$Z$101:$Z$147,0))),"",INDEX(WORLDCUP!$AC$101:$AC$147,MATCH(Y12,WORLDCUP!$Z$101:$Z$147,0)))</f>
        <v>2</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0</v>
      </c>
      <c r="BL12" s="465">
        <f ca="1">COUNTIF(Pool!$C$226:$C$229,Fixture!BG12)-BM12-BN12-BO12</f>
        <v>1</v>
      </c>
      <c r="BM12" s="463">
        <f ca="1">COUNTIF(Pool!$C$252,Fixture!BG12)</f>
        <v>0</v>
      </c>
      <c r="BN12" s="463">
        <f ca="1">COUNTIF(Pool!$C$251,Fixture!BG12)</f>
        <v>0</v>
      </c>
      <c r="BO12" s="466">
        <f ca="1">COUNTIF(Pool!$C$250,Fixture!BG12)</f>
        <v>0</v>
      </c>
    </row>
    <row r="13" spans="1:67" ht="15" thickBot="1">
      <c r="A13" s="181">
        <v>26</v>
      </c>
      <c r="B13" s="504"/>
      <c r="C13" s="444" t="str">
        <f ca="1">+MID(INDEX(WORLDCUP!$AA$4:$AA$147,MATCH(A13,WORLDCUP!$AH$4:$AH$147,0)),1,3)</f>
        <v>Sui</v>
      </c>
      <c r="D13" s="445">
        <f>IF(ISBLANK(INDEX(WORLDCUP!$AC$4:$AC$147,MATCH(A13,WORLDCUP!$AH$4:$AH$147,0))),"",INDEX(WORLDCUP!$AC$4:$AC$147,MATCH(A13,WORLDCUP!$AH$4:$AH$147,0)))</f>
        <v>1</v>
      </c>
      <c r="E13" s="445">
        <f>IF(ISBLANK(INDEX(WORLDCUP!$AD$4:$AD$147,MATCH(A13,WORLDCUP!$AH$4:$AH$147,0))),"",INDEX(WORLDCUP!$AD$4:$AD$147,MATCH(A13,WORLDCUP!$AH$4:$AH$147,0)))</f>
        <v>0</v>
      </c>
      <c r="F13" s="446" t="str">
        <f ca="1">+MID(INDEX(WORLDCUP!$AF$4:$AF$147,MATCH(A13,WORLDCUP!$AH$4:$AH$147,0)),1,3)</f>
        <v>Bos</v>
      </c>
      <c r="G13" s="467">
        <v>2</v>
      </c>
      <c r="H13" s="468"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4-4</v>
      </c>
      <c r="L13" s="181" t="s">
        <v>660</v>
      </c>
      <c r="M13" s="181">
        <v>38</v>
      </c>
      <c r="N13" s="505"/>
      <c r="O13" s="444" t="str">
        <f ca="1">+MID(INDEX(WORLDCUP!$AA$4:$AA$147,MATCH(M13,WORLDCUP!$AH$4:$AH$147,0)),1,3)</f>
        <v>Esp</v>
      </c>
      <c r="P13" s="445">
        <f>IF(ISBLANK(INDEX(WORLDCUP!$AC$4:$AC$147,MATCH(M13,WORLDCUP!$AH$4:$AH$147,0))),"",INDEX(WORLDCUP!$AC$4:$AC$147,MATCH(M13,WORLDCUP!$AH$4:$AH$147,0)))</f>
        <v>1</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4-3</v>
      </c>
      <c r="X13" s="181" t="s">
        <v>682</v>
      </c>
      <c r="Y13" s="181">
        <v>75</v>
      </c>
      <c r="Z13" s="425" t="s">
        <v>667</v>
      </c>
      <c r="AA13" s="480" t="str">
        <f ca="1">+MID(INDEX(WORLDCUP!$AF$101:$AF$147,MATCH(Y13,WORLDCUP!$Z$101:$Z$147,0)),1,3)</f>
        <v>Mar</v>
      </c>
      <c r="AB13" s="481">
        <f>+IF(ISBLANK(INDEX(WORLDCUP!$AD$101:$AD$147,MATCH(Y13,WORLDCUP!$Z$101:$Z$147,0))),"",INDEX(WORLDCUP!$AD$101:$AD$147,MATCH(Y13,WORLDCUP!$Z$101:$Z$147,0)))</f>
        <v>1</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 ca="1">+MID(INDEX(WORLDCUP!$AA$101:$AA$147,MATCH(AL13,WORLDCUP!$Z$101:$Z$147,0)),1,3)</f>
        <v>Paí</v>
      </c>
      <c r="AN13" s="509">
        <f>+IF(ISBLANK(INDEX(WORLDCUP!$AC$101:$AC$147,MATCH(AL13,WORLDCUP!$Z$101:$Z$147,0))),"",INDEX(WORLDCUP!$AC$101:$AC$147,MATCH(AL13,WORLDCUP!$Z$101:$Z$147,0)))</f>
        <v>1</v>
      </c>
      <c r="AO13" s="510" t="str">
        <f>+IF(ISBLANK(INDEX(WORLDCUP!$AB$101:$AB$147,MATCH(AL13,WORLDCUP!$Z$101:$Z$147,0))),"","( "&amp;INDEX(WORLDCUP!$AB$101:$AB$147,MATCH(AL13,WORLDCUP!$Z$101:$Z$147,0))&amp;" )")</f>
        <v>( 5 )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1</v>
      </c>
      <c r="BI13" s="463">
        <f ca="1">COUNTIF(Pool!$C$130:$C$161,Fixture!BG13)-BJ13-BK13-BL13-BM13-BN13-BO13</f>
        <v>0</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c r="A14" s="181">
        <v>27</v>
      </c>
      <c r="B14" s="504"/>
      <c r="C14" s="444" t="str">
        <f ca="1">+MID(INDEX(WORLDCUP!$AA$4:$AA$147,MATCH(A14,WORLDCUP!$AH$4:$AH$147,0)),1,3)</f>
        <v>Can</v>
      </c>
      <c r="D14" s="445">
        <f>IF(ISBLANK(INDEX(WORLDCUP!$AC$4:$AC$147,MATCH(A14,WORLDCUP!$AH$4:$AH$147,0))),"",INDEX(WORLDCUP!$AC$4:$AC$147,MATCH(A14,WORLDCUP!$AH$4:$AH$147,0)))</f>
        <v>1</v>
      </c>
      <c r="E14" s="445">
        <f>IF(ISBLANK(INDEX(WORLDCUP!$AD$4:$AD$147,MATCH(A14,WORLDCUP!$AH$4:$AH$147,0))),"",INDEX(WORLDCUP!$AD$4:$AD$147,MATCH(A14,WORLDCUP!$AH$4:$AH$147,0)))</f>
        <v>1</v>
      </c>
      <c r="F14" s="446" t="str">
        <f ca="1">+MID(INDEX(WORLDCUP!$AF$4:$AF$147,MATCH(A14,WORLDCUP!$AH$4:$AH$147,0)),1,3)</f>
        <v>Cat</v>
      </c>
      <c r="G14" s="467">
        <v>3</v>
      </c>
      <c r="H14" s="468"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2-3</v>
      </c>
      <c r="L14" s="181" t="s">
        <v>91</v>
      </c>
      <c r="M14" s="181">
        <v>37</v>
      </c>
      <c r="N14" s="505"/>
      <c r="O14" s="444" t="str">
        <f ca="1">+MID(INDEX(WORLDCUP!$AA$4:$AA$147,MATCH(M14,WORLDCUP!$AH$4:$AH$147,0)),1,3)</f>
        <v>Uru</v>
      </c>
      <c r="P14" s="445">
        <f>IF(ISBLANK(INDEX(WORLDCUP!$AC$4:$AC$147,MATCH(M14,WORLDCUP!$AH$4:$AH$147,0))),"",INDEX(WORLDCUP!$AC$4:$AC$147,MATCH(M14,WORLDCUP!$AH$4:$AH$147,0)))</f>
        <v>1</v>
      </c>
      <c r="Q14" s="445">
        <f>IF(ISBLANK(INDEX(WORLDCUP!$AD$4:$AD$147,MATCH(M14,WORLDCUP!$AH$4:$AH$147,0))),"",INDEX(WORLDCUP!$AD$4:$AD$147,MATCH(M14,WORLDCUP!$AH$4:$AH$147,0)))</f>
        <v>0</v>
      </c>
      <c r="R14" s="446" t="str">
        <f ca="1">+MID(INDEX(WORLDCUP!$AF$4:$AF$147,MATCH(M14,WORLDCUP!$AH$4:$AH$147,0)),1,3)</f>
        <v>Cab</v>
      </c>
      <c r="S14" s="467">
        <v>3</v>
      </c>
      <c r="T14" s="468" t="str">
        <f ca="1">+MID(INDEX(WORLDCUP!$AL$6:$AL$97,MATCH(X14,WORLDCUP!$AI$6:$AI$97,0)),1,3)</f>
        <v>Ara</v>
      </c>
      <c r="U14" s="38">
        <f ca="1">+INDEX(WORLDCUP!$AM$6:$AM$97,MATCH(X14,WORLDCUP!$AI$6:$AI$97,0))</f>
        <v>2</v>
      </c>
      <c r="V14" s="39">
        <f ca="1">+INDEX(WORLDCUP!$AT$6:$AT$97,MATCH(X14,WORLDCUP!$AI$6:$AI$97,0))</f>
        <v>-1</v>
      </c>
      <c r="W14" s="43" t="str">
        <f ca="1">+INDEX(WORLDCUP!$AR$6:$AR$97,MATCH(X14,WORLDCUP!$AI$6:$AI$97,0))&amp;"-"&amp;INDEX(WORLDCUP!$AS$6:$AS$97,MATCH(X14,WORLDCUP!$AI$6:$AI$97,0))</f>
        <v>2-3</v>
      </c>
      <c r="X14" s="181" t="s">
        <v>446</v>
      </c>
      <c r="Y14" s="181"/>
      <c r="Z14" s="425"/>
      <c r="AA14" s="494"/>
      <c r="AB14" s="494"/>
      <c r="AC14" s="494"/>
      <c r="AD14" s="181"/>
      <c r="AE14" s="429"/>
      <c r="AF14" s="429"/>
      <c r="AG14" s="429"/>
      <c r="AH14" s="181"/>
      <c r="AI14" s="459"/>
      <c r="AJ14" s="459"/>
      <c r="AK14" s="499"/>
      <c r="AL14" s="181">
        <v>101</v>
      </c>
      <c r="AM14" s="508" t="str">
        <f ca="1">+MID(INDEX(WORLDCUP!$AF$101:$AF$147,MATCH(AL14,WORLDCUP!$Z$101:$Z$147,0)),1,3)</f>
        <v>Col</v>
      </c>
      <c r="AN14" s="509">
        <f>+IF(ISBLANK(INDEX(WORLDCUP!$AD$101:$AD$147,MATCH(AL14,WORLDCUP!$Z$101:$Z$147,0))),"",INDEX(WORLDCUP!$AD$101:$AD$147,MATCH(AL14,WORLDCUP!$Z$101:$Z$147,0)))</f>
        <v>1</v>
      </c>
      <c r="AO14" s="511" t="str">
        <f>+IF(ISBLANK(INDEX(WORLDCUP!$AE$101:$AE$147,MATCH(AL14,WORLDCUP!$Z$101:$Z$147,0))),"","( "&amp;INDEX(WORLDCUP!$AE$101:$AE$147,MATCH(AL14,WORLDCUP!$Z$101:$Z$147,0))&amp;" )")</f>
        <v>( 4 )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0</v>
      </c>
      <c r="BI14" s="463">
        <f ca="1">COUNTIF(Pool!$C$130:$C$161,Fixture!BG14)-BJ14-BK14-BL14-BM14-BN14-BO14</f>
        <v>1</v>
      </c>
      <c r="BJ14" s="464">
        <f ca="1">COUNTIF(Pool!$C$182:$C$197,Fixture!BG14)-BK14-BL14-BM14-BN14-BO14</f>
        <v>0</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 thickBot="1">
      <c r="A15" s="181">
        <v>51</v>
      </c>
      <c r="B15" s="504"/>
      <c r="C15" s="444" t="str">
        <f ca="1">+MID(INDEX(WORLDCUP!$AA$4:$AA$147,MATCH(A15,WORLDCUP!$AH$4:$AH$147,0)),1,3)</f>
        <v>Sui</v>
      </c>
      <c r="D15" s="445">
        <f>IF(ISBLANK(INDEX(WORLDCUP!$AC$4:$AC$147,MATCH(A15,WORLDCUP!$AH$4:$AH$147,0))),"",INDEX(WORLDCUP!$AC$4:$AC$147,MATCH(A15,WORLDCUP!$AH$4:$AH$147,0)))</f>
        <v>2</v>
      </c>
      <c r="E15" s="445">
        <f>IF(ISBLANK(INDEX(WORLDCUP!$AD$4:$AD$147,MATCH(A15,WORLDCUP!$AH$4:$AH$147,0))),"",INDEX(WORLDCUP!$AD$4:$AD$147,MATCH(A15,WORLDCUP!$AH$4:$AH$147,0)))</f>
        <v>1</v>
      </c>
      <c r="F15" s="446" t="str">
        <f ca="1">+MID(INDEX(WORLDCUP!$AF$4:$AF$147,MATCH(A15,WORLDCUP!$AH$4:$AH$147,0)),1,3)</f>
        <v>Can</v>
      </c>
      <c r="G15" s="467">
        <v>4</v>
      </c>
      <c r="H15" s="476" t="str">
        <f ca="1">+MID(INDEX(WORLDCUP!$AL$6:$AL$97,MATCH(L15,WORLDCUP!$AI$6:$AI$97,0)),1,3)</f>
        <v>Cat</v>
      </c>
      <c r="I15" s="477">
        <f ca="1">+INDEX(WORLDCUP!$AM$6:$AM$97,MATCH(L15,WORLDCUP!$AI$6:$AI$97,0))</f>
        <v>1</v>
      </c>
      <c r="J15" s="478">
        <f ca="1">+INDEX(WORLDCUP!$AT$6:$AT$97,MATCH(L15,WORLDCUP!$AI$6:$AI$97,0))</f>
        <v>-3</v>
      </c>
      <c r="K15" s="479" t="str">
        <f ca="1">+INDEX(WORLDCUP!$AR$6:$AR$97,MATCH(L15,WORLDCUP!$AI$6:$AI$97,0))&amp;"-"&amp;INDEX(WORLDCUP!$AS$6:$AS$97,MATCH(L15,WORLDCUP!$AI$6:$AI$97,0))</f>
        <v>1-4</v>
      </c>
      <c r="L15" s="181" t="s">
        <v>661</v>
      </c>
      <c r="M15" s="181">
        <v>65</v>
      </c>
      <c r="N15" s="505"/>
      <c r="O15" s="444" t="str">
        <f ca="1">+MID(INDEX(WORLDCUP!$AA$4:$AA$147,MATCH(M15,WORLDCUP!$AH$4:$AH$147,0)),1,3)</f>
        <v>Cab</v>
      </c>
      <c r="P15" s="445">
        <f>IF(ISBLANK(INDEX(WORLDCUP!$AC$4:$AC$147,MATCH(M15,WORLDCUP!$AH$4:$AH$147,0))),"",INDEX(WORLDCUP!$AC$4:$AC$147,MATCH(M15,WORLDCUP!$AH$4:$AH$147,0)))</f>
        <v>1</v>
      </c>
      <c r="Q15" s="445">
        <f>IF(ISBLANK(INDEX(WORLDCUP!$AD$4:$AD$147,MATCH(M15,WORLDCUP!$AH$4:$AH$147,0))),"",INDEX(WORLDCUP!$AD$4:$AD$147,MATCH(M15,WORLDCUP!$AH$4:$AH$147,0)))</f>
        <v>1</v>
      </c>
      <c r="R15" s="446" t="str">
        <f ca="1">+MID(INDEX(WORLDCUP!$AF$4:$AF$147,MATCH(M15,WORLDCUP!$AH$4:$AH$147,0)),1,3)</f>
        <v>Ara</v>
      </c>
      <c r="S15" s="467">
        <v>4</v>
      </c>
      <c r="T15" s="476" t="str">
        <f ca="1">+MID(INDEX(WORLDCUP!$AL$6:$AL$97,MATCH(X15,WORLDCUP!$AI$6:$AI$97,0)),1,3)</f>
        <v>Cab</v>
      </c>
      <c r="U15" s="477">
        <f ca="1">+INDEX(WORLDCUP!$AM$6:$AM$97,MATCH(X15,WORLDCUP!$AI$6:$AI$97,0))</f>
        <v>1</v>
      </c>
      <c r="V15" s="478">
        <f ca="1">+INDEX(WORLDCUP!$AT$6:$AT$97,MATCH(X15,WORLDCUP!$AI$6:$AI$97,0))</f>
        <v>-3</v>
      </c>
      <c r="W15" s="479" t="str">
        <f ca="1">+INDEX(WORLDCUP!$AR$6:$AR$97,MATCH(X15,WORLDCUP!$AI$6:$AI$97,0))&amp;"-"&amp;INDEX(WORLDCUP!$AS$6:$AS$97,MATCH(X15,WORLDCUP!$AI$6:$AI$97,0))</f>
        <v>2-5</v>
      </c>
      <c r="X15" s="181" t="s">
        <v>683</v>
      </c>
      <c r="Y15" s="181">
        <v>83</v>
      </c>
      <c r="Z15" s="425" t="s">
        <v>691</v>
      </c>
      <c r="AA15" s="426" t="str">
        <f ca="1">+MID(INDEX(WORLDCUP!$AA$101:$AA$147,MATCH(Y15,WORLDCUP!$Z$101:$Z$147,0)),1,3)</f>
        <v>Col</v>
      </c>
      <c r="AB15" s="427">
        <f>+IF(ISBLANK(INDEX(WORLDCUP!$AC$101:$AC$147,MATCH(Y15,WORLDCUP!$Z$101:$Z$147,0))),"",INDEX(WORLDCUP!$AC$101:$AC$147,MATCH(Y15,WORLDCUP!$Z$101:$Z$147,0)))</f>
        <v>2</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1</v>
      </c>
      <c r="BI15" s="463">
        <f ca="1">COUNTIF(Pool!$C$130:$C$161,Fixture!BG15)-BJ15-BK15-BL15-BM15-BN15-BO15</f>
        <v>0</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 thickBot="1">
      <c r="A16" s="181">
        <v>52</v>
      </c>
      <c r="B16" s="513"/>
      <c r="C16" s="487" t="str">
        <f ca="1">+MID(INDEX(WORLDCUP!$AA$4:$AA$147,MATCH(A16,WORLDCUP!$AH$4:$AH$147,0)),1,3)</f>
        <v>Bos</v>
      </c>
      <c r="D16" s="488">
        <f>IF(ISBLANK(INDEX(WORLDCUP!$AC$4:$AC$147,MATCH(A16,WORLDCUP!$AH$4:$AH$147,0))),"",INDEX(WORLDCUP!$AC$4:$AC$147,MATCH(A16,WORLDCUP!$AH$4:$AH$147,0)))</f>
        <v>1</v>
      </c>
      <c r="E16" s="488">
        <f>IF(ISBLANK(INDEX(WORLDCUP!$AD$4:$AD$147,MATCH(A16,WORLDCUP!$AH$4:$AH$147,0))),"",INDEX(WORLDCUP!$AD$4:$AD$147,MATCH(A16,WORLDCUP!$AH$4:$AH$147,0)))</f>
        <v>0</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2</v>
      </c>
      <c r="Q16" s="488">
        <f>IF(ISBLANK(INDEX(WORLDCUP!$AD$4:$AD$147,MATCH(M16,WORLDCUP!$AH$4:$AH$147,0))),"",INDEX(WORLDCUP!$AD$4:$AD$147,MATCH(M16,WORLDCUP!$AH$4:$AH$147,0)))</f>
        <v>2</v>
      </c>
      <c r="R16" s="489" t="str">
        <f ca="1">+MID(INDEX(WORLDCUP!$AF$4:$AF$147,MATCH(M16,WORLDCUP!$AH$4:$AH$147,0)),1,3)</f>
        <v>Esp</v>
      </c>
      <c r="S16" s="490"/>
      <c r="T16" s="490"/>
      <c r="U16" s="491"/>
      <c r="V16" s="491"/>
      <c r="W16" s="492"/>
      <c r="X16" s="181"/>
      <c r="Y16" s="181">
        <v>83</v>
      </c>
      <c r="Z16" s="425" t="s">
        <v>694</v>
      </c>
      <c r="AA16" s="426" t="str">
        <f ca="1">+MID(INDEX(WORLDCUP!$AF$101:$AF$147,MATCH(Y16,WORLDCUP!$Z$101:$Z$147,0)),1,3)</f>
        <v>Cro</v>
      </c>
      <c r="AB16" s="453">
        <f>+IF(ISBLANK(INDEX(WORLDCUP!$AD$101:$AD$147,MATCH(Y16,WORLDCUP!$Z$101:$Z$147,0))),"",INDEX(WORLDCUP!$AD$101:$AD$147,MATCH(Y16,WORLDCUP!$Z$101:$Z$147,0)))</f>
        <v>1</v>
      </c>
      <c r="AC16" s="454" t="str">
        <f>+IF(ISBLANK(INDEX(WORLDCUP!$AE$101:$AE$147,MATCH(Y16,WORLDCUP!$Z$101:$Z$147,0))),"","( "&amp;INDEX(WORLDCUP!$AE$101:$AE$147,MATCH(Y16,WORLDCUP!$Z$101:$Z$147,0))&amp;" )")</f>
        <v/>
      </c>
      <c r="AD16" s="455">
        <v>93</v>
      </c>
      <c r="AE16" s="456" t="str">
        <f ca="1">+MID(INDEX(WORLDCUP!$AA$101:$AA$147,MATCH(AD16,WORLDCUP!$Z$101:$Z$147,0)),1,3)</f>
        <v>Col</v>
      </c>
      <c r="AF16" s="457">
        <f>+IF(ISBLANK(INDEX(WORLDCUP!$AC$101:$AC$147,MATCH(AD16,WORLDCUP!$Z$101:$Z$147,0))),"",INDEX(WORLDCUP!$AC$101:$AC$147,MATCH(AD16,WORLDCUP!$Z$101:$Z$147,0)))</f>
        <v>2</v>
      </c>
      <c r="AG16" s="458" t="str">
        <f>+IF(ISBLANK(INDEX(WORLDCUP!$AB$101:$AB$147,MATCH(AD16,WORLDCUP!$Z$101:$Z$147,0))),"","( "&amp;INDEX(WORLDCUP!$AB$101:$AB$147,MATCH(AD16,WORLDCUP!$Z$101:$Z$147,0))&amp;" )")</f>
        <v>( 5 )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0</v>
      </c>
      <c r="BJ16" s="464">
        <f ca="1">COUNTIF(Pool!$C$182:$C$197,Fixture!BG16)-BK16-BL16-BM16-BN16-BO16</f>
        <v>0</v>
      </c>
      <c r="BK16" s="465">
        <f ca="1">COUNTIF(Pool!$C$210:$C$217,Fixture!BG16)-BL16-BM16-BN16-BO16</f>
        <v>0</v>
      </c>
      <c r="BL16" s="465">
        <f ca="1">COUNTIF(Pool!$C$226:$C$229,Fixture!BG16)-BM16-BN16-BO16</f>
        <v>0</v>
      </c>
      <c r="BM16" s="463">
        <f ca="1">COUNTIF(Pool!$C$252,Fixture!BG16)</f>
        <v>1</v>
      </c>
      <c r="BN16" s="463">
        <f ca="1">COUNTIF(Pool!$C$251,Fixture!BG16)</f>
        <v>0</v>
      </c>
      <c r="BO16" s="466">
        <f ca="1">COUNTIF(Pool!$C$250,Fixture!BG16)</f>
        <v>0</v>
      </c>
    </row>
    <row r="17" spans="1:67">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2</v>
      </c>
      <c r="AG17" s="515" t="str">
        <f>+IF(ISBLANK(INDEX(WORLDCUP!$AE$101:$AE$147,MATCH(AD17,WORLDCUP!$Z$101:$Z$147,0))),"","( "&amp;INDEX(WORLDCUP!$AE$101:$AE$147,MATCH(AD17,WORLDCUP!$Z$101:$Z$147,0))&amp;" )")</f>
        <v>( 4 )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0</v>
      </c>
      <c r="BI17" s="463">
        <f ca="1">COUNTIF(Pool!$C$130:$C$161,Fixture!BG17)-BJ17-BK17-BL17-BM17-BN17-BO17</f>
        <v>0</v>
      </c>
      <c r="BJ17" s="464">
        <f ca="1">COUNTIF(Pool!$C$182:$C$197,Fixture!BG17)-BK17-BL17-BM17-BN17-BO17</f>
        <v>1</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5" thickBot="1">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681</v>
      </c>
      <c r="AA18" s="426" t="str">
        <f ca="1">+MID(INDEX(WORLDCUP!$AA$101:$AA$147,MATCH(Y18,WORLDCUP!$Z$101:$Z$147,0)),1,3)</f>
        <v>Esp</v>
      </c>
      <c r="AB18" s="472">
        <f>+IF(ISBLANK(INDEX(WORLDCUP!$AC$101:$AC$147,MATCH(Y18,WORLDCUP!$Z$101:$Z$147,0))),"",INDEX(WORLDCUP!$AC$101:$AC$147,MATCH(Y18,WORLDCUP!$Z$101:$Z$147,0)))</f>
        <v>3</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0</v>
      </c>
      <c r="BI18" s="463">
        <f ca="1">COUNTIF(Pool!$C$130:$C$161,Fixture!BG18)-BJ18-BK18-BL18-BM18-BN18-BO18</f>
        <v>1</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 thickBot="1">
      <c r="A19" s="181">
        <v>7</v>
      </c>
      <c r="B19" s="518" t="s">
        <v>2</v>
      </c>
      <c r="C19" s="417" t="str">
        <f ca="1">+MID(INDEX(WORLDCUP!$AA$4:$AA$147,MATCH(A19,WORLDCUP!$AH$4:$AH$147,0)),1,3)</f>
        <v>Bra</v>
      </c>
      <c r="D19" s="418">
        <f>IF(ISBLANK(INDEX(WORLDCUP!$AC$4:$AC$147,MATCH(A19,WORLDCUP!$AH$4:$AH$147,0))),"",INDEX(WORLDCUP!$AC$4:$AC$147,MATCH(A19,WORLDCUP!$AH$4:$AH$147,0)))</f>
        <v>2</v>
      </c>
      <c r="E19" s="418">
        <f>IF(ISBLANK(INDEX(WORLDCUP!$AD$4:$AD$147,MATCH(A19,WORLDCUP!$AH$4:$AH$147,0))),"",INDEX(WORLDCUP!$AD$4:$AD$147,MATCH(A19,WORLDCUP!$AH$4:$AH$147,0)))</f>
        <v>2</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f>IF(ISBLANK(INDEX(WORLDCUP!$AC$4:$AC$147,MATCH(M19,WORLDCUP!$AH$4:$AH$147,0))),"",INDEX(WORLDCUP!$AC$4:$AC$147,MATCH(M19,WORLDCUP!$AH$4:$AH$147,0)))</f>
        <v>2</v>
      </c>
      <c r="Q19" s="418">
        <f>IF(ISBLANK(INDEX(WORLDCUP!$AD$4:$AD$147,MATCH(M19,WORLDCUP!$AH$4:$AH$147,0))),"",INDEX(WORLDCUP!$AD$4:$AD$147,MATCH(M19,WORLDCUP!$AH$4:$AH$147,0)))</f>
        <v>1</v>
      </c>
      <c r="R19" s="419" t="str">
        <f ca="1">+MID(INDEX(WORLDCUP!$AF$4:$AF$147,MATCH(M19,WORLDCUP!$AH$4:$AH$147,0)),1,3)</f>
        <v>Sen</v>
      </c>
      <c r="S19" s="420"/>
      <c r="T19" s="421" t="str">
        <f>+T11</f>
        <v>Sel</v>
      </c>
      <c r="U19" s="422" t="str">
        <f>+U11</f>
        <v>Pts</v>
      </c>
      <c r="V19" s="422" t="str">
        <f>+V11</f>
        <v>DG</v>
      </c>
      <c r="W19" s="423" t="str">
        <f>+W11</f>
        <v>GF-GC</v>
      </c>
      <c r="X19" s="181"/>
      <c r="Y19" s="181">
        <v>84</v>
      </c>
      <c r="Z19" s="425" t="s">
        <v>688</v>
      </c>
      <c r="AA19" s="480" t="str">
        <f ca="1">+MID(INDEX(WORLDCUP!$AF$101:$AF$147,MATCH(Y19,WORLDCUP!$Z$101:$Z$147,0)),1,3)</f>
        <v>Arg</v>
      </c>
      <c r="AB19" s="481">
        <f>+IF(ISBLANK(INDEX(WORLDCUP!$AD$101:$AD$147,MATCH(Y19,WORLDCUP!$Z$101:$Z$147,0))),"",INDEX(WORLDCUP!$AD$101:$AD$147,MATCH(Y19,WORLDCUP!$Z$101:$Z$147,0)))</f>
        <v>1</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Col</v>
      </c>
      <c r="AJ19" s="484">
        <f>+IF(ISBLANK(INDEX(WORLDCUP!$AC$101:$AC$147,MATCH(AH19,WORLDCUP!$Z$101:$Z$147,0))),"",INDEX(WORLDCUP!$AC$101:$AC$147,MATCH(AH19,WORLDCUP!$Z$101:$Z$147,0)))</f>
        <v>2</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1</v>
      </c>
      <c r="BJ19" s="464">
        <f ca="1">COUNTIF(Pool!$C$182:$C$197,Fixture!BG19)-BK19-BL19-BM19-BN19-BO19</f>
        <v>0</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2</v>
      </c>
      <c r="F20" s="446" t="str">
        <f ca="1">+MID(INDEX(WORLDCUP!$AF$4:$AF$147,MATCH(A20,WORLDCUP!$AH$4:$AH$147,0)),1,3)</f>
        <v>Esc</v>
      </c>
      <c r="G20" s="447">
        <v>1</v>
      </c>
      <c r="H20" s="448" t="str">
        <f ca="1">+MID(INDEX(WORLDCUP!$AL$6:$AL$97,MATCH(L20,WORLDCUP!$AI$6:$AI$97,0)),1,3)</f>
        <v>Bra</v>
      </c>
      <c r="I20" s="449">
        <f ca="1">+INDEX(WORLDCUP!$AM$6:$AM$97,MATCH(L20,WORLDCUP!$AI$6:$AI$97,0))</f>
        <v>7</v>
      </c>
      <c r="J20" s="450">
        <f ca="1">+INDEX(WORLDCUP!$AT$6:$AT$97,MATCH(L20,WORLDCUP!$AI$6:$AI$97,0))</f>
        <v>8</v>
      </c>
      <c r="K20" s="451" t="str">
        <f ca="1">+INDEX(WORLDCUP!$AR$6:$AR$97,MATCH(L20,WORLDCUP!$AI$6:$AI$97,0))&amp;"-"&amp;INDEX(WORLDCUP!$AS$6:$AS$97,MATCH(L20,WORLDCUP!$AI$6:$AI$97,0))</f>
        <v>11-3</v>
      </c>
      <c r="L20" s="181" t="s">
        <v>662</v>
      </c>
      <c r="M20" s="181">
        <v>18</v>
      </c>
      <c r="N20" s="522"/>
      <c r="O20" s="444" t="str">
        <f ca="1">+MID(INDEX(WORLDCUP!$AA$4:$AA$147,MATCH(M20,WORLDCUP!$AH$4:$AH$147,0)),1,3)</f>
        <v>Ira</v>
      </c>
      <c r="P20" s="445">
        <f>IF(ISBLANK(INDEX(WORLDCUP!$AC$4:$AC$147,MATCH(M20,WORLDCUP!$AH$4:$AH$147,0))),"",INDEX(WORLDCUP!$AC$4:$AC$147,MATCH(M20,WORLDCUP!$AH$4:$AH$147,0)))</f>
        <v>1</v>
      </c>
      <c r="Q20" s="445">
        <f>IF(ISBLANK(INDEX(WORLDCUP!$AD$4:$AD$147,MATCH(M20,WORLDCUP!$AH$4:$AH$147,0))),"",INDEX(WORLDCUP!$AD$4:$AD$147,MATCH(M20,WORLDCUP!$AH$4:$AH$147,0)))</f>
        <v>2</v>
      </c>
      <c r="R20" s="446" t="str">
        <f ca="1">+MID(INDEX(WORLDCUP!$AF$4:$AF$147,MATCH(M20,WORLDCUP!$AH$4:$AH$147,0)),1,3)</f>
        <v>Nor</v>
      </c>
      <c r="S20" s="447">
        <v>1</v>
      </c>
      <c r="T20" s="448" t="str">
        <f ca="1">+MID(INDEX(WORLDCUP!$AL$6:$AL$97,MATCH(X20,WORLDCUP!$AI$6:$AI$97,0)),1,3)</f>
        <v>Fra</v>
      </c>
      <c r="U20" s="449">
        <f ca="1">+INDEX(WORLDCUP!$AM$6:$AM$97,MATCH(X20,WORLDCUP!$AI$6:$AI$97,0))</f>
        <v>7</v>
      </c>
      <c r="V20" s="450">
        <f ca="1">+INDEX(WORLDCUP!$AT$6:$AT$97,MATCH(X20,WORLDCUP!$AI$6:$AI$97,0))</f>
        <v>4</v>
      </c>
      <c r="W20" s="451" t="str">
        <f ca="1">+INDEX(WORLDCUP!$AR$6:$AR$97,MATCH(X20,WORLDCUP!$AI$6:$AI$97,0))&amp;"-"&amp;INDEX(WORLDCUP!$AS$6:$AS$97,MATCH(X20,WORLDCUP!$AI$6:$AI$97,0))</f>
        <v>6-2</v>
      </c>
      <c r="X20" s="181" t="s">
        <v>684</v>
      </c>
      <c r="Y20" s="181"/>
      <c r="Z20" s="425"/>
      <c r="AA20" s="494"/>
      <c r="AB20" s="494"/>
      <c r="AC20" s="494"/>
      <c r="AD20" s="181"/>
      <c r="AE20" s="429"/>
      <c r="AF20" s="429"/>
      <c r="AG20" s="475"/>
      <c r="AH20" s="181">
        <v>98</v>
      </c>
      <c r="AI20" s="483" t="str">
        <f ca="1">+MID(INDEX(WORLDCUP!$AF$101:$AF$147,MATCH(AH20,WORLDCUP!$Z$101:$Z$147,0)),1,3)</f>
        <v>Est</v>
      </c>
      <c r="AJ20" s="484">
        <f>+IF(ISBLANK(INDEX(WORLDCUP!$AD$101:$AD$147,MATCH(AH20,WORLDCUP!$Z$101:$Z$147,0))),"",INDEX(WORLDCUP!$AD$101:$AD$147,MATCH(AH20,WORLDCUP!$Z$101:$Z$147,0)))</f>
        <v>1</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 thickBot="1">
      <c r="A21" s="181">
        <v>30</v>
      </c>
      <c r="B21" s="521"/>
      <c r="C21" s="444" t="str">
        <f ca="1">+MID(INDEX(WORLDCUP!$AA$4:$AA$147,MATCH(A21,WORLDCUP!$AH$4:$AH$147,0)),1,3)</f>
        <v>Esc</v>
      </c>
      <c r="D21" s="445">
        <f>IF(ISBLANK(INDEX(WORLDCUP!$AC$4:$AC$147,MATCH(A21,WORLDCUP!$AH$4:$AH$147,0))),"",INDEX(WORLDCUP!$AC$4:$AC$147,MATCH(A21,WORLDCUP!$AH$4:$AH$147,0)))</f>
        <v>1</v>
      </c>
      <c r="E21" s="445">
        <f>IF(ISBLANK(INDEX(WORLDCUP!$AD$4:$AD$147,MATCH(A21,WORLDCUP!$AH$4:$AH$147,0))),"",INDEX(WORLDCUP!$AD$4:$AD$147,MATCH(A21,WORLDCUP!$AH$4:$AH$147,0)))</f>
        <v>3</v>
      </c>
      <c r="F21" s="446" t="str">
        <f ca="1">+MID(INDEX(WORLDCUP!$AF$4:$AF$147,MATCH(A21,WORLDCUP!$AH$4:$AH$147,0)),1,3)</f>
        <v>Mar</v>
      </c>
      <c r="G21" s="467">
        <v>2</v>
      </c>
      <c r="H21" s="468"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667</v>
      </c>
      <c r="M21" s="181">
        <v>42</v>
      </c>
      <c r="N21" s="522"/>
      <c r="O21" s="444" t="str">
        <f ca="1">+MID(INDEX(WORLDCUP!$AA$4:$AA$147,MATCH(M21,WORLDCUP!$AH$4:$AH$147,0)),1,3)</f>
        <v>Fra</v>
      </c>
      <c r="P21" s="445">
        <f>IF(ISBLANK(INDEX(WORLDCUP!$AC$4:$AC$147,MATCH(M21,WORLDCUP!$AH$4:$AH$147,0))),"",INDEX(WORLDCUP!$AC$4:$AC$147,MATCH(M21,WORLDCUP!$AH$4:$AH$147,0)))</f>
        <v>3</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Nor</v>
      </c>
      <c r="U21" s="38">
        <f ca="1">+INDEX(WORLDCUP!$AM$6:$AM$97,MATCH(X21,WORLDCUP!$AI$6:$AI$97,0))</f>
        <v>7</v>
      </c>
      <c r="V21" s="39">
        <f ca="1">+INDEX(WORLDCUP!$AT$6:$AT$97,MATCH(X21,WORLDCUP!$AI$6:$AI$97,0))</f>
        <v>2</v>
      </c>
      <c r="W21" s="43" t="str">
        <f ca="1">+INDEX(WORLDCUP!$AR$6:$AR$97,MATCH(X21,WORLDCUP!$AI$6:$AI$97,0))&amp;"-"&amp;INDEX(WORLDCUP!$AS$6:$AS$97,MATCH(X21,WORLDCUP!$AI$6:$AI$97,0))</f>
        <v>4-2</v>
      </c>
      <c r="X21" s="181" t="s">
        <v>685</v>
      </c>
      <c r="Y21" s="181">
        <v>81</v>
      </c>
      <c r="Z21" s="425" t="s">
        <v>669</v>
      </c>
      <c r="AA21" s="426" t="str">
        <f ca="1">+MID(INDEX(WORLDCUP!$AA$101:$AA$147,MATCH(Y21,WORLDCUP!$Z$101:$Z$147,0)),1,3)</f>
        <v>Est</v>
      </c>
      <c r="AB21" s="427">
        <f>+IF(ISBLANK(INDEX(WORLDCUP!$AC$101:$AC$147,MATCH(Y21,WORLDCUP!$Z$101:$Z$147,0))),"",INDEX(WORLDCUP!$AC$101:$AC$147,MATCH(Y21,WORLDCUP!$Z$101:$Z$147,0)))</f>
        <v>2</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Argentina</v>
      </c>
      <c r="BB21" s="528"/>
      <c r="BC21" s="529"/>
      <c r="BD21" s="153"/>
      <c r="BE21" s="153"/>
      <c r="BG21" s="462" t="str">
        <f ca="1">Horarios!Q20</f>
        <v>Ecuador</v>
      </c>
      <c r="BH21" s="463">
        <f t="shared" ca="1" si="0"/>
        <v>0</v>
      </c>
      <c r="BI21" s="463">
        <f ca="1">COUNTIF(Pool!$C$130:$C$161,Fixture!BG21)-BJ21-BK21-BL21-BM21-BN21-BO21</f>
        <v>1</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 thickBot="1">
      <c r="A22" s="181">
        <v>29</v>
      </c>
      <c r="B22" s="521"/>
      <c r="C22" s="444" t="str">
        <f ca="1">+MID(INDEX(WORLDCUP!$AA$4:$AA$147,MATCH(A22,WORLDCUP!$AH$4:$AH$147,0)),1,3)</f>
        <v>Bra</v>
      </c>
      <c r="D22" s="445">
        <f>IF(ISBLANK(INDEX(WORLDCUP!$AC$4:$AC$147,MATCH(A22,WORLDCUP!$AH$4:$AH$147,0))),"",INDEX(WORLDCUP!$AC$4:$AC$147,MATCH(A22,WORLDCUP!$AH$4:$AH$147,0)))</f>
        <v>5</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92</v>
      </c>
      <c r="M22" s="181">
        <v>41</v>
      </c>
      <c r="N22" s="522"/>
      <c r="O22" s="444" t="str">
        <f ca="1">+MID(INDEX(WORLDCUP!$AA$4:$AA$147,MATCH(M22,WORLDCUP!$AH$4:$AH$147,0)),1,3)</f>
        <v>Nor</v>
      </c>
      <c r="P22" s="445">
        <f>IF(ISBLANK(INDEX(WORLDCUP!$AC$4:$AC$147,MATCH(M22,WORLDCUP!$AH$4:$AH$147,0))),"",INDEX(WORLDCUP!$AC$4:$AC$147,MATCH(M22,WORLDCUP!$AH$4:$AH$147,0)))</f>
        <v>1</v>
      </c>
      <c r="Q22" s="445">
        <f>IF(ISBLANK(INDEX(WORLDCUP!$AD$4:$AD$147,MATCH(M22,WORLDCUP!$AH$4:$AH$147,0))),"",INDEX(WORLDCUP!$AD$4:$AD$147,MATCH(M22,WORLDCUP!$AH$4:$AH$147,0)))</f>
        <v>0</v>
      </c>
      <c r="R22" s="446" t="str">
        <f ca="1">+MID(INDEX(WORLDCUP!$AF$4:$AF$147,MATCH(M22,WORLDCUP!$AH$4:$AH$147,0)),1,3)</f>
        <v>Sen</v>
      </c>
      <c r="S22" s="467">
        <v>3</v>
      </c>
      <c r="T22" s="468"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4-3</v>
      </c>
      <c r="X22" s="181" t="s">
        <v>450</v>
      </c>
      <c r="Y22" s="181">
        <v>81</v>
      </c>
      <c r="Z22" s="425" t="s">
        <v>737</v>
      </c>
      <c r="AA22" s="426" t="str">
        <f ca="1">+MID(INDEX(WORLDCUP!$AF$101:$AF$147,MATCH(Y22,WORLDCUP!$Z$101:$Z$147,0)),1,IF(WORLDCUP!$H$113&lt;144,6,3))</f>
        <v>Bos</v>
      </c>
      <c r="AB22" s="453">
        <f>+IF(ISBLANK(INDEX(WORLDCUP!$AD$101:$AD$147,MATCH(Y22,WORLDCUP!$Z$101:$Z$147,0))),"",INDEX(WORLDCUP!$AD$101:$AD$147,MATCH(Y22,WORLDCUP!$Z$101:$Z$147,0)))</f>
        <v>0</v>
      </c>
      <c r="AC22" s="454" t="str">
        <f>+IF(ISBLANK(INDEX(WORLDCUP!$AE$101:$AE$147,MATCH(Y22,WORLDCUP!$Z$101:$Z$147,0))),"","( "&amp;INDEX(WORLDCUP!$AE$101:$AE$147,MATCH(Y22,WORLDCUP!$Z$101:$Z$147,0))&amp;" )")</f>
        <v/>
      </c>
      <c r="AD22" s="455">
        <v>94</v>
      </c>
      <c r="AE22" s="456" t="str">
        <f ca="1">+MID(INDEX(WORLDCUP!$AA$101:$AA$147,MATCH(AD22,WORLDCUP!$Z$101:$Z$147,0)),1,3)</f>
        <v>Est</v>
      </c>
      <c r="AF22" s="457">
        <f>+IF(ISBLANK(INDEX(WORLDCUP!$AC$101:$AC$147,MATCH(AD22,WORLDCUP!$Z$101:$Z$147,0))),"",INDEX(WORLDCUP!$AC$101:$AC$147,MATCH(AD22,WORLDCUP!$Z$101:$Z$147,0)))</f>
        <v>1</v>
      </c>
      <c r="AG22" s="501" t="str">
        <f>+IF(ISBLANK(INDEX(WORLDCUP!$AB$101:$AB$147,MATCH(AD22,WORLDCUP!$Z$101:$Z$147,0))),"","( "&amp;INDEX(WORLDCUP!$AB$101:$AB$147,MATCH(AD22,WORLDCUP!$Z$101:$Z$147,0))&amp;" )")</f>
        <v>( 5 )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0</v>
      </c>
      <c r="BI22" s="463">
        <f ca="1">COUNTIF(Pool!$C$130:$C$161,Fixture!BG22)-BJ22-BK22-BL22-BM22-BN22-BO22</f>
        <v>1</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c r="A23" s="181">
        <v>49</v>
      </c>
      <c r="B23" s="521"/>
      <c r="C23" s="444" t="str">
        <f ca="1">+MID(INDEX(WORLDCUP!$AA$4:$AA$147,MATCH(A23,WORLDCUP!$AH$4:$AH$147,0)),1,3)</f>
        <v>Esc</v>
      </c>
      <c r="D23" s="445">
        <f>IF(ISBLANK(INDEX(WORLDCUP!$AC$4:$AC$147,MATCH(A23,WORLDCUP!$AH$4:$AH$147,0))),"",INDEX(WORLDCUP!$AC$4:$AC$147,MATCH(A23,WORLDCUP!$AH$4:$AH$147,0)))</f>
        <v>1</v>
      </c>
      <c r="E23" s="445">
        <f>IF(ISBLANK(INDEX(WORLDCUP!$AD$4:$AD$147,MATCH(A23,WORLDCUP!$AH$4:$AH$147,0))),"",INDEX(WORLDCUP!$AD$4:$AD$147,MATCH(A23,WORLDCUP!$AH$4:$AH$147,0)))</f>
        <v>4</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-10</v>
      </c>
      <c r="K23" s="479" t="str">
        <f ca="1">+INDEX(WORLDCUP!$AR$6:$AR$97,MATCH(L23,WORLDCUP!$AI$6:$AI$97,0))&amp;"-"&amp;INDEX(WORLDCUP!$AS$6:$AS$97,MATCH(L23,WORLDCUP!$AI$6:$AI$97,0))</f>
        <v>0-10</v>
      </c>
      <c r="L23" s="181" t="s">
        <v>668</v>
      </c>
      <c r="M23" s="181">
        <v>61</v>
      </c>
      <c r="N23" s="522"/>
      <c r="O23" s="444" t="str">
        <f ca="1">+MID(INDEX(WORLDCUP!$AA$4:$AA$147,MATCH(M23,WORLDCUP!$AH$4:$AH$147,0)),1,3)</f>
        <v>Nor</v>
      </c>
      <c r="P23" s="445">
        <f>IF(ISBLANK(INDEX(WORLDCUP!$AC$4:$AC$147,MATCH(M23,WORLDCUP!$AH$4:$AH$147,0))),"",INDEX(WORLDCUP!$AC$4:$AC$147,MATCH(M23,WORLDCUP!$AH$4:$AH$147,0)))</f>
        <v>1</v>
      </c>
      <c r="Q23" s="445">
        <f>IF(ISBLANK(INDEX(WORLDCUP!$AD$4:$AD$147,MATCH(M23,WORLDCUP!$AH$4:$AH$147,0))),"",INDEX(WORLDCUP!$AD$4:$AD$147,MATCH(M23,WORLDCUP!$AH$4:$AH$147,0)))</f>
        <v>1</v>
      </c>
      <c r="R23" s="446" t="str">
        <f ca="1">+MID(INDEX(WORLDCUP!$AF$4:$AF$147,MATCH(M23,WORLDCUP!$AH$4:$AH$147,0)),1,3)</f>
        <v>Fra</v>
      </c>
      <c r="S23" s="467">
        <v>4</v>
      </c>
      <c r="T23" s="476" t="str">
        <f ca="1">+MID(INDEX(WORLDCUP!$AL$6:$AL$97,MATCH(X23,WORLDCUP!$AI$6:$AI$97,0)),1,3)</f>
        <v>Ira</v>
      </c>
      <c r="U23" s="477">
        <f ca="1">+INDEX(WORLDCUP!$AM$6:$AM$97,MATCH(X23,WORLDCUP!$AI$6:$AI$97,0))</f>
        <v>0</v>
      </c>
      <c r="V23" s="478">
        <f ca="1">+INDEX(WORLDCUP!$AT$6:$AT$97,MATCH(X23,WORLDCUP!$AI$6:$AI$97,0))</f>
        <v>-7</v>
      </c>
      <c r="W23" s="479" t="str">
        <f ca="1">+INDEX(WORLDCUP!$AR$6:$AR$97,MATCH(X23,WORLDCUP!$AI$6:$AI$97,0))&amp;"-"&amp;INDEX(WORLDCUP!$AS$6:$AS$97,MATCH(X23,WORLDCUP!$AI$6:$AI$97,0))</f>
        <v>1-8</v>
      </c>
      <c r="X23" s="181" t="s">
        <v>686</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1</v>
      </c>
      <c r="AG23" s="474" t="str">
        <f>+IF(ISBLANK(INDEX(WORLDCUP!$AE$101:$AE$147,MATCH(AD23,WORLDCUP!$Z$101:$Z$147,0))),"","( "&amp;INDEX(WORLDCUP!$AE$101:$AE$147,MATCH(AD23,WORLDCUP!$Z$101:$Z$147,0))&amp;" )")</f>
        <v>( 3 )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Países Bajos</v>
      </c>
      <c r="BC23" s="529"/>
      <c r="BD23" s="153"/>
      <c r="BE23" s="153"/>
      <c r="BG23" s="462" t="str">
        <f ca="1">Horarios!Q22</f>
        <v>Escocia</v>
      </c>
      <c r="BH23" s="463">
        <f t="shared" ca="1" si="0"/>
        <v>1</v>
      </c>
      <c r="BI23" s="463">
        <f ca="1">COUNTIF(Pool!$C$130:$C$161,Fixture!BG23)-BJ23-BK23-BL23-BM23-BN23-BO23</f>
        <v>0</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 thickBot="1">
      <c r="A24" s="181">
        <v>50</v>
      </c>
      <c r="B24" s="531"/>
      <c r="C24" s="487" t="str">
        <f ca="1">+MID(INDEX(WORLDCUP!$AA$4:$AA$147,MATCH(A24,WORLDCUP!$AH$4:$AH$147,0)),1,3)</f>
        <v>Mar</v>
      </c>
      <c r="D24" s="488">
        <f>IF(ISBLANK(INDEX(WORLDCUP!$AC$4:$AC$147,MATCH(A24,WORLDCUP!$AH$4:$AH$147,0))),"",INDEX(WORLDCUP!$AC$4:$AC$147,MATCH(A24,WORLDCUP!$AH$4:$AH$147,0)))</f>
        <v>3</v>
      </c>
      <c r="E24" s="488">
        <f>IF(ISBLANK(INDEX(WORLDCUP!$AD$4:$AD$147,MATCH(A24,WORLDCUP!$AH$4:$AH$147,0))),"",INDEX(WORLDCUP!$AD$4:$AD$147,MATCH(A24,WORLDCUP!$AH$4:$AH$147,0)))</f>
        <v>0</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3</v>
      </c>
      <c r="Q24" s="488">
        <f>IF(ISBLANK(INDEX(WORLDCUP!$AD$4:$AD$147,MATCH(M24,WORLDCUP!$AH$4:$AH$147,0))),"",INDEX(WORLDCUP!$AD$4:$AD$147,MATCH(M24,WORLDCUP!$AH$4:$AH$147,0)))</f>
        <v>0</v>
      </c>
      <c r="R24" s="489" t="str">
        <f ca="1">+MID(INDEX(WORLDCUP!$AF$4:$AF$147,MATCH(M24,WORLDCUP!$AH$4:$AH$147,0)),1,3)</f>
        <v>Ira</v>
      </c>
      <c r="S24" s="490"/>
      <c r="T24" s="490"/>
      <c r="U24" s="491"/>
      <c r="V24" s="491"/>
      <c r="W24" s="492"/>
      <c r="X24" s="181"/>
      <c r="Y24" s="181">
        <v>82</v>
      </c>
      <c r="Z24" s="425" t="s">
        <v>678</v>
      </c>
      <c r="AA24" s="426" t="str">
        <f ca="1">+MID(INDEX(WORLDCUP!$AA$101:$AA$147,MATCH(Y24,WORLDCUP!$Z$101:$Z$147,0)),1,3)</f>
        <v>Bél</v>
      </c>
      <c r="AB24" s="472">
        <f>+IF(ISBLANK(INDEX(WORLDCUP!$AC$101:$AC$147,MATCH(Y24,WORLDCUP!$Z$101:$Z$147,0))),"",INDEX(WORLDCUP!$AC$101:$AC$147,MATCH(Y24,WORLDCUP!$Z$101:$Z$147,0)))</f>
        <v>1</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1</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0</v>
      </c>
    </row>
    <row r="25" spans="1:67" ht="15" thickBot="1">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738</v>
      </c>
      <c r="AA25" s="480" t="str">
        <f ca="1">+MID(INDEX(WORLDCUP!$AF$101:$AF$147,MATCH(Y25,WORLDCUP!$Z$101:$Z$147,0)),1,IF(WORLDCUP!$H$113&lt;144,6,3))</f>
        <v>Rep</v>
      </c>
      <c r="AB25" s="481">
        <f>+IF(ISBLANK(INDEX(WORLDCUP!$AD$101:$AD$147,MATCH(Y25,WORLDCUP!$Z$101:$Z$147,0))),"",INDEX(WORLDCUP!$AD$101:$AD$147,MATCH(Y25,WORLDCUP!$Z$101:$Z$147,0)))</f>
        <v>0</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País</v>
      </c>
      <c r="AV25" s="538">
        <f>+IF(ISBLANK(INDEX(WORLDCUP!$AC$101:$AC$147,MATCH(AT25,WORLDCUP!$Z$101:$Z$147,0))),"",INDEX(WORLDCUP!$AC$101:$AC$147,MATCH(AT25,WORLDCUP!$Z$101:$Z$147,0)))</f>
        <v>0</v>
      </c>
      <c r="AW25" s="539" t="str">
        <f>+IF(ISBLANK(INDEX(WORLDCUP!$AB$101:$AB$147,MATCH(AT25,WORLDCUP!$Z$101:$Z$147,0))),"","( "&amp;INDEX(WORLDCUP!$AB$101:$AB$147,MATCH(AT25,WORLDCUP!$Z$101:$Z$147,0))&amp;" )")</f>
        <v/>
      </c>
      <c r="AX25" s="540"/>
      <c r="AY25" s="527"/>
      <c r="AZ25" s="528" t="str">
        <f ca="1">+WORLDCUP!AA152</f>
        <v>Colombia</v>
      </c>
      <c r="BA25" s="530"/>
      <c r="BB25" s="533"/>
      <c r="BC25" s="529"/>
      <c r="BD25" s="153"/>
      <c r="BE25" s="153"/>
      <c r="BG25" s="462" t="str">
        <f ca="1">Horarios!Q24</f>
        <v>Estados Unidos</v>
      </c>
      <c r="BH25" s="463">
        <f t="shared" ca="1" si="0"/>
        <v>0</v>
      </c>
      <c r="BI25" s="463">
        <f ca="1">COUNTIF(Pool!$C$130:$C$161,Fixture!BG25)-BJ25-BK25-BL25-BM25-BN25-BO25</f>
        <v>0</v>
      </c>
      <c r="BJ25" s="464">
        <f ca="1">COUNTIF(Pool!$C$182:$C$197,Fixture!BG25)-BK25-BL25-BM25-BN25-BO25</f>
        <v>0</v>
      </c>
      <c r="BK25" s="465">
        <f ca="1">COUNTIF(Pool!$C$210:$C$217,Fixture!BG25)-BL25-BM25-BN25-BO25</f>
        <v>1</v>
      </c>
      <c r="BL25" s="465">
        <f ca="1">COUNTIF(Pool!$C$226:$C$229,Fixture!BG25)-BM25-BN25-BO25</f>
        <v>0</v>
      </c>
      <c r="BM25" s="463">
        <f ca="1">COUNTIF(Pool!$C$252,Fixture!BG25)</f>
        <v>0</v>
      </c>
      <c r="BN25" s="463">
        <f ca="1">COUNTIF(Pool!$C$251,Fixture!BG25)</f>
        <v>0</v>
      </c>
      <c r="BO25" s="466">
        <f ca="1">COUNTIF(Pool!$C$250,Fixture!BG25)</f>
        <v>0</v>
      </c>
    </row>
    <row r="26" spans="1:67" ht="15" thickBot="1">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Arge</v>
      </c>
      <c r="AV26" s="538">
        <f>+IF(ISBLANK(INDEX(WORLDCUP!$AD$101:$AD$147,MATCH(AT26,WORLDCUP!$Z$101:$Z$147,0))),"",INDEX(WORLDCUP!$AD$101:$AD$147,MATCH(AT26,WORLDCUP!$Z$101:$Z$147,0)))</f>
        <v>1</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1</v>
      </c>
      <c r="BK26" s="465">
        <f ca="1">COUNTIF(Pool!$C$210:$C$217,Fixture!BG26)-BL26-BM26-BN26-BO26</f>
        <v>0</v>
      </c>
      <c r="BL26" s="465">
        <f ca="1">COUNTIF(Pool!$C$226:$C$229,Fixture!BG26)-BM26-BN26-BO26</f>
        <v>0</v>
      </c>
      <c r="BM26" s="463">
        <f ca="1">COUNTIF(Pool!$C$252,Fixture!BG26)</f>
        <v>0</v>
      </c>
      <c r="BN26" s="463">
        <f ca="1">COUNTIF(Pool!$C$251,Fixture!BG26)</f>
        <v>0</v>
      </c>
      <c r="BO26" s="466">
        <f ca="1">COUNTIF(Pool!$C$250,Fixture!BG26)</f>
        <v>0</v>
      </c>
    </row>
    <row r="27" spans="1:67" ht="15" thickBot="1">
      <c r="A27" s="181">
        <v>4</v>
      </c>
      <c r="B27" s="542" t="s">
        <v>74</v>
      </c>
      <c r="C27" s="417" t="str">
        <f ca="1">+MID(INDEX(WORLDCUP!$AA$4:$AA$147,MATCH(A27,WORLDCUP!$AH$4:$AH$147,0)),1,3)</f>
        <v>Est</v>
      </c>
      <c r="D27" s="418">
        <f>IF(ISBLANK(INDEX(WORLDCUP!$AC$4:$AC$147,MATCH(A27,WORLDCUP!$AH$4:$AH$147,0))),"",INDEX(WORLDCUP!$AC$4:$AC$147,MATCH(A27,WORLDCUP!$AH$4:$AH$147,0)))</f>
        <v>2</v>
      </c>
      <c r="E27" s="418">
        <f>IF(ISBLANK(INDEX(WORLDCUP!$AD$4:$AD$147,MATCH(A27,WORLDCUP!$AH$4:$AH$147,0))),"",INDEX(WORLDCUP!$AD$4:$AD$147,MATCH(A27,WORLDCUP!$AH$4:$AH$147,0)))</f>
        <v>2</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f>IF(ISBLANK(INDEX(WORLDCUP!$AC$4:$AC$147,MATCH(M27,WORLDCUP!$AH$4:$AH$147,0))),"",INDEX(WORLDCUP!$AC$4:$AC$147,MATCH(M27,WORLDCUP!$AH$4:$AH$147,0)))</f>
        <v>3</v>
      </c>
      <c r="Q27" s="418">
        <f>IF(ISBLANK(INDEX(WORLDCUP!$AD$4:$AD$147,MATCH(M27,WORLDCUP!$AH$4:$AH$147,0))),"",INDEX(WORLDCUP!$AD$4:$AD$147,MATCH(M27,WORLDCUP!$AH$4:$AH$147,0)))</f>
        <v>1</v>
      </c>
      <c r="R27" s="419" t="str">
        <f ca="1">+MID(INDEX(WORLDCUP!$AF$4:$AF$147,MATCH(M27,WORLDCUP!$AH$4:$AH$147,0)),1,3)</f>
        <v>Arg</v>
      </c>
      <c r="S27" s="420"/>
      <c r="T27" s="421" t="str">
        <f>+T19</f>
        <v>Sel</v>
      </c>
      <c r="U27" s="422" t="str">
        <f>+U19</f>
        <v>Pts</v>
      </c>
      <c r="V27" s="422" t="str">
        <f>+V19</f>
        <v>DG</v>
      </c>
      <c r="W27" s="423" t="str">
        <f>+W19</f>
        <v>GF-GC</v>
      </c>
      <c r="X27" s="181"/>
      <c r="Y27" s="181">
        <v>76</v>
      </c>
      <c r="Z27" s="425" t="s">
        <v>662</v>
      </c>
      <c r="AA27" s="426" t="str">
        <f ca="1">+MID(INDEX(WORLDCUP!$AA$101:$AA$147,MATCH(Y27,WORLDCUP!$Z$101:$Z$147,0)),1,3)</f>
        <v>Bra</v>
      </c>
      <c r="AB27" s="427">
        <f>+IF(ISBLANK(INDEX(WORLDCUP!$AC$101:$AC$147,MATCH(Y27,WORLDCUP!$Z$101:$Z$147,0))),"",INDEX(WORLDCUP!$AC$101:$AC$147,MATCH(Y27,WORLDCUP!$Z$101:$Z$147,0)))</f>
        <v>2</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0</v>
      </c>
      <c r="BI27" s="463">
        <f ca="1">COUNTIF(Pool!$C$130:$C$161,Fixture!BG27)-BJ27-BK27-BL27-BM27-BN27-BO27</f>
        <v>1</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 thickBot="1">
      <c r="A28" s="181">
        <v>6</v>
      </c>
      <c r="B28" s="544"/>
      <c r="C28" s="444" t="str">
        <f ca="1">+MID(INDEX(WORLDCUP!$AA$4:$AA$147,MATCH(A28,WORLDCUP!$AH$4:$AH$147,0)),1,3)</f>
        <v>Aus</v>
      </c>
      <c r="D28" s="445">
        <f>IF(ISBLANK(INDEX(WORLDCUP!$AC$4:$AC$147,MATCH(A28,WORLDCUP!$AH$4:$AH$147,0))),"",INDEX(WORLDCUP!$AC$4:$AC$147,MATCH(A28,WORLDCUP!$AH$4:$AH$147,0)))</f>
        <v>1</v>
      </c>
      <c r="E28" s="445">
        <f>IF(ISBLANK(INDEX(WORLDCUP!$AD$4:$AD$147,MATCH(A28,WORLDCUP!$AH$4:$AH$147,0))),"",INDEX(WORLDCUP!$AD$4:$AD$147,MATCH(A28,WORLDCUP!$AH$4:$AH$147,0)))</f>
        <v>2</v>
      </c>
      <c r="F28" s="446" t="str">
        <f ca="1">+MID(INDEX(WORLDCUP!$AF$4:$AF$147,MATCH(A28,WORLDCUP!$AH$4:$AH$147,0)),1,3)</f>
        <v>Tur</v>
      </c>
      <c r="G28" s="447">
        <v>1</v>
      </c>
      <c r="H28" s="448" t="str">
        <f ca="1">+MID(INDEX(WORLDCUP!$AL$6:$AL$97,MATCH(L28,WORLDCUP!$AI$6:$AI$97,0)),1,3)</f>
        <v>Est</v>
      </c>
      <c r="I28" s="449">
        <f ca="1">+INDEX(WORLDCUP!$AM$6:$AM$97,MATCH(L28,WORLDCUP!$AI$6:$AI$97,0))</f>
        <v>5</v>
      </c>
      <c r="J28" s="450">
        <f ca="1">+INDEX(WORLDCUP!$AT$6:$AT$97,MATCH(L28,WORLDCUP!$AI$6:$AI$97,0))</f>
        <v>1</v>
      </c>
      <c r="K28" s="451" t="str">
        <f ca="1">+INDEX(WORLDCUP!$AR$6:$AR$97,MATCH(L28,WORLDCUP!$AI$6:$AI$97,0))&amp;"-"&amp;INDEX(WORLDCUP!$AS$6:$AS$97,MATCH(L28,WORLDCUP!$AI$6:$AI$97,0))</f>
        <v>6-5</v>
      </c>
      <c r="L28" s="181" t="s">
        <v>669</v>
      </c>
      <c r="M28" s="181">
        <v>20</v>
      </c>
      <c r="N28" s="545"/>
      <c r="O28" s="444" t="str">
        <f ca="1">+MID(INDEX(WORLDCUP!$AA$4:$AA$147,MATCH(M28,WORLDCUP!$AH$4:$AH$147,0)),1,3)</f>
        <v>Aus</v>
      </c>
      <c r="P28" s="445">
        <f>IF(ISBLANK(INDEX(WORLDCUP!$AC$4:$AC$147,MATCH(M28,WORLDCUP!$AH$4:$AH$147,0))),"",INDEX(WORLDCUP!$AC$4:$AC$147,MATCH(M28,WORLDCUP!$AH$4:$AH$147,0)))</f>
        <v>1</v>
      </c>
      <c r="Q28" s="445">
        <f>IF(ISBLANK(INDEX(WORLDCUP!$AD$4:$AD$147,MATCH(M28,WORLDCUP!$AH$4:$AH$147,0))),"",INDEX(WORLDCUP!$AD$4:$AD$147,MATCH(M28,WORLDCUP!$AH$4:$AH$147,0)))</f>
        <v>1</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4</v>
      </c>
      <c r="W28" s="451" t="str">
        <f ca="1">+INDEX(WORLDCUP!$AR$6:$AR$97,MATCH(X28,WORLDCUP!$AI$6:$AI$97,0))&amp;"-"&amp;INDEX(WORLDCUP!$AS$6:$AS$97,MATCH(X28,WORLDCUP!$AI$6:$AI$97,0))</f>
        <v>5-1</v>
      </c>
      <c r="X28" s="181" t="s">
        <v>687</v>
      </c>
      <c r="Y28" s="181">
        <v>76</v>
      </c>
      <c r="Z28" s="425" t="s">
        <v>676</v>
      </c>
      <c r="AA28" s="426" t="str">
        <f ca="1">+MID(INDEX(WORLDCUP!$AF$101:$AF$147,MATCH(Y28,WORLDCUP!$Z$101:$Z$147,0)),1,3)</f>
        <v>Jap</v>
      </c>
      <c r="AB28" s="453">
        <f>+IF(ISBLANK(INDEX(WORLDCUP!$AD$101:$AD$147,MATCH(Y28,WORLDCUP!$Z$101:$Z$147,0))),"",INDEX(WORLDCUP!$AD$101:$AD$147,MATCH(Y28,WORLDCUP!$Z$101:$Z$147,0)))</f>
        <v>0</v>
      </c>
      <c r="AC28" s="454" t="str">
        <f>+IF(ISBLANK(INDEX(WORLDCUP!$AE$101:$AE$147,MATCH(Y28,WORLDCUP!$Z$101:$Z$147,0))),"","( "&amp;INDEX(WORLDCUP!$AE$101:$AE$147,MATCH(Y28,WORLDCUP!$Z$101:$Z$147,0))&amp;" )")</f>
        <v/>
      </c>
      <c r="AD28" s="455">
        <v>91</v>
      </c>
      <c r="AE28" s="456" t="str">
        <f ca="1">+MID(INDEX(WORLDCUP!$AA$101:$AA$147,MATCH(AD28,WORLDCUP!$Z$101:$Z$147,0)),1,3)</f>
        <v>Bra</v>
      </c>
      <c r="AF28" s="457">
        <f>+IF(ISBLANK(INDEX(WORLDCUP!$AC$101:$AC$147,MATCH(AD28,WORLDCUP!$Z$101:$Z$147,0))),"",INDEX(WORLDCUP!$AC$101:$AC$147,MATCH(AD28,WORLDCUP!$Z$101:$Z$147,0)))</f>
        <v>2</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c r="A29" s="181">
        <v>32</v>
      </c>
      <c r="B29" s="544"/>
      <c r="C29" s="444" t="str">
        <f ca="1">+MID(INDEX(WORLDCUP!$AA$4:$AA$147,MATCH(A29,WORLDCUP!$AH$4:$AH$147,0)),1,3)</f>
        <v>Est</v>
      </c>
      <c r="D29" s="445">
        <f>IF(ISBLANK(INDEX(WORLDCUP!$AC$4:$AC$147,MATCH(A29,WORLDCUP!$AH$4:$AH$147,0))),"",INDEX(WORLDCUP!$AC$4:$AC$147,MATCH(A29,WORLDCUP!$AH$4:$AH$147,0)))</f>
        <v>2</v>
      </c>
      <c r="E29" s="445">
        <f>IF(ISBLANK(INDEX(WORLDCUP!$AD$4:$AD$147,MATCH(A29,WORLDCUP!$AH$4:$AH$147,0))),"",INDEX(WORLDCUP!$AD$4:$AD$147,MATCH(A29,WORLDCUP!$AH$4:$AH$147,0)))</f>
        <v>1</v>
      </c>
      <c r="F29" s="446" t="str">
        <f ca="1">+MID(INDEX(WORLDCUP!$AF$4:$AF$147,MATCH(A29,WORLDCUP!$AH$4:$AH$147,0)),1,3)</f>
        <v>Aus</v>
      </c>
      <c r="G29" s="467">
        <v>2</v>
      </c>
      <c r="H29" s="468"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6-5</v>
      </c>
      <c r="L29" s="181" t="s">
        <v>670</v>
      </c>
      <c r="M29" s="181">
        <v>43</v>
      </c>
      <c r="N29" s="545"/>
      <c r="O29" s="444" t="str">
        <f ca="1">+MID(INDEX(WORLDCUP!$AA$4:$AA$147,MATCH(M29,WORLDCUP!$AH$4:$AH$147,0)),1,3)</f>
        <v>Arg</v>
      </c>
      <c r="P29" s="445">
        <f>IF(ISBLANK(INDEX(WORLDCUP!$AC$4:$AC$147,MATCH(M29,WORLDCUP!$AH$4:$AH$147,0))),"",INDEX(WORLDCUP!$AC$4:$AC$147,MATCH(M29,WORLDCUP!$AH$4:$AH$147,0)))</f>
        <v>1</v>
      </c>
      <c r="Q29" s="445">
        <f>IF(ISBLANK(INDEX(WORLDCUP!$AD$4:$AD$147,MATCH(M29,WORLDCUP!$AH$4:$AH$147,0))),"",INDEX(WORLDCUP!$AD$4:$AD$147,MATCH(M29,WORLDCUP!$AH$4:$AH$147,0)))</f>
        <v>0</v>
      </c>
      <c r="R29" s="446" t="str">
        <f ca="1">+MID(INDEX(WORLDCUP!$AF$4:$AF$147,MATCH(M29,WORLDCUP!$AH$4:$AH$147,0)),1,3)</f>
        <v>Aus</v>
      </c>
      <c r="S29" s="467">
        <v>2</v>
      </c>
      <c r="T29" s="468" t="str">
        <f ca="1">+MID(INDEX(WORLDCUP!$AL$6:$AL$97,MATCH(X29,WORLDCUP!$AI$6:$AI$97,0)),1,3)</f>
        <v>Arg</v>
      </c>
      <c r="U29" s="38">
        <f ca="1">+INDEX(WORLDCUP!$AM$6:$AM$97,MATCH(X29,WORLDCUP!$AI$6:$AI$97,0))</f>
        <v>4</v>
      </c>
      <c r="V29" s="39">
        <f ca="1">+INDEX(WORLDCUP!$AT$6:$AT$97,MATCH(X29,WORLDCUP!$AI$6:$AI$97,0))</f>
        <v>-1</v>
      </c>
      <c r="W29" s="43" t="str">
        <f ca="1">+INDEX(WORLDCUP!$AR$6:$AR$97,MATCH(X29,WORLDCUP!$AI$6:$AI$97,0))&amp;"-"&amp;INDEX(WORLDCUP!$AS$6:$AS$97,MATCH(X29,WORLDCUP!$AI$6:$AI$97,0))</f>
        <v>4-5</v>
      </c>
      <c r="X29" s="181" t="s">
        <v>688</v>
      </c>
      <c r="Y29" s="181"/>
      <c r="Z29" s="425"/>
      <c r="AA29" s="469"/>
      <c r="AB29" s="469"/>
      <c r="AC29" s="470"/>
      <c r="AD29" s="181">
        <v>91</v>
      </c>
      <c r="AE29" s="456" t="str">
        <f ca="1">+MID(INDEX(WORLDCUP!$AF$101:$AF$147,MATCH(AD29,WORLDCUP!$Z$101:$Z$147,0)),1,3)</f>
        <v>Nor</v>
      </c>
      <c r="AF29" s="457">
        <f>+IF(ISBLANK(INDEX(WORLDCUP!$AD$101:$AD$147,MATCH(AD29,WORLDCUP!$Z$101:$Z$147,0))),"",INDEX(WORLDCUP!$AD$101:$AD$147,MATCH(AD29,WORLDCUP!$Z$101:$Z$147,0)))</f>
        <v>1</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0</v>
      </c>
      <c r="BK29" s="465">
        <f ca="1">COUNTIF(Pool!$C$210:$C$217,Fixture!BG29)-BL29-BM29-BN29-BO29</f>
        <v>1</v>
      </c>
      <c r="BL29" s="465">
        <f ca="1">COUNTIF(Pool!$C$226:$C$229,Fixture!BG29)-BM29-BN29-BO29</f>
        <v>0</v>
      </c>
      <c r="BM29" s="463">
        <f ca="1">COUNTIF(Pool!$C$252,Fixture!BG29)</f>
        <v>0</v>
      </c>
      <c r="BN29" s="463">
        <f ca="1">COUNTIF(Pool!$C$251,Fixture!BG29)</f>
        <v>0</v>
      </c>
      <c r="BO29" s="466">
        <f ca="1">COUNTIF(Pool!$C$250,Fixture!BG29)</f>
        <v>0</v>
      </c>
    </row>
    <row r="30" spans="1:67" ht="15" thickBot="1">
      <c r="A30" s="181">
        <v>31</v>
      </c>
      <c r="B30" s="544"/>
      <c r="C30" s="444" t="str">
        <f ca="1">+MID(INDEX(WORLDCUP!$AA$4:$AA$147,MATCH(A30,WORLDCUP!$AH$4:$AH$147,0)),1,3)</f>
        <v>Tur</v>
      </c>
      <c r="D30" s="445">
        <f>IF(ISBLANK(INDEX(WORLDCUP!$AC$4:$AC$147,MATCH(A30,WORLDCUP!$AH$4:$AH$147,0))),"",INDEX(WORLDCUP!$AC$4:$AC$147,MATCH(A30,WORLDCUP!$AH$4:$AH$147,0)))</f>
        <v>2</v>
      </c>
      <c r="E30" s="445">
        <f>IF(ISBLANK(INDEX(WORLDCUP!$AD$4:$AD$147,MATCH(A30,WORLDCUP!$AH$4:$AH$147,0))),"",INDEX(WORLDCUP!$AD$4:$AD$147,MATCH(A30,WORLDCUP!$AH$4:$AH$147,0)))</f>
        <v>2</v>
      </c>
      <c r="F30" s="446" t="str">
        <f ca="1">+MID(INDEX(WORLDCUP!$AF$4:$AF$147,MATCH(A30,WORLDCUP!$AH$4:$AH$147,0)),1,3)</f>
        <v>Par</v>
      </c>
      <c r="G30" s="467">
        <v>3</v>
      </c>
      <c r="H30" s="468" t="str">
        <f ca="1">+MID(INDEX(WORLDCUP!$AL$6:$AL$97,MATCH(L30,WORLDCUP!$AI$6:$AI$97,0)),1,3)</f>
        <v>Par</v>
      </c>
      <c r="I30" s="38">
        <f ca="1">+INDEX(WORLDCUP!$AM$6:$AM$97,MATCH(L30,WORLDCUP!$AI$6:$AI$97,0))</f>
        <v>5</v>
      </c>
      <c r="J30" s="39">
        <f ca="1">+INDEX(WORLDCUP!$AT$6:$AT$97,MATCH(L30,WORLDCUP!$AI$6:$AI$97,0))</f>
        <v>1</v>
      </c>
      <c r="K30" s="43" t="str">
        <f ca="1">+INDEX(WORLDCUP!$AR$6:$AR$97,MATCH(L30,WORLDCUP!$AI$6:$AI$97,0))&amp;"-"&amp;INDEX(WORLDCUP!$AS$6:$AS$97,MATCH(L30,WORLDCUP!$AI$6:$AI$97,0))</f>
        <v>5-4</v>
      </c>
      <c r="L30" s="181" t="s">
        <v>93</v>
      </c>
      <c r="M30" s="181">
        <v>44</v>
      </c>
      <c r="N30" s="545"/>
      <c r="O30" s="444" t="str">
        <f ca="1">+MID(INDEX(WORLDCUP!$AA$4:$AA$147,MATCH(M30,WORLDCUP!$AH$4:$AH$147,0)),1,3)</f>
        <v>Jor</v>
      </c>
      <c r="P30" s="445">
        <f>IF(ISBLANK(INDEX(WORLDCUP!$AC$4:$AC$147,MATCH(M30,WORLDCUP!$AH$4:$AH$147,0))),"",INDEX(WORLDCUP!$AC$4:$AC$147,MATCH(M30,WORLDCUP!$AH$4:$AH$147,0)))</f>
        <v>0</v>
      </c>
      <c r="Q30" s="445">
        <f>IF(ISBLANK(INDEX(WORLDCUP!$AD$4:$AD$147,MATCH(M30,WORLDCUP!$AH$4:$AH$147,0))),"",INDEX(WORLDCUP!$AD$4:$AD$147,MATCH(M30,WORLDCUP!$AH$4:$AH$147,0)))</f>
        <v>1</v>
      </c>
      <c r="R30" s="446" t="str">
        <f ca="1">+MID(INDEX(WORLDCUP!$AF$4:$AF$147,MATCH(M30,WORLDCUP!$AH$4:$AH$147,0)),1,3)</f>
        <v>Arg</v>
      </c>
      <c r="S30" s="467">
        <v>3</v>
      </c>
      <c r="T30" s="468" t="str">
        <f ca="1">+MID(INDEX(WORLDCUP!$AL$6:$AL$97,MATCH(X30,WORLDCUP!$AI$6:$AI$97,0)),1,3)</f>
        <v>Aus</v>
      </c>
      <c r="U30" s="38">
        <f ca="1">+INDEX(WORLDCUP!$AM$6:$AM$97,MATCH(X30,WORLDCUP!$AI$6:$AI$97,0))</f>
        <v>2</v>
      </c>
      <c r="V30" s="39">
        <f ca="1">+INDEX(WORLDCUP!$AT$6:$AT$97,MATCH(X30,WORLDCUP!$AI$6:$AI$97,0))</f>
        <v>-1</v>
      </c>
      <c r="W30" s="43" t="str">
        <f ca="1">+INDEX(WORLDCUP!$AR$6:$AR$97,MATCH(X30,WORLDCUP!$AI$6:$AI$97,0))&amp;"-"&amp;INDEX(WORLDCUP!$AS$6:$AS$97,MATCH(X30,WORLDCUP!$AI$6:$AI$97,0))</f>
        <v>3-4</v>
      </c>
      <c r="X30" s="181" t="s">
        <v>451</v>
      </c>
      <c r="Y30" s="181">
        <v>78</v>
      </c>
      <c r="Z30" s="425" t="s">
        <v>673</v>
      </c>
      <c r="AA30" s="426" t="str">
        <f ca="1">+MID(INDEX(WORLDCUP!$AA$101:$AA$147,MATCH(Y30,WORLDCUP!$Z$101:$Z$147,0)),1,3)</f>
        <v>Cos</v>
      </c>
      <c r="AB30" s="472">
        <f>+IF(ISBLANK(INDEX(WORLDCUP!$AC$101:$AC$147,MATCH(Y30,WORLDCUP!$Z$101:$Z$147,0))),"",INDEX(WORLDCUP!$AC$101:$AC$147,MATCH(Y30,WORLDCUP!$Z$101:$Z$147,0)))</f>
        <v>1</v>
      </c>
      <c r="AC30" s="506" t="str">
        <f>+IF(ISBLANK(INDEX(WORLDCUP!$AB$101:$AB$147,MATCH(Y30,WORLDCUP!$Z$101:$Z$147,0))),"","( "&amp;INDEX(WORLDCUP!$AB$101:$AB$147,MATCH(Y30,WORLDCUP!$Z$101:$Z$147,0))&amp;" )")</f>
        <v>( 3 )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1</v>
      </c>
      <c r="BI30" s="463">
        <f ca="1">COUNTIF(Pool!$C$130:$C$161,Fixture!BG30)-BJ30-BK30-BL30-BM30-BN30-BO30</f>
        <v>0</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 thickBot="1">
      <c r="A31" s="181">
        <v>59</v>
      </c>
      <c r="B31" s="544"/>
      <c r="C31" s="444" t="str">
        <f ca="1">+MID(INDEX(WORLDCUP!$AA$4:$AA$147,MATCH(A31,WORLDCUP!$AH$4:$AH$147,0)),1,3)</f>
        <v>Tur</v>
      </c>
      <c r="D31" s="445">
        <f>IF(ISBLANK(INDEX(WORLDCUP!$AC$4:$AC$147,MATCH(A31,WORLDCUP!$AH$4:$AH$147,0))),"",INDEX(WORLDCUP!$AC$4:$AC$147,MATCH(A31,WORLDCUP!$AH$4:$AH$147,0)))</f>
        <v>2</v>
      </c>
      <c r="E31" s="445">
        <f>IF(ISBLANK(INDEX(WORLDCUP!$AD$4:$AD$147,MATCH(A31,WORLDCUP!$AH$4:$AH$147,0))),"",INDEX(WORLDCUP!$AD$4:$AD$147,MATCH(A31,WORLDCUP!$AH$4:$AH$147,0)))</f>
        <v>2</v>
      </c>
      <c r="F31" s="446" t="str">
        <f ca="1">+MID(INDEX(WORLDCUP!$AF$4:$AF$147,MATCH(A31,WORLDCUP!$AH$4:$AH$147,0)),1,3)</f>
        <v>Est</v>
      </c>
      <c r="G31" s="467">
        <v>4</v>
      </c>
      <c r="H31" s="476" t="str">
        <f ca="1">+MID(INDEX(WORLDCUP!$AL$6:$AL$97,MATCH(L31,WORLDCUP!$AI$6:$AI$97,0)),1,3)</f>
        <v>Aus</v>
      </c>
      <c r="I31" s="477">
        <f ca="1">+INDEX(WORLDCUP!$AM$6:$AM$97,MATCH(L31,WORLDCUP!$AI$6:$AI$97,0))</f>
        <v>0</v>
      </c>
      <c r="J31" s="478">
        <f ca="1">+INDEX(WORLDCUP!$AT$6:$AT$97,MATCH(L31,WORLDCUP!$AI$6:$AI$97,0))</f>
        <v>-3</v>
      </c>
      <c r="K31" s="479" t="str">
        <f ca="1">+INDEX(WORLDCUP!$AR$6:$AR$97,MATCH(L31,WORLDCUP!$AI$6:$AI$97,0))&amp;"-"&amp;INDEX(WORLDCUP!$AS$6:$AS$97,MATCH(L31,WORLDCUP!$AI$6:$AI$97,0))</f>
        <v>2-5</v>
      </c>
      <c r="L31" s="181" t="s">
        <v>671</v>
      </c>
      <c r="M31" s="181">
        <v>69</v>
      </c>
      <c r="N31" s="545"/>
      <c r="O31" s="444" t="str">
        <f ca="1">+MID(INDEX(WORLDCUP!$AA$4:$AA$147,MATCH(M31,WORLDCUP!$AH$4:$AH$147,0)),1,3)</f>
        <v>Arg</v>
      </c>
      <c r="P31" s="445">
        <f>IF(ISBLANK(INDEX(WORLDCUP!$AC$4:$AC$147,MATCH(M31,WORLDCUP!$AH$4:$AH$147,0))),"",INDEX(WORLDCUP!$AC$4:$AC$147,MATCH(M31,WORLDCUP!$AH$4:$AH$147,0)))</f>
        <v>2</v>
      </c>
      <c r="Q31" s="445">
        <f>IF(ISBLANK(INDEX(WORLDCUP!$AD$4:$AD$147,MATCH(M31,WORLDCUP!$AH$4:$AH$147,0))),"",INDEX(WORLDCUP!$AD$4:$AD$147,MATCH(M31,WORLDCUP!$AH$4:$AH$147,0)))</f>
        <v>2</v>
      </c>
      <c r="R31" s="446" t="str">
        <f ca="1">+MID(INDEX(WORLDCUP!$AF$4:$AF$147,MATCH(M31,WORLDCUP!$AH$4:$AH$147,0)),1,3)</f>
        <v>Aus</v>
      </c>
      <c r="S31" s="467">
        <v>4</v>
      </c>
      <c r="T31" s="476" t="str">
        <f ca="1">+MID(INDEX(WORLDCUP!$AL$6:$AL$97,MATCH(X31,WORLDCUP!$AI$6:$AI$97,0)),1,3)</f>
        <v>Jor</v>
      </c>
      <c r="U31" s="477">
        <f ca="1">+INDEX(WORLDCUP!$AM$6:$AM$97,MATCH(X31,WORLDCUP!$AI$6:$AI$97,0))</f>
        <v>1</v>
      </c>
      <c r="V31" s="478">
        <f ca="1">+INDEX(WORLDCUP!$AT$6:$AT$97,MATCH(X31,WORLDCUP!$AI$6:$AI$97,0))</f>
        <v>-2</v>
      </c>
      <c r="W31" s="479" t="str">
        <f ca="1">+INDEX(WORLDCUP!$AR$6:$AR$97,MATCH(X31,WORLDCUP!$AI$6:$AI$97,0))&amp;"-"&amp;INDEX(WORLDCUP!$AS$6:$AS$97,MATCH(X31,WORLDCUP!$AI$6:$AI$97,0))</f>
        <v>1-3</v>
      </c>
      <c r="X31" s="181" t="s">
        <v>689</v>
      </c>
      <c r="Y31" s="181">
        <v>78</v>
      </c>
      <c r="Z31" s="425" t="s">
        <v>685</v>
      </c>
      <c r="AA31" s="480" t="str">
        <f ca="1">+MID(INDEX(WORLDCUP!$AF$101:$AF$147,MATCH(Y31,WORLDCUP!$Z$101:$Z$147,0)),1,3)</f>
        <v>Nor</v>
      </c>
      <c r="AB31" s="481">
        <f>+IF(ISBLANK(INDEX(WORLDCUP!$AD$101:$AD$147,MATCH(Y31,WORLDCUP!$Z$101:$Z$147,0))),"",INDEX(WORLDCUP!$AD$101:$AD$147,MATCH(Y31,WORLDCUP!$Z$101:$Z$147,0)))</f>
        <v>1</v>
      </c>
      <c r="AC31" s="507" t="str">
        <f>+IF(ISBLANK(INDEX(WORLDCUP!$AE$101:$AE$147,MATCH(Y31,WORLDCUP!$Z$101:$Z$147,0))),"","( "&amp;INDEX(WORLDCUP!$AE$101:$AE$147,MATCH(Y31,WORLDCUP!$Z$101:$Z$147,0))&amp;" )")</f>
        <v>( 5 )</v>
      </c>
      <c r="AD31" s="181"/>
      <c r="AE31" s="474"/>
      <c r="AF31" s="474"/>
      <c r="AG31" s="475"/>
      <c r="AH31" s="500">
        <v>99</v>
      </c>
      <c r="AI31" s="483" t="str">
        <f ca="1">+MID(INDEX(WORLDCUP!$AA$101:$AA$147,MATCH(AH31,WORLDCUP!$Z$101:$Z$147,0)),1,3)</f>
        <v>Bra</v>
      </c>
      <c r="AJ31" s="484">
        <f>+IF(ISBLANK(INDEX(WORLDCUP!$AC$101:$AC$147,MATCH(AH31,WORLDCUP!$Z$101:$Z$147,0))),"",INDEX(WORLDCUP!$AC$101:$AC$147,MATCH(AH31,WORLDCUP!$Z$101:$Z$147,0)))</f>
        <v>2</v>
      </c>
      <c r="AK31" s="485" t="str">
        <f>+IF(ISBLANK(INDEX(WORLDCUP!$AB$101:$AB$147,MATCH(AH31,WORLDCUP!$Z$101:$Z$147,0))),"","( "&amp;INDEX(WORLDCUP!$AB$101:$AB$147,MATCH(AH31,WORLDCUP!$Z$101:$Z$147,0))&amp;" )")</f>
        <v>( 5 )</v>
      </c>
      <c r="AL31" s="181"/>
      <c r="AM31" s="431"/>
      <c r="AN31" s="431"/>
      <c r="AO31" s="512"/>
      <c r="AP31" s="546">
        <v>103</v>
      </c>
      <c r="AQ31" s="547" t="str">
        <f ca="1">+MID(INDEX(WORLDCUP!$AA$101:$AA$147,MATCH(AP31,WORLDCUP!$Z$101:$Z$147,0)),1,4)</f>
        <v>Colo</v>
      </c>
      <c r="AR31" s="548">
        <f>+IF(ISBLANK(INDEX(WORLDCUP!$AC$101:$AC$147,MATCH(AP31,WORLDCUP!$Z$101:$Z$147,0))),"",INDEX(WORLDCUP!$AC$101:$AC$147,MATCH(AP31,WORLDCUP!$Z$101:$Z$147,0)))</f>
        <v>2</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0</v>
      </c>
      <c r="BI31" s="463">
        <f ca="1">COUNTIF(Pool!$C$130:$C$161,Fixture!BG31)-BJ31-BK31-BL31-BM31-BN31-BO31</f>
        <v>1</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 thickBot="1">
      <c r="A32" s="181">
        <v>60</v>
      </c>
      <c r="B32" s="555"/>
      <c r="C32" s="487" t="str">
        <f ca="1">+MID(INDEX(WORLDCUP!$AA$4:$AA$147,MATCH(A32,WORLDCUP!$AH$4:$AH$147,0)),1,3)</f>
        <v>Par</v>
      </c>
      <c r="D32" s="488">
        <f>IF(ISBLANK(INDEX(WORLDCUP!$AC$4:$AC$147,MATCH(A32,WORLDCUP!$AH$4:$AH$147,0))),"",INDEX(WORLDCUP!$AC$4:$AC$147,MATCH(A32,WORLDCUP!$AH$4:$AH$147,0)))</f>
        <v>1</v>
      </c>
      <c r="E32" s="488">
        <f>IF(ISBLANK(INDEX(WORLDCUP!$AD$4:$AD$147,MATCH(A32,WORLDCUP!$AH$4:$AH$147,0))),"",INDEX(WORLDCUP!$AD$4:$AD$147,MATCH(A32,WORLDCUP!$AH$4:$AH$147,0)))</f>
        <v>0</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0</v>
      </c>
      <c r="Q32" s="488">
        <f>IF(ISBLANK(INDEX(WORLDCUP!$AD$4:$AD$147,MATCH(M32,WORLDCUP!$AH$4:$AH$147,0))),"",INDEX(WORLDCUP!$AD$4:$AD$147,MATCH(M32,WORLDCUP!$AH$4:$AH$147,0)))</f>
        <v>1</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Ing</v>
      </c>
      <c r="AJ32" s="484">
        <f>+IF(ISBLANK(INDEX(WORLDCUP!$AD$101:$AD$147,MATCH(AH32,WORLDCUP!$Z$101:$Z$147,0))),"",INDEX(WORLDCUP!$AD$101:$AD$147,MATCH(AH32,WORLDCUP!$Z$101:$Z$147,0)))</f>
        <v>2</v>
      </c>
      <c r="AK32" s="495" t="str">
        <f>+IF(ISBLANK(INDEX(WORLDCUP!$AE$101:$AE$147,MATCH(AH32,WORLDCUP!$Z$101:$Z$147,0))),"","( "&amp;INDEX(WORLDCUP!$AE$101:$AE$147,MATCH(AH32,WORLDCUP!$Z$101:$Z$147,0))&amp;" )")</f>
        <v>( 4 )</v>
      </c>
      <c r="AL32" s="181"/>
      <c r="AM32" s="431"/>
      <c r="AN32" s="431"/>
      <c r="AO32" s="512"/>
      <c r="AP32" s="415">
        <v>103</v>
      </c>
      <c r="AQ32" s="547" t="str">
        <f ca="1">+MID(INDEX(WORLDCUP!$AF$101:$AF$147,MATCH(AP32,WORLDCUP!$Z$101:$Z$147,0)),1,4)</f>
        <v>Bras</v>
      </c>
      <c r="AR32" s="548">
        <f>+IF(ISBLANK(INDEX(WORLDCUP!$AD$101:$AD$147,MATCH(AP32,WORLDCUP!$Z$101:$Z$147,0))),"",INDEX(WORLDCUP!$AD$101:$AD$147,MATCH(AP32,WORLDCUP!$Z$101:$Z$147,0)))</f>
        <v>1</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 thickBot="1">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656</v>
      </c>
      <c r="AA33" s="426" t="str">
        <f ca="1">+MID(INDEX(WORLDCUP!$AA$101:$AA$147,MATCH(Y33,WORLDCUP!$Z$101:$Z$147,0)),1,3)</f>
        <v>Méx</v>
      </c>
      <c r="AB33" s="427">
        <f>+IF(ISBLANK(INDEX(WORLDCUP!$AC$101:$AC$147,MATCH(Y33,WORLDCUP!$Z$101:$Z$147,0))),"",INDEX(WORLDCUP!$AC$101:$AC$147,MATCH(Y33,WORLDCUP!$Z$101:$Z$147,0)))</f>
        <v>1</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 thickBot="1">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735</v>
      </c>
      <c r="AA34" s="426" t="str">
        <f ca="1">+MID(INDEX(WORLDCUP!$AF$101:$AF$147,MATCH(Y34,WORLDCUP!$Z$101:$Z$147,0)),1,IF(WORLDCUP!$H$113&lt;144,6,3))</f>
        <v>Ecu</v>
      </c>
      <c r="AB34" s="453">
        <f>+IF(ISBLANK(INDEX(WORLDCUP!$AD$101:$AD$147,MATCH(Y34,WORLDCUP!$Z$101:$Z$147,0))),"",INDEX(WORLDCUP!$AD$101:$AD$147,MATCH(Y34,WORLDCUP!$Z$101:$Z$147,0)))</f>
        <v>0</v>
      </c>
      <c r="AC34" s="454" t="str">
        <f>+IF(ISBLANK(INDEX(WORLDCUP!$AE$101:$AE$147,MATCH(Y34,WORLDCUP!$Z$101:$Z$147,0))),"","( "&amp;INDEX(WORLDCUP!$AE$101:$AE$147,MATCH(Y34,WORLDCUP!$Z$101:$Z$147,0))&amp;" )")</f>
        <v/>
      </c>
      <c r="AD34" s="455">
        <v>92</v>
      </c>
      <c r="AE34" s="456" t="str">
        <f ca="1">+MID(INDEX(WORLDCUP!$AA$101:$AA$147,MATCH(AD34,WORLDCUP!$Z$101:$Z$147,0)),1,3)</f>
        <v>Méx</v>
      </c>
      <c r="AF34" s="457">
        <f>+IF(ISBLANK(INDEX(WORLDCUP!$AC$101:$AC$147,MATCH(AD34,WORLDCUP!$Z$101:$Z$147,0))),"",INDEX(WORLDCUP!$AC$101:$AC$147,MATCH(AD34,WORLDCUP!$Z$101:$Z$147,0)))</f>
        <v>1</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1</v>
      </c>
      <c r="BJ34" s="464">
        <f ca="1">COUNTIF(Pool!$C$182:$C$197,Fixture!BG34)-BK34-BL34-BM34-BN34-BO34</f>
        <v>0</v>
      </c>
      <c r="BK34" s="465">
        <f ca="1">COUNTIF(Pool!$C$210:$C$217,Fixture!BG34)-BL34-BM34-BN34-BO34</f>
        <v>0</v>
      </c>
      <c r="BL34" s="465">
        <f ca="1">COUNTIF(Pool!$C$226:$C$229,Fixture!BG34)-BM34-BN34-BO34</f>
        <v>0</v>
      </c>
      <c r="BM34" s="463">
        <f ca="1">COUNTIF(Pool!$C$252,Fixture!BG34)</f>
        <v>0</v>
      </c>
      <c r="BN34" s="463">
        <f ca="1">COUNTIF(Pool!$C$251,Fixture!BG34)</f>
        <v>0</v>
      </c>
      <c r="BO34" s="466">
        <f ca="1">COUNTIF(Pool!$C$250,Fixture!BG34)</f>
        <v>0</v>
      </c>
    </row>
    <row r="35" spans="1:67">
      <c r="A35" s="181">
        <v>10</v>
      </c>
      <c r="B35" s="557" t="s">
        <v>3</v>
      </c>
      <c r="C35" s="417" t="str">
        <f ca="1">+MID(INDEX(WORLDCUP!$AA$4:$AA$147,MATCH(A35,WORLDCUP!$AH$4:$AH$147,0)),1,3)</f>
        <v>Ale</v>
      </c>
      <c r="D35" s="418">
        <f>IF(ISBLANK(INDEX(WORLDCUP!$AC$4:$AC$147,MATCH(A35,WORLDCUP!$AH$4:$AH$147,0))),"",INDEX(WORLDCUP!$AC$4:$AC$147,MATCH(A35,WORLDCUP!$AH$4:$AH$147,0)))</f>
        <v>4</v>
      </c>
      <c r="E35" s="418">
        <f>IF(ISBLANK(INDEX(WORLDCUP!$AD$4:$AD$147,MATCH(A35,WORLDCUP!$AH$4:$AH$147,0))),"",INDEX(WORLDCUP!$AD$4:$AD$147,MATCH(A35,WORLDCUP!$AH$4:$AH$147,0)))</f>
        <v>0</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f>IF(ISBLANK(INDEX(WORLDCUP!$AC$4:$AC$147,MATCH(M35,WORLDCUP!$AH$4:$AH$147,0))),"",INDEX(WORLDCUP!$AC$4:$AC$147,MATCH(M35,WORLDCUP!$AH$4:$AH$147,0)))</f>
        <v>4</v>
      </c>
      <c r="Q35" s="418">
        <f>IF(ISBLANK(INDEX(WORLDCUP!$AD$4:$AD$147,MATCH(M35,WORLDCUP!$AH$4:$AH$147,0))),"",INDEX(WORLDCUP!$AD$4:$AD$147,MATCH(M35,WORLDCUP!$AH$4:$AH$147,0)))</f>
        <v>0</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3</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0</v>
      </c>
      <c r="BI35" s="463">
        <f ca="1">COUNTIF(Pool!$C$130:$C$161,Fixture!BG35)-BJ35-BK35-BL35-BM35-BN35-BO35</f>
        <v>0</v>
      </c>
      <c r="BJ35" s="464">
        <f ca="1">COUNTIF(Pool!$C$182:$C$197,Fixture!BG35)-BK35-BL35-BM35-BN35-BO35</f>
        <v>1</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 thickBot="1">
      <c r="A36" s="181">
        <v>9</v>
      </c>
      <c r="B36" s="560"/>
      <c r="C36" s="444" t="str">
        <f ca="1">+MID(INDEX(WORLDCUP!$AA$4:$AA$147,MATCH(A36,WORLDCUP!$AH$4:$AH$147,0)),1,3)</f>
        <v>Cos</v>
      </c>
      <c r="D36" s="445">
        <f>IF(ISBLANK(INDEX(WORLDCUP!$AC$4:$AC$147,MATCH(A36,WORLDCUP!$AH$4:$AH$147,0))),"",INDEX(WORLDCUP!$AC$4:$AC$147,MATCH(A36,WORLDCUP!$AH$4:$AH$147,0)))</f>
        <v>2</v>
      </c>
      <c r="E36" s="445">
        <f>IF(ISBLANK(INDEX(WORLDCUP!$AD$4:$AD$147,MATCH(A36,WORLDCUP!$AH$4:$AH$147,0))),"",INDEX(WORLDCUP!$AD$4:$AD$147,MATCH(A36,WORLDCUP!$AH$4:$AH$147,0)))</f>
        <v>2</v>
      </c>
      <c r="F36" s="446" t="str">
        <f ca="1">+MID(INDEX(WORLDCUP!$AF$4:$AF$147,MATCH(A36,WORLDCUP!$AH$4:$AH$147,0)),1,3)</f>
        <v>Ecu</v>
      </c>
      <c r="G36" s="447">
        <v>1</v>
      </c>
      <c r="H36" s="448" t="str">
        <f ca="1">+MID(INDEX(WORLDCUP!$AL$6:$AL$97,MATCH(L36,WORLDCUP!$AI$6:$AI$97,0)),1,3)</f>
        <v>Ale</v>
      </c>
      <c r="I36" s="449">
        <f ca="1">+INDEX(WORLDCUP!$AM$6:$AM$97,MATCH(L36,WORLDCUP!$AI$6:$AI$97,0))</f>
        <v>9</v>
      </c>
      <c r="J36" s="450">
        <f ca="1">+INDEX(WORLDCUP!$AT$6:$AT$97,MATCH(L36,WORLDCUP!$AI$6:$AI$97,0))</f>
        <v>6</v>
      </c>
      <c r="K36" s="451" t="str">
        <f ca="1">+INDEX(WORLDCUP!$AR$6:$AR$97,MATCH(L36,WORLDCUP!$AI$6:$AI$97,0))&amp;"-"&amp;INDEX(WORLDCUP!$AS$6:$AS$97,MATCH(L36,WORLDCUP!$AI$6:$AI$97,0))</f>
        <v>10-4</v>
      </c>
      <c r="L36" s="181" t="s">
        <v>672</v>
      </c>
      <c r="M36" s="181">
        <v>24</v>
      </c>
      <c r="N36" s="561"/>
      <c r="O36" s="444" t="str">
        <f ca="1">+MID(INDEX(WORLDCUP!$AA$4:$AA$147,MATCH(M36,WORLDCUP!$AH$4:$AH$147,0)),1,3)</f>
        <v>Uzb</v>
      </c>
      <c r="P36" s="445">
        <f>IF(ISBLANK(INDEX(WORLDCUP!$AC$4:$AC$147,MATCH(M36,WORLDCUP!$AH$4:$AH$147,0))),"",INDEX(WORLDCUP!$AC$4:$AC$147,MATCH(M36,WORLDCUP!$AH$4:$AH$147,0)))</f>
        <v>1</v>
      </c>
      <c r="Q36" s="445">
        <f>IF(ISBLANK(INDEX(WORLDCUP!$AD$4:$AD$147,MATCH(M36,WORLDCUP!$AH$4:$AH$147,0))),"",INDEX(WORLDCUP!$AD$4:$AD$147,MATCH(M36,WORLDCUP!$AH$4:$AH$147,0)))</f>
        <v>3</v>
      </c>
      <c r="R36" s="446" t="str">
        <f ca="1">+MID(INDEX(WORLDCUP!$AF$4:$AF$147,MATCH(M36,WORLDCUP!$AH$4:$AH$147,0)),1,3)</f>
        <v>Col</v>
      </c>
      <c r="S36" s="447">
        <v>1</v>
      </c>
      <c r="T36" s="448" t="str">
        <f ca="1">+MID(INDEX(WORLDCUP!$AL$6:$AL$97,MATCH(X36,WORLDCUP!$AI$6:$AI$97,0)),1,3)</f>
        <v>Por</v>
      </c>
      <c r="U36" s="449">
        <f ca="1">+INDEX(WORLDCUP!$AM$6:$AM$97,MATCH(X36,WORLDCUP!$AI$6:$AI$97,0))</f>
        <v>7</v>
      </c>
      <c r="V36" s="450">
        <f ca="1">+INDEX(WORLDCUP!$AT$6:$AT$97,MATCH(X36,WORLDCUP!$AI$6:$AI$97,0))</f>
        <v>7</v>
      </c>
      <c r="W36" s="451" t="str">
        <f ca="1">+INDEX(WORLDCUP!$AR$6:$AR$97,MATCH(X36,WORLDCUP!$AI$6:$AI$97,0))&amp;"-"&amp;INDEX(WORLDCUP!$AS$6:$AS$97,MATCH(X36,WORLDCUP!$AI$6:$AI$97,0))</f>
        <v>9-2</v>
      </c>
      <c r="X36" s="181" t="s">
        <v>690</v>
      </c>
      <c r="Y36" s="181">
        <v>80</v>
      </c>
      <c r="Z36" s="425" t="s">
        <v>693</v>
      </c>
      <c r="AA36" s="426" t="str">
        <f ca="1">+MID(INDEX(WORLDCUP!$AA$101:$AA$147,MATCH(Y36,WORLDCUP!$Z$101:$Z$147,0)),1,3)</f>
        <v>Ing</v>
      </c>
      <c r="AB36" s="472">
        <f>+IF(ISBLANK(INDEX(WORLDCUP!$AC$101:$AC$147,MATCH(Y36,WORLDCUP!$Z$101:$Z$147,0))),"",INDEX(WORLDCUP!$AC$101:$AC$147,MATCH(Y36,WORLDCUP!$Z$101:$Z$147,0)))</f>
        <v>2</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0</v>
      </c>
      <c r="BI36" s="463">
        <f ca="1">COUNTIF(Pool!$C$130:$C$161,Fixture!BG36)-BJ36-BK36-BL36-BM36-BN36-BO36</f>
        <v>0</v>
      </c>
      <c r="BJ36" s="464">
        <f ca="1">COUNTIF(Pool!$C$182:$C$197,Fixture!BG36)-BK36-BL36-BM36-BN36-BO36</f>
        <v>1</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 thickBot="1">
      <c r="A37" s="181">
        <v>33</v>
      </c>
      <c r="B37" s="560"/>
      <c r="C37" s="444" t="str">
        <f ca="1">+MID(INDEX(WORLDCUP!$AA$4:$AA$147,MATCH(A37,WORLDCUP!$AH$4:$AH$147,0)),1,3)</f>
        <v>Ale</v>
      </c>
      <c r="D37" s="445">
        <f>IF(ISBLANK(INDEX(WORLDCUP!$AC$4:$AC$147,MATCH(A37,WORLDCUP!$AH$4:$AH$147,0))),"",INDEX(WORLDCUP!$AC$4:$AC$147,MATCH(A37,WORLDCUP!$AH$4:$AH$147,0)))</f>
        <v>3</v>
      </c>
      <c r="E37" s="445">
        <f>IF(ISBLANK(INDEX(WORLDCUP!$AD$4:$AD$147,MATCH(A37,WORLDCUP!$AH$4:$AH$147,0))),"",INDEX(WORLDCUP!$AD$4:$AD$147,MATCH(A37,WORLDCUP!$AH$4:$AH$147,0)))</f>
        <v>2</v>
      </c>
      <c r="F37" s="446" t="str">
        <f ca="1">+MID(INDEX(WORLDCUP!$AF$4:$AF$147,MATCH(A37,WORLDCUP!$AH$4:$AH$147,0)),1,3)</f>
        <v>Cos</v>
      </c>
      <c r="G37" s="467">
        <v>2</v>
      </c>
      <c r="H37" s="468" t="str">
        <f ca="1">+MID(INDEX(WORLDCUP!$AL$6:$AL$97,MATCH(L37,WORLDCUP!$AI$6:$AI$97,0)),1,3)</f>
        <v>Cos</v>
      </c>
      <c r="I37" s="38">
        <f ca="1">+INDEX(WORLDCUP!$AM$6:$AM$97,MATCH(L37,WORLDCUP!$AI$6:$AI$97,0))</f>
        <v>4</v>
      </c>
      <c r="J37" s="39">
        <f ca="1">+INDEX(WORLDCUP!$AT$6:$AT$97,MATCH(L37,WORLDCUP!$AI$6:$AI$97,0))</f>
        <v>1</v>
      </c>
      <c r="K37" s="43" t="str">
        <f ca="1">+INDEX(WORLDCUP!$AR$6:$AR$97,MATCH(L37,WORLDCUP!$AI$6:$AI$97,0))&amp;"-"&amp;INDEX(WORLDCUP!$AS$6:$AS$97,MATCH(L37,WORLDCUP!$AI$6:$AI$97,0))</f>
        <v>7-6</v>
      </c>
      <c r="L37" s="181" t="s">
        <v>673</v>
      </c>
      <c r="M37" s="181">
        <v>47</v>
      </c>
      <c r="N37" s="561"/>
      <c r="O37" s="444" t="str">
        <f ca="1">+MID(INDEX(WORLDCUP!$AA$4:$AA$147,MATCH(M37,WORLDCUP!$AH$4:$AH$147,0)),1,3)</f>
        <v>Por</v>
      </c>
      <c r="P37" s="445">
        <f>IF(ISBLANK(INDEX(WORLDCUP!$AC$4:$AC$147,MATCH(M37,WORLDCUP!$AH$4:$AH$147,0))),"",INDEX(WORLDCUP!$AC$4:$AC$147,MATCH(M37,WORLDCUP!$AH$4:$AH$147,0)))</f>
        <v>3</v>
      </c>
      <c r="Q37" s="445">
        <f>IF(ISBLANK(INDEX(WORLDCUP!$AD$4:$AD$147,MATCH(M37,WORLDCUP!$AH$4:$AH$147,0))),"",INDEX(WORLDCUP!$AD$4:$AD$147,MATCH(M37,WORLDCUP!$AH$4:$AH$147,0)))</f>
        <v>0</v>
      </c>
      <c r="R37" s="446" t="str">
        <f ca="1">+MID(INDEX(WORLDCUP!$AF$4:$AF$147,MATCH(M37,WORLDCUP!$AH$4:$AH$147,0)),1,3)</f>
        <v>Uzb</v>
      </c>
      <c r="S37" s="467">
        <v>2</v>
      </c>
      <c r="T37" s="468" t="str">
        <f ca="1">+MID(INDEX(WORLDCUP!$AL$6:$AL$97,MATCH(X37,WORLDCUP!$AI$6:$AI$97,0)),1,3)</f>
        <v>Col</v>
      </c>
      <c r="U37" s="38">
        <f ca="1">+INDEX(WORLDCUP!$AM$6:$AM$97,MATCH(X37,WORLDCUP!$AI$6:$AI$97,0))</f>
        <v>7</v>
      </c>
      <c r="V37" s="39">
        <f ca="1">+INDEX(WORLDCUP!$AT$6:$AT$97,MATCH(X37,WORLDCUP!$AI$6:$AI$97,0))</f>
        <v>4</v>
      </c>
      <c r="W37" s="43" t="str">
        <f ca="1">+INDEX(WORLDCUP!$AR$6:$AR$97,MATCH(X37,WORLDCUP!$AI$6:$AI$97,0))&amp;"-"&amp;INDEX(WORLDCUP!$AS$6:$AS$97,MATCH(X37,WORLDCUP!$AI$6:$AI$97,0))</f>
        <v>7-3</v>
      </c>
      <c r="X37" s="181" t="s">
        <v>691</v>
      </c>
      <c r="Y37" s="181">
        <v>80</v>
      </c>
      <c r="Z37" s="425" t="s">
        <v>736</v>
      </c>
      <c r="AA37" s="480" t="str">
        <f ca="1">+MID(INDEX(WORLDCUP!$AF$101:$AF$147,MATCH(Y37,WORLDCUP!$Z$101:$Z$147,0)),1,IF(WORLDCUP!$H$113&lt;144,6,3))</f>
        <v>Sen</v>
      </c>
      <c r="AB37" s="481">
        <f>+IF(ISBLANK(INDEX(WORLDCUP!$AD$101:$AD$147,MATCH(Y37,WORLDCUP!$Z$101:$Z$147,0))),"",INDEX(WORLDCUP!$AD$101:$AD$147,MATCH(Y37,WORLDCUP!$Z$101:$Z$147,0)))</f>
        <v>0</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Bra</v>
      </c>
      <c r="AN37" s="509">
        <f>+IF(ISBLANK(INDEX(WORLDCUP!$AC$101:$AC$147,MATCH(AL37,WORLDCUP!$Z$101:$Z$147,0))),"",INDEX(WORLDCUP!$AC$101:$AC$147,MATCH(AL37,WORLDCUP!$Z$101:$Z$147,0)))</f>
        <v>0</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c r="A38" s="181">
        <v>34</v>
      </c>
      <c r="B38" s="560"/>
      <c r="C38" s="444" t="str">
        <f ca="1">+MID(INDEX(WORLDCUP!$AA$4:$AA$147,MATCH(A38,WORLDCUP!$AH$4:$AH$147,0)),1,3)</f>
        <v>Ecu</v>
      </c>
      <c r="D38" s="445">
        <f>IF(ISBLANK(INDEX(WORLDCUP!$AC$4:$AC$147,MATCH(A38,WORLDCUP!$AH$4:$AH$147,0))),"",INDEX(WORLDCUP!$AC$4:$AC$147,MATCH(A38,WORLDCUP!$AH$4:$AH$147,0)))</f>
        <v>2</v>
      </c>
      <c r="E38" s="445">
        <f>IF(ISBLANK(INDEX(WORLDCUP!$AD$4:$AD$147,MATCH(A38,WORLDCUP!$AH$4:$AH$147,0))),"",INDEX(WORLDCUP!$AD$4:$AD$147,MATCH(A38,WORLDCUP!$AH$4:$AH$147,0)))</f>
        <v>0</v>
      </c>
      <c r="F38" s="446" t="str">
        <f ca="1">+MID(INDEX(WORLDCUP!$AF$4:$AF$147,MATCH(A38,WORLDCUP!$AH$4:$AH$147,0)),1,3)</f>
        <v>Cur</v>
      </c>
      <c r="G38" s="467">
        <v>3</v>
      </c>
      <c r="H38" s="468"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6-5</v>
      </c>
      <c r="L38" s="181" t="s">
        <v>94</v>
      </c>
      <c r="M38" s="181">
        <v>48</v>
      </c>
      <c r="N38" s="561"/>
      <c r="O38" s="444" t="str">
        <f ca="1">+MID(INDEX(WORLDCUP!$AA$4:$AA$147,MATCH(M38,WORLDCUP!$AH$4:$AH$147,0)),1,3)</f>
        <v>Col</v>
      </c>
      <c r="P38" s="445">
        <f>IF(ISBLANK(INDEX(WORLDCUP!$AC$4:$AC$147,MATCH(M38,WORLDCUP!$AH$4:$AH$147,0))),"",INDEX(WORLDCUP!$AC$4:$AC$147,MATCH(M38,WORLDCUP!$AH$4:$AH$147,0)))</f>
        <v>2</v>
      </c>
      <c r="Q38" s="445">
        <f>IF(ISBLANK(INDEX(WORLDCUP!$AD$4:$AD$147,MATCH(M38,WORLDCUP!$AH$4:$AH$147,0))),"",INDEX(WORLDCUP!$AD$4:$AD$147,MATCH(M38,WORLDCUP!$AH$4:$AH$147,0)))</f>
        <v>0</v>
      </c>
      <c r="R38" s="446" t="str">
        <f ca="1">+MID(INDEX(WORLDCUP!$AF$4:$AF$147,MATCH(M38,WORLDCUP!$AH$4:$AH$147,0)),1,3)</f>
        <v xml:space="preserve">RD </v>
      </c>
      <c r="S38" s="467">
        <v>3</v>
      </c>
      <c r="T38" s="468" t="str">
        <f ca="1">+MID(INDEX(WORLDCUP!$AL$6:$AL$97,MATCH(X38,WORLDCUP!$AI$6:$AI$97,0)),1,3)</f>
        <v xml:space="preserve">RD </v>
      </c>
      <c r="U38" s="38">
        <f ca="1">+INDEX(WORLDCUP!$AM$6:$AM$97,MATCH(X38,WORLDCUP!$AI$6:$AI$97,0))</f>
        <v>3</v>
      </c>
      <c r="V38" s="39">
        <f ca="1">+INDEX(WORLDCUP!$AT$6:$AT$97,MATCH(X38,WORLDCUP!$AI$6:$AI$97,0))</f>
        <v>-5</v>
      </c>
      <c r="W38" s="43" t="str">
        <f ca="1">+INDEX(WORLDCUP!$AR$6:$AR$97,MATCH(X38,WORLDCUP!$AI$6:$AI$97,0))&amp;"-"&amp;INDEX(WORLDCUP!$AS$6:$AS$97,MATCH(X38,WORLDCUP!$AI$6:$AI$97,0))</f>
        <v>1-6</v>
      </c>
      <c r="X38" s="181" t="s">
        <v>452</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Arge</v>
      </c>
      <c r="AN38" s="509">
        <f>+IF(ISBLANK(INDEX(WORLDCUP!$AD$101:$AD$147,MATCH(AL38,WORLDCUP!$Z$101:$Z$147,0))),"",INDEX(WORLDCUP!$AD$101:$AD$147,MATCH(AL38,WORLDCUP!$Z$101:$Z$147,0)))</f>
        <v>1</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0</v>
      </c>
      <c r="BJ38" s="464">
        <f ca="1">COUNTIF(Pool!$C$182:$C$197,Fixture!BG38)-BK38-BL38-BM38-BN38-BO38</f>
        <v>0</v>
      </c>
      <c r="BK38" s="465">
        <f ca="1">COUNTIF(Pool!$C$210:$C$217,Fixture!BG38)-BL38-BM38-BN38-BO38</f>
        <v>0</v>
      </c>
      <c r="BL38" s="465">
        <f ca="1">COUNTIF(Pool!$C$226:$C$229,Fixture!BG38)-BM38-BN38-BO38</f>
        <v>0</v>
      </c>
      <c r="BM38" s="463">
        <f ca="1">COUNTIF(Pool!$C$252,Fixture!BG38)</f>
        <v>0</v>
      </c>
      <c r="BN38" s="463">
        <f ca="1">COUNTIF(Pool!$C$251,Fixture!BG38)</f>
        <v>1</v>
      </c>
      <c r="BO38" s="466">
        <f ca="1">COUNTIF(Pool!$C$250,Fixture!BG38)</f>
        <v>0</v>
      </c>
    </row>
    <row r="39" spans="1:67" ht="15" thickBot="1">
      <c r="A39" s="181">
        <v>55</v>
      </c>
      <c r="B39" s="560"/>
      <c r="C39" s="444" t="str">
        <f ca="1">+MID(INDEX(WORLDCUP!$AA$4:$AA$147,MATCH(A39,WORLDCUP!$AH$4:$AH$147,0)),1,3)</f>
        <v>Cur</v>
      </c>
      <c r="D39" s="445">
        <f>IF(ISBLANK(INDEX(WORLDCUP!$AC$4:$AC$147,MATCH(A39,WORLDCUP!$AH$4:$AH$147,0))),"",INDEX(WORLDCUP!$AC$4:$AC$147,MATCH(A39,WORLDCUP!$AH$4:$AH$147,0)))</f>
        <v>1</v>
      </c>
      <c r="E39" s="445">
        <f>IF(ISBLANK(INDEX(WORLDCUP!$AD$4:$AD$147,MATCH(A39,WORLDCUP!$AH$4:$AH$147,0))),"",INDEX(WORLDCUP!$AD$4:$AD$147,MATCH(A39,WORLDCUP!$AH$4:$AH$147,0)))</f>
        <v>3</v>
      </c>
      <c r="F39" s="446" t="str">
        <f ca="1">+MID(INDEX(WORLDCUP!$AF$4:$AF$147,MATCH(A39,WORLDCUP!$AH$4:$AH$147,0)),1,3)</f>
        <v>Cos</v>
      </c>
      <c r="G39" s="467">
        <v>4</v>
      </c>
      <c r="H39" s="476" t="str">
        <f ca="1">+MID(INDEX(WORLDCUP!$AL$6:$AL$97,MATCH(L39,WORLDCUP!$AI$6:$AI$97,0)),1,3)</f>
        <v>Cur</v>
      </c>
      <c r="I39" s="477">
        <f ca="1">+INDEX(WORLDCUP!$AM$6:$AM$97,MATCH(L39,WORLDCUP!$AI$6:$AI$97,0))</f>
        <v>0</v>
      </c>
      <c r="J39" s="478">
        <f ca="1">+INDEX(WORLDCUP!$AT$6:$AT$97,MATCH(L39,WORLDCUP!$AI$6:$AI$97,0))</f>
        <v>-8</v>
      </c>
      <c r="K39" s="479" t="str">
        <f ca="1">+INDEX(WORLDCUP!$AR$6:$AR$97,MATCH(L39,WORLDCUP!$AI$6:$AI$97,0))&amp;"-"&amp;INDEX(WORLDCUP!$AS$6:$AS$97,MATCH(L39,WORLDCUP!$AI$6:$AI$97,0))</f>
        <v>1-9</v>
      </c>
      <c r="L39" s="181" t="s">
        <v>674</v>
      </c>
      <c r="M39" s="181">
        <v>71</v>
      </c>
      <c r="N39" s="561"/>
      <c r="O39" s="444" t="str">
        <f ca="1">+MID(INDEX(WORLDCUP!$AA$4:$AA$147,MATCH(M39,WORLDCUP!$AH$4:$AH$147,0)),1,3)</f>
        <v>Col</v>
      </c>
      <c r="P39" s="445">
        <f>IF(ISBLANK(INDEX(WORLDCUP!$AC$4:$AC$147,MATCH(M39,WORLDCUP!$AH$4:$AH$147,0))),"",INDEX(WORLDCUP!$AC$4:$AC$147,MATCH(M39,WORLDCUP!$AH$4:$AH$147,0)))</f>
        <v>2</v>
      </c>
      <c r="Q39" s="445">
        <f>IF(ISBLANK(INDEX(WORLDCUP!$AD$4:$AD$147,MATCH(M39,WORLDCUP!$AH$4:$AH$147,0))),"",INDEX(WORLDCUP!$AD$4:$AD$147,MATCH(M39,WORLDCUP!$AH$4:$AH$147,0)))</f>
        <v>2</v>
      </c>
      <c r="R39" s="446" t="str">
        <f ca="1">+MID(INDEX(WORLDCUP!$AF$4:$AF$147,MATCH(M39,WORLDCUP!$AH$4:$AH$147,0)),1,3)</f>
        <v>Por</v>
      </c>
      <c r="S39" s="467">
        <v>4</v>
      </c>
      <c r="T39" s="476" t="str">
        <f ca="1">+MID(INDEX(WORLDCUP!$AL$6:$AL$97,MATCH(X39,WORLDCUP!$AI$6:$AI$97,0)),1,3)</f>
        <v>Uzb</v>
      </c>
      <c r="U39" s="477">
        <f ca="1">+INDEX(WORLDCUP!$AM$6:$AM$97,MATCH(X39,WORLDCUP!$AI$6:$AI$97,0))</f>
        <v>0</v>
      </c>
      <c r="V39" s="478">
        <f ca="1">+INDEX(WORLDCUP!$AT$6:$AT$97,MATCH(X39,WORLDCUP!$AI$6:$AI$97,0))</f>
        <v>-6</v>
      </c>
      <c r="W39" s="479" t="str">
        <f ca="1">+INDEX(WORLDCUP!$AR$6:$AR$97,MATCH(X39,WORLDCUP!$AI$6:$AI$97,0))&amp;"-"&amp;INDEX(WORLDCUP!$AS$6:$AS$97,MATCH(X39,WORLDCUP!$AI$6:$AI$97,0))</f>
        <v>1-7</v>
      </c>
      <c r="X39" s="181" t="s">
        <v>692</v>
      </c>
      <c r="Y39" s="181">
        <v>86</v>
      </c>
      <c r="Z39" s="425" t="s">
        <v>687</v>
      </c>
      <c r="AA39" s="426" t="str">
        <f ca="1">+MID(INDEX(WORLDCUP!$AA$101:$AA$147,MATCH(Y39,WORLDCUP!$Z$101:$Z$147,0)),1,3)</f>
        <v>Arg</v>
      </c>
      <c r="AB39" s="427">
        <f>+IF(ISBLANK(INDEX(WORLDCUP!$AC$101:$AC$147,MATCH(Y39,WORLDCUP!$Z$101:$Z$147,0))),"",INDEX(WORLDCUP!$AC$101:$AC$147,MATCH(Y39,WORLDCUP!$Z$101:$Z$147,0)))</f>
        <v>2</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 thickBot="1">
      <c r="A40" s="181">
        <v>56</v>
      </c>
      <c r="B40" s="563"/>
      <c r="C40" s="487" t="str">
        <f ca="1">+MID(INDEX(WORLDCUP!$AA$4:$AA$147,MATCH(A40,WORLDCUP!$AH$4:$AH$147,0)),1,3)</f>
        <v>Ecu</v>
      </c>
      <c r="D40" s="488">
        <f>IF(ISBLANK(INDEX(WORLDCUP!$AC$4:$AC$147,MATCH(A40,WORLDCUP!$AH$4:$AH$147,0))),"",INDEX(WORLDCUP!$AC$4:$AC$147,MATCH(A40,WORLDCUP!$AH$4:$AH$147,0)))</f>
        <v>2</v>
      </c>
      <c r="E40" s="488">
        <f>IF(ISBLANK(INDEX(WORLDCUP!$AD$4:$AD$147,MATCH(A40,WORLDCUP!$AH$4:$AH$147,0))),"",INDEX(WORLDCUP!$AD$4:$AD$147,MATCH(A40,WORLDCUP!$AH$4:$AH$147,0)))</f>
        <v>3</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1</v>
      </c>
      <c r="Q40" s="488">
        <f>IF(ISBLANK(INDEX(WORLDCUP!$AD$4:$AD$147,MATCH(M40,WORLDCUP!$AH$4:$AH$147,0))),"",INDEX(WORLDCUP!$AD$4:$AD$147,MATCH(M40,WORLDCUP!$AH$4:$AH$147,0)))</f>
        <v>0</v>
      </c>
      <c r="R40" s="489" t="str">
        <f ca="1">+MID(INDEX(WORLDCUP!$AF$4:$AF$147,MATCH(M40,WORLDCUP!$AH$4:$AH$147,0)),1,3)</f>
        <v>Uzb</v>
      </c>
      <c r="S40" s="490"/>
      <c r="T40" s="490"/>
      <c r="U40" s="491"/>
      <c r="V40" s="491"/>
      <c r="W40" s="492"/>
      <c r="X40" s="181"/>
      <c r="Y40" s="181">
        <v>86</v>
      </c>
      <c r="Z40" s="425" t="s">
        <v>682</v>
      </c>
      <c r="AA40" s="426" t="str">
        <f ca="1">+MID(INDEX(WORLDCUP!$AF$101:$AF$147,MATCH(Y40,WORLDCUP!$Z$101:$Z$147,0)),1,3)</f>
        <v>Uru</v>
      </c>
      <c r="AB40" s="453">
        <f>+IF(ISBLANK(INDEX(WORLDCUP!$AD$101:$AD$147,MATCH(Y40,WORLDCUP!$Z$101:$Z$147,0))),"",INDEX(WORLDCUP!$AD$101:$AD$147,MATCH(Y40,WORLDCUP!$Z$101:$Z$147,0)))</f>
        <v>0</v>
      </c>
      <c r="AC40" s="454" t="str">
        <f>+IF(ISBLANK(INDEX(WORLDCUP!$AE$101:$AE$147,MATCH(Y40,WORLDCUP!$Z$101:$Z$147,0))),"","( "&amp;INDEX(WORLDCUP!$AE$101:$AE$147,MATCH(Y40,WORLDCUP!$Z$101:$Z$147,0))&amp;" )")</f>
        <v/>
      </c>
      <c r="AD40" s="455">
        <v>95</v>
      </c>
      <c r="AE40" s="456" t="str">
        <f ca="1">+MID(INDEX(WORLDCUP!$AA$101:$AA$147,MATCH(AD40,WORLDCUP!$Z$101:$Z$147,0)),1,3)</f>
        <v>Arg</v>
      </c>
      <c r="AF40" s="457">
        <f>+IF(ISBLANK(INDEX(WORLDCUP!$AC$101:$AC$147,MATCH(AD40,WORLDCUP!$Z$101:$Z$147,0))),"",INDEX(WORLDCUP!$AC$101:$AC$147,MATCH(AD40,WORLDCUP!$Z$101:$Z$147,0)))</f>
        <v>2</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0</v>
      </c>
      <c r="BI40" s="463">
        <f ca="1">COUNTIF(Pool!$C$130:$C$161,Fixture!BG40)-BJ40-BK40-BL40-BM40-BN40-BO40</f>
        <v>1</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Tur</v>
      </c>
      <c r="AF41" s="457">
        <f>+IF(ISBLANK(INDEX(WORLDCUP!$AD$101:$AD$147,MATCH(AD41,WORLDCUP!$Z$101:$Z$147,0))),"",INDEX(WORLDCUP!$AD$101:$AD$147,MATCH(AD41,WORLDCUP!$Z$101:$Z$147,0)))</f>
        <v>0</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0</v>
      </c>
      <c r="BK41" s="465">
        <f ca="1">COUNTIF(Pool!$C$210:$C$217,Fixture!BG41)-BL41-BM41-BN41-BO41</f>
        <v>1</v>
      </c>
      <c r="BL41" s="465">
        <f ca="1">COUNTIF(Pool!$C$226:$C$229,Fixture!BG41)-BM41-BN41-BO41</f>
        <v>0</v>
      </c>
      <c r="BM41" s="463">
        <f ca="1">COUNTIF(Pool!$C$252,Fixture!BG41)</f>
        <v>0</v>
      </c>
      <c r="BN41" s="463">
        <f ca="1">COUNTIF(Pool!$C$251,Fixture!BG41)</f>
        <v>0</v>
      </c>
      <c r="BO41" s="466">
        <f ca="1">COUNTIF(Pool!$C$250,Fixture!BG41)</f>
        <v>0</v>
      </c>
    </row>
    <row r="42" spans="1:67" ht="15" thickBot="1">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670</v>
      </c>
      <c r="AA42" s="426" t="str">
        <f ca="1">+MID(INDEX(WORLDCUP!$AA$101:$AA$147,MATCH(Y42,WORLDCUP!$Z$101:$Z$147,0)),1,3)</f>
        <v>Tur</v>
      </c>
      <c r="AB42" s="472">
        <f>+IF(ISBLANK(INDEX(WORLDCUP!$AC$101:$AC$147,MATCH(Y42,WORLDCUP!$Z$101:$Z$147,0))),"",INDEX(WORLDCUP!$AC$101:$AC$147,MATCH(Y42,WORLDCUP!$Z$101:$Z$147,0)))</f>
        <v>1</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1</v>
      </c>
      <c r="BI42" s="463">
        <f ca="1">COUNTIF(Pool!$C$130:$C$161,Fixture!BG42)-BJ42-BK42-BL42-BM42-BN42-BO42</f>
        <v>0</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 thickBot="1">
      <c r="A43" s="181">
        <v>11</v>
      </c>
      <c r="B43" s="565" t="s">
        <v>4</v>
      </c>
      <c r="C43" s="417" t="str">
        <f ca="1">+MID(INDEX(WORLDCUP!$AA$4:$AA$147,MATCH(A43,WORLDCUP!$AH$4:$AH$147,0)),1,3)</f>
        <v>Paí</v>
      </c>
      <c r="D43" s="418">
        <f>IF(ISBLANK(INDEX(WORLDCUP!$AC$4:$AC$147,MATCH(A43,WORLDCUP!$AH$4:$AH$147,0))),"",INDEX(WORLDCUP!$AC$4:$AC$147,MATCH(A43,WORLDCUP!$AH$4:$AH$147,0)))</f>
        <v>3</v>
      </c>
      <c r="E43" s="418">
        <f>IF(ISBLANK(INDEX(WORLDCUP!$AD$4:$AD$147,MATCH(A43,WORLDCUP!$AH$4:$AH$147,0))),"",INDEX(WORLDCUP!$AD$4:$AD$147,MATCH(A43,WORLDCUP!$AH$4:$AH$147,0)))</f>
        <v>2</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f>IF(ISBLANK(INDEX(WORLDCUP!$AC$4:$AC$147,MATCH(M43,WORLDCUP!$AH$4:$AH$147,0))),"",INDEX(WORLDCUP!$AC$4:$AC$147,MATCH(M43,WORLDCUP!$AH$4:$AH$147,0)))</f>
        <v>2</v>
      </c>
      <c r="Q43" s="418">
        <f>IF(ISBLANK(INDEX(WORLDCUP!$AD$4:$AD$147,MATCH(M43,WORLDCUP!$AH$4:$AH$147,0))),"",INDEX(WORLDCUP!$AD$4:$AD$147,MATCH(M43,WORLDCUP!$AH$4:$AH$147,0)))</f>
        <v>1</v>
      </c>
      <c r="R43" s="419" t="str">
        <f ca="1">+MID(INDEX(WORLDCUP!$AF$4:$AF$147,MATCH(M43,WORLDCUP!$AH$4:$AH$147,0)),1,3)</f>
        <v>Cro</v>
      </c>
      <c r="S43" s="420"/>
      <c r="T43" s="421" t="str">
        <f>+T35</f>
        <v>Sel</v>
      </c>
      <c r="U43" s="422" t="str">
        <f>+U35</f>
        <v>Pts</v>
      </c>
      <c r="V43" s="422" t="str">
        <f>+V35</f>
        <v>DG</v>
      </c>
      <c r="W43" s="423" t="str">
        <f>+W35</f>
        <v>GF-GC</v>
      </c>
      <c r="X43" s="181"/>
      <c r="Y43" s="181">
        <v>88</v>
      </c>
      <c r="Z43" s="425" t="s">
        <v>679</v>
      </c>
      <c r="AA43" s="480" t="str">
        <f ca="1">+MID(INDEX(WORLDCUP!$AF$101:$AF$147,MATCH(Y43,WORLDCUP!$Z$101:$Z$147,0)),1,3)</f>
        <v>Egi</v>
      </c>
      <c r="AB43" s="481">
        <f>+IF(ISBLANK(INDEX(WORLDCUP!$AD$101:$AD$147,MATCH(Y43,WORLDCUP!$Z$101:$Z$147,0))),"",INDEX(WORLDCUP!$AD$101:$AD$147,MATCH(Y43,WORLDCUP!$Z$101:$Z$147,0)))</f>
        <v>0</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2</v>
      </c>
      <c r="AK43" s="520" t="str">
        <f>+IF(ISBLANK(INDEX(WORLDCUP!$AB$101:$AB$147,MATCH(AH43,WORLDCUP!$Z$101:$Z$147,0))),"","( "&amp;INDEX(WORLDCUP!$AB$101:$AB$147,MATCH(AH43,WORLDCUP!$Z$101:$Z$147,0))&amp;" )")</f>
        <v>( 5 )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0</v>
      </c>
      <c r="BI43" s="463">
        <f ca="1">COUNTIF(Pool!$C$130:$C$161,Fixture!BG43)-BJ43-BK43-BL43-BM43-BN43-BO43</f>
        <v>1</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c r="A44" s="181">
        <v>12</v>
      </c>
      <c r="B44" s="567"/>
      <c r="C44" s="444" t="str">
        <f ca="1">+MID(INDEX(WORLDCUP!$AA$4:$AA$147,MATCH(A44,WORLDCUP!$AH$4:$AH$147,0)),1,3)</f>
        <v>Sue</v>
      </c>
      <c r="D44" s="445">
        <f>IF(ISBLANK(INDEX(WORLDCUP!$AC$4:$AC$147,MATCH(A44,WORLDCUP!$AH$4:$AH$147,0))),"",INDEX(WORLDCUP!$AC$4:$AC$147,MATCH(A44,WORLDCUP!$AH$4:$AH$147,0)))</f>
        <v>1</v>
      </c>
      <c r="E44" s="445">
        <f>IF(ISBLANK(INDEX(WORLDCUP!$AD$4:$AD$147,MATCH(A44,WORLDCUP!$AH$4:$AH$147,0))),"",INDEX(WORLDCUP!$AD$4:$AD$147,MATCH(A44,WORLDCUP!$AH$4:$AH$147,0)))</f>
        <v>0</v>
      </c>
      <c r="F44" s="446" t="str">
        <f ca="1">+MID(INDEX(WORLDCUP!$AF$4:$AF$147,MATCH(A44,WORLDCUP!$AH$4:$AH$147,0)),1,3)</f>
        <v>Tún</v>
      </c>
      <c r="G44" s="447">
        <v>1</v>
      </c>
      <c r="H44" s="448" t="str">
        <f ca="1">+MID(INDEX(WORLDCUP!$AL$6:$AL$97,MATCH(L44,WORLDCUP!$AI$6:$AI$97,0)),1,3)</f>
        <v>Paí</v>
      </c>
      <c r="I44" s="449">
        <f ca="1">+INDEX(WORLDCUP!$AM$6:$AM$97,MATCH(L44,WORLDCUP!$AI$6:$AI$97,0))</f>
        <v>9</v>
      </c>
      <c r="J44" s="450">
        <f ca="1">+INDEX(WORLDCUP!$AT$6:$AT$97,MATCH(L44,WORLDCUP!$AI$6:$AI$97,0))</f>
        <v>4</v>
      </c>
      <c r="K44" s="451" t="str">
        <f ca="1">+INDEX(WORLDCUP!$AR$6:$AR$97,MATCH(L44,WORLDCUP!$AI$6:$AI$97,0))&amp;"-"&amp;INDEX(WORLDCUP!$AS$6:$AS$97,MATCH(L44,WORLDCUP!$AI$6:$AI$97,0))</f>
        <v>8-4</v>
      </c>
      <c r="L44" s="181" t="s">
        <v>675</v>
      </c>
      <c r="M44" s="181">
        <v>21</v>
      </c>
      <c r="N44" s="568"/>
      <c r="O44" s="444" t="str">
        <f ca="1">+MID(INDEX(WORLDCUP!$AA$4:$AA$147,MATCH(M44,WORLDCUP!$AH$4:$AH$147,0)),1,3)</f>
        <v>Gha</v>
      </c>
      <c r="P44" s="445">
        <f>IF(ISBLANK(INDEX(WORLDCUP!$AC$4:$AC$147,MATCH(M44,WORLDCUP!$AH$4:$AH$147,0))),"",INDEX(WORLDCUP!$AC$4:$AC$147,MATCH(M44,WORLDCUP!$AH$4:$AH$147,0)))</f>
        <v>1</v>
      </c>
      <c r="Q44" s="445">
        <f>IF(ISBLANK(INDEX(WORLDCUP!$AD$4:$AD$147,MATCH(M44,WORLDCUP!$AH$4:$AH$147,0))),"",INDEX(WORLDCUP!$AD$4:$AD$147,MATCH(M44,WORLDCUP!$AH$4:$AH$147,0)))</f>
        <v>0</v>
      </c>
      <c r="R44" s="446" t="str">
        <f ca="1">+MID(INDEX(WORLDCUP!$AF$4:$AF$147,MATCH(M44,WORLDCUP!$AH$4:$AH$147,0)),1,3)</f>
        <v>Pan</v>
      </c>
      <c r="S44" s="447">
        <v>1</v>
      </c>
      <c r="T44" s="448" t="str">
        <f ca="1">+MID(INDEX(WORLDCUP!$AL$6:$AL$97,MATCH(X44,WORLDCUP!$AI$6:$AI$97,0)),1,3)</f>
        <v>Ing</v>
      </c>
      <c r="U44" s="449">
        <f ca="1">+INDEX(WORLDCUP!$AM$6:$AM$97,MATCH(X44,WORLDCUP!$AI$6:$AI$97,0))</f>
        <v>9</v>
      </c>
      <c r="V44" s="450">
        <f ca="1">+INDEX(WORLDCUP!$AT$6:$AT$97,MATCH(X44,WORLDCUP!$AI$6:$AI$97,0))</f>
        <v>6</v>
      </c>
      <c r="W44" s="451" t="str">
        <f ca="1">+INDEX(WORLDCUP!$AR$6:$AR$97,MATCH(X44,WORLDCUP!$AI$6:$AI$97,0))&amp;"-"&amp;INDEX(WORLDCUP!$AS$6:$AS$97,MATCH(X44,WORLDCUP!$AI$6:$AI$97,0))</f>
        <v>7-1</v>
      </c>
      <c r="X44" s="181" t="s">
        <v>693</v>
      </c>
      <c r="Y44" s="181"/>
      <c r="Z44" s="425"/>
      <c r="AA44" s="494"/>
      <c r="AB44" s="494"/>
      <c r="AC44" s="494"/>
      <c r="AD44" s="181"/>
      <c r="AE44" s="429"/>
      <c r="AF44" s="429"/>
      <c r="AG44" s="475"/>
      <c r="AH44" s="181">
        <v>100</v>
      </c>
      <c r="AI44" s="483" t="str">
        <f ca="1">+MID(INDEX(WORLDCUP!$AF$101:$AF$147,MATCH(AH44,WORLDCUP!$Z$101:$Z$147,0)),1,3)</f>
        <v>Por</v>
      </c>
      <c r="AJ44" s="484">
        <f>+IF(ISBLANK(INDEX(WORLDCUP!$AD$101:$AD$147,MATCH(AH44,WORLDCUP!$Z$101:$Z$147,0))),"",INDEX(WORLDCUP!$AD$101:$AD$147,MATCH(AH44,WORLDCUP!$Z$101:$Z$147,0)))</f>
        <v>2</v>
      </c>
      <c r="AK44" s="459" t="str">
        <f>+IF(ISBLANK(INDEX(WORLDCUP!$AE$101:$AE$147,MATCH(AH44,WORLDCUP!$Z$101:$Z$147,0))),"","( "&amp;INDEX(WORLDCUP!$AE$101:$AE$147,MATCH(AH44,WORLDCUP!$Z$101:$Z$147,0))&amp;" )")</f>
        <v>( 4 )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0</v>
      </c>
      <c r="BI44" s="463">
        <f ca="1">COUNTIF(Pool!$C$130:$C$161,Fixture!BG44)-BJ44-BK44-BL44-BM44-BN44-BO44</f>
        <v>1</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 thickBot="1">
      <c r="A45" s="181">
        <v>35</v>
      </c>
      <c r="B45" s="567"/>
      <c r="C45" s="444" t="str">
        <f ca="1">+MID(INDEX(WORLDCUP!$AA$4:$AA$147,MATCH(A45,WORLDCUP!$AH$4:$AH$147,0)),1,3)</f>
        <v>Paí</v>
      </c>
      <c r="D45" s="445">
        <f>IF(ISBLANK(INDEX(WORLDCUP!$AC$4:$AC$147,MATCH(A45,WORLDCUP!$AH$4:$AH$147,0))),"",INDEX(WORLDCUP!$AC$4:$AC$147,MATCH(A45,WORLDCUP!$AH$4:$AH$147,0)))</f>
        <v>3</v>
      </c>
      <c r="E45" s="445">
        <f>IF(ISBLANK(INDEX(WORLDCUP!$AD$4:$AD$147,MATCH(A45,WORLDCUP!$AH$4:$AH$147,0))),"",INDEX(WORLDCUP!$AD$4:$AD$147,MATCH(A45,WORLDCUP!$AH$4:$AH$147,0)))</f>
        <v>1</v>
      </c>
      <c r="F45" s="446" t="str">
        <f ca="1">+MID(INDEX(WORLDCUP!$AF$4:$AF$147,MATCH(A45,WORLDCUP!$AH$4:$AH$147,0)),1,3)</f>
        <v>Sue</v>
      </c>
      <c r="G45" s="467">
        <v>2</v>
      </c>
      <c r="H45" s="468"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5-5</v>
      </c>
      <c r="L45" s="181" t="s">
        <v>676</v>
      </c>
      <c r="M45" s="181">
        <v>45</v>
      </c>
      <c r="N45" s="568"/>
      <c r="O45" s="444" t="str">
        <f ca="1">+MID(INDEX(WORLDCUP!$AA$4:$AA$147,MATCH(M45,WORLDCUP!$AH$4:$AH$147,0)),1,3)</f>
        <v>Ing</v>
      </c>
      <c r="P45" s="445">
        <f>IF(ISBLANK(INDEX(WORLDCUP!$AC$4:$AC$147,MATCH(M45,WORLDCUP!$AH$4:$AH$147,0))),"",INDEX(WORLDCUP!$AC$4:$AC$147,MATCH(M45,WORLDCUP!$AH$4:$AH$147,0)))</f>
        <v>2</v>
      </c>
      <c r="Q45" s="445">
        <f>IF(ISBLANK(INDEX(WORLDCUP!$AD$4:$AD$147,MATCH(M45,WORLDCUP!$AH$4:$AH$147,0))),"",INDEX(WORLDCUP!$AD$4:$AD$147,MATCH(M45,WORLDCUP!$AH$4:$AH$147,0)))</f>
        <v>0</v>
      </c>
      <c r="R45" s="446" t="str">
        <f ca="1">+MID(INDEX(WORLDCUP!$AF$4:$AF$147,MATCH(M45,WORLDCUP!$AH$4:$AH$147,0)),1,3)</f>
        <v>Gha</v>
      </c>
      <c r="S45" s="467">
        <v>2</v>
      </c>
      <c r="T45" s="468" t="str">
        <f ca="1">+MID(INDEX(WORLDCUP!$AL$6:$AL$97,MATCH(X45,WORLDCUP!$AI$6:$AI$97,0)),1,3)</f>
        <v>Cro</v>
      </c>
      <c r="U45" s="38">
        <f ca="1">+INDEX(WORLDCUP!$AM$6:$AM$97,MATCH(X45,WORLDCUP!$AI$6:$AI$97,0))</f>
        <v>4</v>
      </c>
      <c r="V45" s="39">
        <f ca="1">+INDEX(WORLDCUP!$AT$6:$AT$97,MATCH(X45,WORLDCUP!$AI$6:$AI$97,0))</f>
        <v>1</v>
      </c>
      <c r="W45" s="43" t="str">
        <f ca="1">+INDEX(WORLDCUP!$AR$6:$AR$97,MATCH(X45,WORLDCUP!$AI$6:$AI$97,0))&amp;"-"&amp;INDEX(WORLDCUP!$AS$6:$AS$97,MATCH(X45,WORLDCUP!$AI$6:$AI$97,0))</f>
        <v>6-5</v>
      </c>
      <c r="X45" s="181" t="s">
        <v>694</v>
      </c>
      <c r="Y45" s="181">
        <v>85</v>
      </c>
      <c r="Z45" s="425" t="s">
        <v>659</v>
      </c>
      <c r="AA45" s="426" t="str">
        <f ca="1">+MID(INDEX(WORLDCUP!$AA$101:$AA$147,MATCH(Y45,WORLDCUP!$Z$101:$Z$147,0)),1,3)</f>
        <v>Sui</v>
      </c>
      <c r="AB45" s="427">
        <f>+IF(ISBLANK(INDEX(WORLDCUP!$AC$101:$AC$147,MATCH(Y45,WORLDCUP!$Z$101:$Z$147,0))),"",INDEX(WORLDCUP!$AC$101:$AC$147,MATCH(Y45,WORLDCUP!$Z$101:$Z$147,0)))</f>
        <v>1</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1</v>
      </c>
      <c r="BI45" s="463">
        <f ca="1">COUNTIF(Pool!$C$130:$C$161,Fixture!BG45)-BJ45-BK45-BL45-BM45-BN45-BO45</f>
        <v>0</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5" thickBot="1">
      <c r="A46" s="181">
        <v>36</v>
      </c>
      <c r="B46" s="567"/>
      <c r="C46" s="444" t="str">
        <f ca="1">+MID(INDEX(WORLDCUP!$AA$4:$AA$147,MATCH(A46,WORLDCUP!$AH$4:$AH$147,0)),1,3)</f>
        <v>Tún</v>
      </c>
      <c r="D46" s="445">
        <f>IF(ISBLANK(INDEX(WORLDCUP!$AC$4:$AC$147,MATCH(A46,WORLDCUP!$AH$4:$AH$147,0))),"",INDEX(WORLDCUP!$AC$4:$AC$147,MATCH(A46,WORLDCUP!$AH$4:$AH$147,0)))</f>
        <v>1</v>
      </c>
      <c r="E46" s="445">
        <f>IF(ISBLANK(INDEX(WORLDCUP!$AD$4:$AD$147,MATCH(A46,WORLDCUP!$AH$4:$AH$147,0))),"",INDEX(WORLDCUP!$AD$4:$AD$147,MATCH(A46,WORLDCUP!$AH$4:$AH$147,0)))</f>
        <v>2</v>
      </c>
      <c r="F46" s="446" t="str">
        <f ca="1">+MID(INDEX(WORLDCUP!$AF$4:$AF$147,MATCH(A46,WORLDCUP!$AH$4:$AH$147,0)),1,3)</f>
        <v>Jap</v>
      </c>
      <c r="G46" s="467">
        <v>3</v>
      </c>
      <c r="H46" s="468"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3-4</v>
      </c>
      <c r="L46" s="181" t="s">
        <v>95</v>
      </c>
      <c r="M46" s="181">
        <v>46</v>
      </c>
      <c r="N46" s="568"/>
      <c r="O46" s="444" t="str">
        <f ca="1">+MID(INDEX(WORLDCUP!$AA$4:$AA$147,MATCH(M46,WORLDCUP!$AH$4:$AH$147,0)),1,3)</f>
        <v>Pan</v>
      </c>
      <c r="P46" s="445">
        <f>IF(ISBLANK(INDEX(WORLDCUP!$AC$4:$AC$147,MATCH(M46,WORLDCUP!$AH$4:$AH$147,0))),"",INDEX(WORLDCUP!$AC$4:$AC$147,MATCH(M46,WORLDCUP!$AH$4:$AH$147,0)))</f>
        <v>1</v>
      </c>
      <c r="Q46" s="445">
        <f>IF(ISBLANK(INDEX(WORLDCUP!$AD$4:$AD$147,MATCH(M46,WORLDCUP!$AH$4:$AH$147,0))),"",INDEX(WORLDCUP!$AD$4:$AD$147,MATCH(M46,WORLDCUP!$AH$4:$AH$147,0)))</f>
        <v>3</v>
      </c>
      <c r="R46" s="446" t="str">
        <f ca="1">+MID(INDEX(WORLDCUP!$AF$4:$AF$147,MATCH(M46,WORLDCUP!$AH$4:$AH$147,0)),1,3)</f>
        <v>Cro</v>
      </c>
      <c r="S46" s="467">
        <v>3</v>
      </c>
      <c r="T46" s="468" t="str">
        <f ca="1">+MID(INDEX(WORLDCUP!$AL$6:$AL$97,MATCH(X46,WORLDCUP!$AI$6:$AI$97,0)),1,3)</f>
        <v>Gha</v>
      </c>
      <c r="U46" s="38">
        <f ca="1">+INDEX(WORLDCUP!$AM$6:$AM$97,MATCH(X46,WORLDCUP!$AI$6:$AI$97,0))</f>
        <v>4</v>
      </c>
      <c r="V46" s="39">
        <f ca="1">+INDEX(WORLDCUP!$AT$6:$AT$97,MATCH(X46,WORLDCUP!$AI$6:$AI$97,0))</f>
        <v>-1</v>
      </c>
      <c r="W46" s="43" t="str">
        <f ca="1">+INDEX(WORLDCUP!$AR$6:$AR$97,MATCH(X46,WORLDCUP!$AI$6:$AI$97,0))&amp;"-"&amp;INDEX(WORLDCUP!$AS$6:$AS$97,MATCH(X46,WORLDCUP!$AI$6:$AI$97,0))</f>
        <v>3-4</v>
      </c>
      <c r="X46" s="181" t="s">
        <v>453</v>
      </c>
      <c r="Y46" s="181">
        <v>85</v>
      </c>
      <c r="Z46" s="425" t="s">
        <v>739</v>
      </c>
      <c r="AA46" s="426" t="str">
        <f ca="1">+MID(INDEX(WORLDCUP!$AF$101:$AF$147,MATCH(Y46,WORLDCUP!$Z$101:$Z$147,0)),1,IF(WORLDCUP!$H$113&lt;144,6,3))</f>
        <v>Irá</v>
      </c>
      <c r="AB46" s="453">
        <f>+IF(ISBLANK(INDEX(WORLDCUP!$AD$101:$AD$147,MATCH(Y46,WORLDCUP!$Z$101:$Z$147,0))),"",INDEX(WORLDCUP!$AD$101:$AD$147,MATCH(Y46,WORLDCUP!$Z$101:$Z$147,0)))</f>
        <v>0</v>
      </c>
      <c r="AC46" s="454" t="str">
        <f>+IF(ISBLANK(INDEX(WORLDCUP!$AE$101:$AE$147,MATCH(Y46,WORLDCUP!$Z$101:$Z$147,0))),"","( "&amp;INDEX(WORLDCUP!$AE$101:$AE$147,MATCH(Y46,WORLDCUP!$Z$101:$Z$147,0))&amp;" )")</f>
        <v/>
      </c>
      <c r="AD46" s="455">
        <v>96</v>
      </c>
      <c r="AE46" s="456" t="str">
        <f ca="1">+MID(INDEX(WORLDCUP!$AA$101:$AA$147,MATCH(AD46,WORLDCUP!$Z$101:$Z$147,0)),1,3)</f>
        <v>Sui</v>
      </c>
      <c r="AF46" s="457">
        <f>+IF(ISBLANK(INDEX(WORLDCUP!$AC$101:$AC$147,MATCH(AD46,WORLDCUP!$Z$101:$Z$147,0))),"",INDEX(WORLDCUP!$AC$101:$AC$147,MATCH(AD46,WORLDCUP!$Z$101:$Z$147,0)))</f>
        <v>1</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1</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c r="A47" s="181">
        <v>57</v>
      </c>
      <c r="B47" s="567"/>
      <c r="C47" s="444" t="str">
        <f ca="1">+MID(INDEX(WORLDCUP!$AA$4:$AA$147,MATCH(A47,WORLDCUP!$AH$4:$AH$147,0)),1,3)</f>
        <v>Jap</v>
      </c>
      <c r="D47" s="445">
        <f>IF(ISBLANK(INDEX(WORLDCUP!$AC$4:$AC$147,MATCH(A47,WORLDCUP!$AH$4:$AH$147,0))),"",INDEX(WORLDCUP!$AC$4:$AC$147,MATCH(A47,WORLDCUP!$AH$4:$AH$147,0)))</f>
        <v>1</v>
      </c>
      <c r="E47" s="445">
        <f>IF(ISBLANK(INDEX(WORLDCUP!$AD$4:$AD$147,MATCH(A47,WORLDCUP!$AH$4:$AH$147,0))),"",INDEX(WORLDCUP!$AD$4:$AD$147,MATCH(A47,WORLDCUP!$AH$4:$AH$147,0)))</f>
        <v>1</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-3</v>
      </c>
      <c r="K47" s="479" t="str">
        <f ca="1">+INDEX(WORLDCUP!$AR$6:$AR$97,MATCH(L47,WORLDCUP!$AI$6:$AI$97,0))&amp;"-"&amp;INDEX(WORLDCUP!$AS$6:$AS$97,MATCH(L47,WORLDCUP!$AI$6:$AI$97,0))</f>
        <v>2-5</v>
      </c>
      <c r="L47" s="181" t="s">
        <v>677</v>
      </c>
      <c r="M47" s="181">
        <v>67</v>
      </c>
      <c r="N47" s="568"/>
      <c r="O47" s="444" t="str">
        <f ca="1">+MID(INDEX(WORLDCUP!$AA$4:$AA$147,MATCH(M47,WORLDCUP!$AH$4:$AH$147,0)),1,3)</f>
        <v>Pan</v>
      </c>
      <c r="P47" s="445">
        <f>IF(ISBLANK(INDEX(WORLDCUP!$AC$4:$AC$147,MATCH(M47,WORLDCUP!$AH$4:$AH$147,0))),"",INDEX(WORLDCUP!$AC$4:$AC$147,MATCH(M47,WORLDCUP!$AH$4:$AH$147,0)))</f>
        <v>0</v>
      </c>
      <c r="Q47" s="445">
        <f>IF(ISBLANK(INDEX(WORLDCUP!$AD$4:$AD$147,MATCH(M47,WORLDCUP!$AH$4:$AH$147,0))),"",INDEX(WORLDCUP!$AD$4:$AD$147,MATCH(M47,WORLDCUP!$AH$4:$AH$147,0)))</f>
        <v>3</v>
      </c>
      <c r="R47" s="446" t="str">
        <f ca="1">+MID(INDEX(WORLDCUP!$AF$4:$AF$147,MATCH(M47,WORLDCUP!$AH$4:$AH$147,0)),1,3)</f>
        <v>Ing</v>
      </c>
      <c r="S47" s="467">
        <v>4</v>
      </c>
      <c r="T47" s="476" t="str">
        <f ca="1">+MID(INDEX(WORLDCUP!$AL$6:$AL$97,MATCH(X47,WORLDCUP!$AI$6:$AI$97,0)),1,3)</f>
        <v>Pan</v>
      </c>
      <c r="U47" s="477">
        <f ca="1">+INDEX(WORLDCUP!$AM$6:$AM$97,MATCH(X47,WORLDCUP!$AI$6:$AI$97,0))</f>
        <v>0</v>
      </c>
      <c r="V47" s="478">
        <f ca="1">+INDEX(WORLDCUP!$AT$6:$AT$97,MATCH(X47,WORLDCUP!$AI$6:$AI$97,0))</f>
        <v>-6</v>
      </c>
      <c r="W47" s="479" t="str">
        <f ca="1">+INDEX(WORLDCUP!$AR$6:$AR$97,MATCH(X47,WORLDCUP!$AI$6:$AI$97,0))&amp;"-"&amp;INDEX(WORLDCUP!$AS$6:$AS$97,MATCH(X47,WORLDCUP!$AI$6:$AI$97,0))</f>
        <v>1-7</v>
      </c>
      <c r="X47" s="181" t="s">
        <v>695</v>
      </c>
      <c r="Y47" s="181"/>
      <c r="Z47" s="425"/>
      <c r="AA47" s="469"/>
      <c r="AB47" s="469"/>
      <c r="AC47" s="470"/>
      <c r="AD47" s="181">
        <v>96</v>
      </c>
      <c r="AE47" s="456" t="str">
        <f ca="1">+MID(INDEX(WORLDCUP!$AF$101:$AF$147,MATCH(AD47,WORLDCUP!$Z$101:$Z$147,0)),1,3)</f>
        <v>Por</v>
      </c>
      <c r="AF47" s="457">
        <f>+IF(ISBLANK(INDEX(WORLDCUP!$AD$101:$AD$147,MATCH(AD47,WORLDCUP!$Z$101:$Z$147,0))),"",INDEX(WORLDCUP!$AD$101:$AD$147,MATCH(AD47,WORLDCUP!$Z$101:$Z$147,0)))</f>
        <v>2</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1</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5" thickBot="1">
      <c r="A48" s="181">
        <v>58</v>
      </c>
      <c r="B48" s="569"/>
      <c r="C48" s="487" t="str">
        <f ca="1">+MID(INDEX(WORLDCUP!$AA$4:$AA$147,MATCH(A48,WORLDCUP!$AH$4:$AH$147,0)),1,3)</f>
        <v>Tún</v>
      </c>
      <c r="D48" s="488">
        <f>IF(ISBLANK(INDEX(WORLDCUP!$AC$4:$AC$147,MATCH(A48,WORLDCUP!$AH$4:$AH$147,0))),"",INDEX(WORLDCUP!$AC$4:$AC$147,MATCH(A48,WORLDCUP!$AH$4:$AH$147,0)))</f>
        <v>1</v>
      </c>
      <c r="E48" s="488">
        <f>IF(ISBLANK(INDEX(WORLDCUP!$AD$4:$AD$147,MATCH(A48,WORLDCUP!$AH$4:$AH$147,0))),"",INDEX(WORLDCUP!$AD$4:$AD$147,MATCH(A48,WORLDCUP!$AH$4:$AH$147,0)))</f>
        <v>2</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2</v>
      </c>
      <c r="Q48" s="488">
        <f>IF(ISBLANK(INDEX(WORLDCUP!$AD$4:$AD$147,MATCH(M48,WORLDCUP!$AH$4:$AH$147,0))),"",INDEX(WORLDCUP!$AD$4:$AD$147,MATCH(M48,WORLDCUP!$AH$4:$AH$147,0)))</f>
        <v>2</v>
      </c>
      <c r="R48" s="489" t="str">
        <f ca="1">+MID(INDEX(WORLDCUP!$AF$4:$AF$147,MATCH(M48,WORLDCUP!$AH$4:$AH$147,0)),1,3)</f>
        <v>Gha</v>
      </c>
      <c r="S48" s="490"/>
      <c r="T48" s="490"/>
      <c r="U48" s="491"/>
      <c r="V48" s="491"/>
      <c r="W48" s="492"/>
      <c r="X48" s="181"/>
      <c r="Y48" s="181">
        <v>87</v>
      </c>
      <c r="Z48" s="425" t="s">
        <v>690</v>
      </c>
      <c r="AA48" s="426" t="str">
        <f ca="1">+MID(INDEX(WORLDCUP!$AA$101:$AA$147,MATCH(Y48,WORLDCUP!$Z$101:$Z$147,0)),1,3)</f>
        <v>Por</v>
      </c>
      <c r="AB48" s="472">
        <f>+IF(ISBLANK(INDEX(WORLDCUP!$AC$101:$AC$147,MATCH(Y48,WORLDCUP!$Z$101:$Z$147,0))),"",INDEX(WORLDCUP!$AC$101:$AC$147,MATCH(Y48,WORLDCUP!$Z$101:$Z$147,0)))</f>
        <v>3</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740</v>
      </c>
      <c r="AA49" s="480" t="str">
        <f ca="1">+MID(INDEX(WORLDCUP!$AF$101:$AF$147,MATCH(Y49,WORLDCUP!$Z$101:$Z$147,0)),1,IF(WORLDCUP!$H$113&lt;144,6,3))</f>
        <v>Gha</v>
      </c>
      <c r="AB49" s="481">
        <f>+IF(ISBLANK(INDEX(WORLDCUP!$AD$101:$AD$147,MATCH(Y49,WORLDCUP!$Z$101:$Z$147,0))),"",INDEX(WORLDCUP!$AD$101:$AD$147,MATCH(Y49,WORLDCUP!$Z$101:$Z$147,0)))</f>
        <v>1</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0</v>
      </c>
      <c r="BI49" s="463">
        <f ca="1">COUNTIF(Pool!$C$130:$C$161,Fixture!BG49)-BJ49-BK49-BL49-BM49-BN49-BO49</f>
        <v>0</v>
      </c>
      <c r="BJ49" s="464">
        <f ca="1">COUNTIF(Pool!$C$182:$C$197,Fixture!BG49)-BK49-BL49-BM49-BN49-BO49</f>
        <v>1</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0</v>
      </c>
      <c r="BI50" s="463">
        <f ca="1">COUNTIF(Pool!$C$130:$C$161,Fixture!BG50)-BJ50-BK50-BL50-BM50-BN50-BO50</f>
        <v>1</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defaultColWidth="10.81640625" defaultRowHeight="14.5"/>
  <cols>
    <col min="1" max="3" width="10.81640625" style="16"/>
    <col min="4" max="4" width="17.26953125" style="16" bestFit="1" customWidth="1"/>
    <col min="5" max="6" width="10.81640625" style="16"/>
    <col min="7" max="7" width="17.26953125" style="16" bestFit="1" customWidth="1"/>
    <col min="8" max="8" width="13" style="16" customWidth="1"/>
    <col min="9" max="9" width="10.81640625" style="16"/>
    <col min="10" max="10" width="13" style="16" bestFit="1" customWidth="1"/>
    <col min="11" max="12" width="12.26953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606"/>
      <c r="D5" s="16" t="str">
        <f t="shared" ref="D5:D12" si="0">IF($B$2,G5,H5)</f>
        <v>Si quieres organizar una porra (quiniela) con tu grupo puedes descargar el archivo de adminsitrador desde el enlace de abajo</v>
      </c>
      <c r="E5" s="16" t="s">
        <v>23</v>
      </c>
      <c r="F5" s="16" t="s">
        <v>180</v>
      </c>
      <c r="G5" s="16" t="s">
        <v>1351</v>
      </c>
      <c r="H5" s="16" t="s">
        <v>1352</v>
      </c>
      <c r="K5" s="582" t="s">
        <v>1304</v>
      </c>
      <c r="L5" s="582" t="s">
        <v>1305</v>
      </c>
    </row>
    <row r="6" spans="1:12">
      <c r="B6" s="606"/>
      <c r="D6" s="16" t="str">
        <f t="shared" si="0"/>
        <v>Predictor Equipos</v>
      </c>
      <c r="E6" s="16" t="s">
        <v>23</v>
      </c>
      <c r="G6" s="582" t="s">
        <v>1302</v>
      </c>
      <c r="H6" s="582" t="s">
        <v>1303</v>
      </c>
    </row>
    <row r="7" spans="1:12">
      <c r="D7" s="16" t="str">
        <f t="shared" si="0"/>
        <v>Selecciona idioma</v>
      </c>
      <c r="E7" s="16" t="s">
        <v>23</v>
      </c>
      <c r="F7" s="16" t="s">
        <v>358</v>
      </c>
      <c r="G7" s="16" t="s">
        <v>1315</v>
      </c>
      <c r="H7" s="16" t="s">
        <v>1316</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1327</v>
      </c>
      <c r="H9" s="16" t="s">
        <v>1328</v>
      </c>
    </row>
    <row r="10" spans="1:12">
      <c r="D10" s="16" t="str">
        <f t="shared" si="0"/>
        <v>https://matejero.es/download/administrador-excel-mundial-2026/</v>
      </c>
      <c r="E10" s="16" t="s">
        <v>23</v>
      </c>
      <c r="F10" s="16" t="s">
        <v>444</v>
      </c>
      <c r="G10" s="16" t="s">
        <v>1317</v>
      </c>
      <c r="H10" s="16" t="s">
        <v>1318</v>
      </c>
    </row>
    <row r="11" spans="1:12">
      <c r="D11" s="16" t="str">
        <f>IF($B$2,G11,H11)</f>
        <v>*Versión provisional hasta que se conozcan todos los participantes en marzo 2026</v>
      </c>
      <c r="E11" s="16" t="s">
        <v>23</v>
      </c>
      <c r="G11" s="16" t="s">
        <v>1445</v>
      </c>
      <c r="H11" s="16" t="s">
        <v>1446</v>
      </c>
    </row>
    <row r="12" spans="1:12">
      <c r="D12" s="16" t="str">
        <f t="shared" si="0"/>
        <v>Donar</v>
      </c>
      <c r="E12" s="16" t="s">
        <v>23</v>
      </c>
      <c r="G12" s="16" t="s">
        <v>1322</v>
      </c>
      <c r="H12" s="16" t="s">
        <v>1321</v>
      </c>
    </row>
    <row r="14" spans="1:12">
      <c r="B14" s="606"/>
    </row>
    <row r="15" spans="1:12">
      <c r="D15" s="16" t="str">
        <f t="shared" ref="D15:D66" si="1">IF($B$2,G15,H15)</f>
        <v>Selecciona horario</v>
      </c>
      <c r="E15" s="16" t="s">
        <v>490</v>
      </c>
      <c r="F15" s="16" t="s">
        <v>118</v>
      </c>
      <c r="G15" s="16" t="s">
        <v>1314</v>
      </c>
      <c r="H15" s="16" t="s">
        <v>1313</v>
      </c>
    </row>
    <row r="16" spans="1:12">
      <c r="D16" s="16" t="str">
        <f t="shared" si="1"/>
        <v>Rellenar los cuadros grises</v>
      </c>
      <c r="E16" s="16" t="s">
        <v>490</v>
      </c>
      <c r="F16" s="16" t="s">
        <v>181</v>
      </c>
      <c r="G16" s="16" t="s">
        <v>1207</v>
      </c>
      <c r="H16" s="16" t="s">
        <v>1208</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1319</v>
      </c>
      <c r="H33" s="16" t="s">
        <v>1320</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1239</v>
      </c>
      <c r="H36" s="16" t="s">
        <v>1240</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1515</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1329</v>
      </c>
      <c r="H46" s="16" t="s">
        <v>1330</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1332</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1235</v>
      </c>
      <c r="G64" s="593" t="s">
        <v>1349</v>
      </c>
      <c r="H64" s="16" t="s">
        <v>1236</v>
      </c>
    </row>
    <row r="65" spans="3:8">
      <c r="D65" s="16" t="str">
        <f t="shared" si="1"/>
        <v>Sí</v>
      </c>
      <c r="E65" s="16" t="s">
        <v>490</v>
      </c>
      <c r="G65" s="16" t="s">
        <v>1232</v>
      </c>
      <c r="H65" s="16" t="s">
        <v>1234</v>
      </c>
    </row>
    <row r="66" spans="3:8">
      <c r="D66" s="16" t="str">
        <f t="shared" si="1"/>
        <v>No</v>
      </c>
      <c r="E66" s="16" t="s">
        <v>490</v>
      </c>
      <c r="G66" s="16" t="s">
        <v>1233</v>
      </c>
      <c r="H66" s="16" t="s">
        <v>1233</v>
      </c>
    </row>
    <row r="67" spans="3:8">
      <c r="D67" s="16" t="str">
        <f t="shared" ref="D67:D76" si="2">IF($B$2,G67,H67)</f>
        <v>Puntos penalizados</v>
      </c>
      <c r="E67" s="16" t="s">
        <v>490</v>
      </c>
      <c r="G67" s="582" t="s">
        <v>1237</v>
      </c>
      <c r="H67" s="582" t="s">
        <v>1238</v>
      </c>
    </row>
    <row r="68" spans="3:8">
      <c r="D68" s="16" t="str">
        <f t="shared" si="2"/>
        <v xml:space="preserve">Grupos mejores 3ºs: </v>
      </c>
      <c r="E68" s="16" t="s">
        <v>490</v>
      </c>
      <c r="G68" s="582" t="s">
        <v>1346</v>
      </c>
      <c r="H68" s="582" t="s">
        <v>1345</v>
      </c>
    </row>
    <row r="69" spans="3:8">
      <c r="D69" s="16" t="str">
        <f t="shared" si="2"/>
        <v>La clasificación de los mejores terceros aparece al final de la J1</v>
      </c>
      <c r="E69" s="16" t="s">
        <v>490</v>
      </c>
      <c r="G69" s="16" t="s">
        <v>1372</v>
      </c>
      <c r="H69" s="16" t="s">
        <v>1373</v>
      </c>
    </row>
    <row r="70" spans="3:8">
      <c r="D70" s="16" t="str">
        <f t="shared" si="2"/>
        <v>Sí</v>
      </c>
      <c r="E70" s="16" t="s">
        <v>490</v>
      </c>
      <c r="G70" s="16" t="s">
        <v>1232</v>
      </c>
      <c r="H70" s="16" t="s">
        <v>1234</v>
      </c>
    </row>
    <row r="71" spans="3:8">
      <c r="D71" s="16" t="str">
        <f t="shared" si="2"/>
        <v>No</v>
      </c>
      <c r="E71" s="16" t="s">
        <v>490</v>
      </c>
      <c r="G71" s="16" t="s">
        <v>1233</v>
      </c>
      <c r="H71" s="16" t="s">
        <v>1233</v>
      </c>
    </row>
    <row r="72" spans="3:8">
      <c r="D72" s="16" t="str">
        <f t="shared" si="2"/>
        <v>¿Hay equipos penalizados?</v>
      </c>
      <c r="E72" s="16" t="s">
        <v>490</v>
      </c>
      <c r="G72" s="16" t="s">
        <v>1447</v>
      </c>
      <c r="H72" s="16" t="s">
        <v>1448</v>
      </c>
    </row>
    <row r="73" spans="3:8">
      <c r="C73" s="16">
        <v>1</v>
      </c>
      <c r="D73" s="16" t="str">
        <f t="shared" si="2"/>
        <v>Normal</v>
      </c>
      <c r="E73" s="16" t="s">
        <v>490</v>
      </c>
      <c r="G73" s="16" t="s">
        <v>1485</v>
      </c>
      <c r="H73" s="16" t="s">
        <v>1485</v>
      </c>
    </row>
    <row r="74" spans="3:8">
      <c r="C74" s="16">
        <v>2</v>
      </c>
      <c r="D74" s="16" t="str">
        <f t="shared" si="2"/>
        <v>No cuenta el partido contra el último</v>
      </c>
      <c r="E74" s="16" t="s">
        <v>490</v>
      </c>
      <c r="G74" s="16" t="s">
        <v>1486</v>
      </c>
      <c r="H74" s="16" t="s">
        <v>1489</v>
      </c>
    </row>
    <row r="75" spans="3:8">
      <c r="C75" s="16">
        <v>3</v>
      </c>
      <c r="D75" s="16" t="str">
        <f t="shared" si="2"/>
        <v>Media por partido</v>
      </c>
      <c r="E75" s="16" t="s">
        <v>490</v>
      </c>
      <c r="G75" s="16" t="s">
        <v>1487</v>
      </c>
      <c r="H75" s="16" t="s">
        <v>1490</v>
      </c>
    </row>
    <row r="76" spans="3:8">
      <c r="D76" s="16" t="str">
        <f t="shared" si="2"/>
        <v>Selecciona criterio:</v>
      </c>
      <c r="E76" s="16" t="s">
        <v>490</v>
      </c>
      <c r="G76" s="16" t="s">
        <v>1491</v>
      </c>
      <c r="H76" s="16" t="s">
        <v>1492</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1452</v>
      </c>
      <c r="H79" s="16" t="s">
        <v>1453</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1375</v>
      </c>
      <c r="H83" s="16" t="s">
        <v>1374</v>
      </c>
    </row>
    <row r="84" spans="4:8">
      <c r="D84" s="16" t="str">
        <f t="shared" si="3"/>
        <v>· Selecciona el idioma y la zona horaria</v>
      </c>
      <c r="E84" s="16" t="s">
        <v>220</v>
      </c>
      <c r="G84" s="16" t="s">
        <v>1420</v>
      </c>
      <c r="H84" s="16" t="s">
        <v>1432</v>
      </c>
    </row>
    <row r="85" spans="4:8">
      <c r="D85" s="16" t="str">
        <f t="shared" si="3"/>
        <v>· Si vas a participar en una porra escribe tu nombre</v>
      </c>
      <c r="E85" s="16" t="s">
        <v>220</v>
      </c>
      <c r="G85" s="16" t="s">
        <v>1421</v>
      </c>
      <c r="H85" s="16" t="s">
        <v>1434</v>
      </c>
    </row>
    <row r="86" spans="4:8">
      <c r="D86" s="16" t="str">
        <f t="shared" si="3"/>
        <v>· Si vas a organizar una porra, puedes descargar el archivo excel de administración desde aquí</v>
      </c>
      <c r="E86" s="16" t="s">
        <v>220</v>
      </c>
      <c r="G86" s="16" t="s">
        <v>1422</v>
      </c>
      <c r="H86" s="16" t="s">
        <v>1433</v>
      </c>
    </row>
    <row r="87" spans="4:8">
      <c r="D87" s="16" t="str">
        <f t="shared" si="3"/>
        <v>· Rellena los cuadros grises con los resultados de la fase de grupos para cada grupo</v>
      </c>
      <c r="E87" s="16" t="s">
        <v>220</v>
      </c>
      <c r="G87" s="16" t="s">
        <v>1423</v>
      </c>
      <c r="H87" s="16" t="s">
        <v>1435</v>
      </c>
    </row>
    <row r="88" spans="4:8">
      <c r="D88" s="16" t="str">
        <f t="shared" si="3"/>
        <v>· En caso de empate en la posición de un grupo o en los mejores terceros, puedes seleccionar el orden de los empatados</v>
      </c>
      <c r="E88" s="16" t="s">
        <v>220</v>
      </c>
      <c r="G88" s="16" t="s">
        <v>1424</v>
      </c>
      <c r="H88" s="16" t="s">
        <v>1436</v>
      </c>
    </row>
    <row r="89" spans="4:8">
      <c r="D89" s="16" t="str">
        <f t="shared" si="3"/>
        <v>· Las eliminatorias se establecen de forma automática</v>
      </c>
      <c r="E89" s="16" t="s">
        <v>220</v>
      </c>
      <c r="G89" s="16" t="s">
        <v>1425</v>
      </c>
      <c r="H89" s="16" t="s">
        <v>1437</v>
      </c>
    </row>
    <row r="90" spans="4:8">
      <c r="D90" s="16" t="str">
        <f t="shared" si="3"/>
        <v>· Rellena los resultados de las fases eliminatorias. En caso de empate, se abren dos celdas a los lados para poner el resultado de los penaltis</v>
      </c>
      <c r="E90" s="16" t="s">
        <v>220</v>
      </c>
      <c r="G90" s="16" t="s">
        <v>1426</v>
      </c>
      <c r="H90" s="16" t="s">
        <v>1438</v>
      </c>
    </row>
    <row r="91" spans="4:8">
      <c r="D91" s="16" t="str">
        <f t="shared" si="3"/>
        <v>· Si vas a participar en una porra, rellenar los mejores jugadores y los máximos goleadores</v>
      </c>
      <c r="E91" s="16" t="s">
        <v>220</v>
      </c>
      <c r="G91" s="16" t="s">
        <v>1427</v>
      </c>
      <c r="H91" s="16" t="s">
        <v>1439</v>
      </c>
    </row>
    <row r="92" spans="4:8">
      <c r="D92" s="16" t="str">
        <f t="shared" si="3"/>
        <v>· Esta hoja es independiente a los resultados introducidos en la hoja WORLDCUP y su uso es opcional</v>
      </c>
      <c r="E92" s="16" t="s">
        <v>220</v>
      </c>
      <c r="G92" s="16" t="s">
        <v>1428</v>
      </c>
      <c r="H92" s="16" t="s">
        <v>1440</v>
      </c>
    </row>
    <row r="93" spans="4:8">
      <c r="D93" s="16" t="str">
        <f t="shared" si="3"/>
        <v>· Las instrucciones de uso de esta hoja se encuentran en la misma hoja</v>
      </c>
      <c r="E93" s="16" t="s">
        <v>220</v>
      </c>
      <c r="G93" s="16" t="s">
        <v>1429</v>
      </c>
      <c r="H93" s="16" t="s">
        <v>1441</v>
      </c>
    </row>
    <row r="94" spans="4:8">
      <c r="D94" s="16" t="str">
        <f t="shared" si="3"/>
        <v>· En esta hoja no hay que escribir nada</v>
      </c>
      <c r="E94" s="16" t="s">
        <v>220</v>
      </c>
      <c r="G94" s="16" t="s">
        <v>1430</v>
      </c>
      <c r="H94" s="16" t="s">
        <v>1442</v>
      </c>
    </row>
    <row r="95" spans="4:8">
      <c r="D95" s="16" t="str">
        <f t="shared" si="3"/>
        <v>· Sirve para que el organizador de la porra, copie estos resultados y los pegue en el archivo de administrador</v>
      </c>
      <c r="E95" s="16" t="s">
        <v>220</v>
      </c>
      <c r="G95" s="16" t="s">
        <v>1431</v>
      </c>
      <c r="H95" s="16" t="s">
        <v>1443</v>
      </c>
    </row>
    <row r="96" spans="4:8">
      <c r="D96" s="16" t="str">
        <f t="shared" si="3"/>
        <v>· En esta hoja se muestran de un vistazo todos los resultados introducidos en la hoja WORLDCUP, en esta hoja no se rellena nada.</v>
      </c>
      <c r="E96" s="16" t="s">
        <v>220</v>
      </c>
      <c r="G96" s="16" t="s">
        <v>1450</v>
      </c>
      <c r="H96" s="16" t="s">
        <v>1444</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c r="D107" s="16" t="str">
        <f t="shared" si="4"/>
        <v>·Si haceis todo el Mundial de golpe, copiar de la C5 a la C258 y pegar valores en la plantilla de Administrador.</v>
      </c>
      <c r="E107" s="16" t="s">
        <v>443</v>
      </c>
      <c r="F107" s="16" t="s">
        <v>130</v>
      </c>
      <c r="G107" s="608" t="s">
        <v>1514</v>
      </c>
      <c r="H107" s="16" t="s">
        <v>1411</v>
      </c>
      <c r="I107" s="607"/>
      <c r="K107" s="607"/>
      <c r="L107" s="607"/>
      <c r="M107" s="607"/>
      <c r="N107" s="607"/>
      <c r="O107" s="607"/>
      <c r="P107" s="607"/>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1412</v>
      </c>
      <c r="H108" s="16" t="s">
        <v>1413</v>
      </c>
    </row>
    <row r="109" spans="4:16" ht="15" customHeight="1">
      <c r="D109" s="16" t="str">
        <f t="shared" si="4"/>
        <v>·Si haceis jornada a jornada seguir las instrucciones de cada jornada</v>
      </c>
      <c r="E109" s="16" t="s">
        <v>443</v>
      </c>
      <c r="F109" s="16" t="s">
        <v>253</v>
      </c>
      <c r="G109" s="16" t="s">
        <v>134</v>
      </c>
      <c r="H109" s="16" t="s">
        <v>283</v>
      </c>
      <c r="I109" s="609"/>
      <c r="K109" s="609"/>
      <c r="L109" s="609"/>
    </row>
    <row r="110" spans="4:16">
      <c r="D110" s="16" t="str">
        <f t="shared" si="4"/>
        <v>·Para la primera jornada copiar de la C5 a la C29 y pega valores en la plantilla de administrador. ¡OJO! COPIAR TAMBIÉN de la C253 a la C258.</v>
      </c>
      <c r="E110" s="16" t="s">
        <v>443</v>
      </c>
      <c r="F110" s="16" t="s">
        <v>254</v>
      </c>
      <c r="G110" s="16" t="s">
        <v>1414</v>
      </c>
      <c r="H110" s="16" t="s">
        <v>1415</v>
      </c>
    </row>
    <row r="111" spans="4:16">
      <c r="D111" s="16" t="str">
        <f t="shared" si="4"/>
        <v>·Para la segunda jornada copiar de la C30 a la C53 y pega valores en la plantilla de administrador.</v>
      </c>
      <c r="E111" s="16" t="s">
        <v>443</v>
      </c>
      <c r="F111" s="16" t="s">
        <v>255</v>
      </c>
      <c r="G111" s="16" t="s">
        <v>1359</v>
      </c>
      <c r="H111" s="16" t="s">
        <v>1361</v>
      </c>
    </row>
    <row r="112" spans="4:16">
      <c r="D112" s="16" t="str">
        <f t="shared" si="4"/>
        <v>·Para la tercera jornada copiar de la C54 a la C161 y pega valores en la plantilla de administrador.</v>
      </c>
      <c r="E112" s="16" t="s">
        <v>443</v>
      </c>
      <c r="F112" s="16" t="s">
        <v>256</v>
      </c>
      <c r="G112" s="16" t="s">
        <v>1360</v>
      </c>
      <c r="H112" s="16" t="s">
        <v>1362</v>
      </c>
    </row>
    <row r="113" spans="4:9">
      <c r="D113" s="16" t="str">
        <f t="shared" si="4"/>
        <v>·Si haceis todas las eliminatorias de golpe, copiar de la C164 a la C252 y pegar valores en la plantilla de Administrador.</v>
      </c>
      <c r="E113" s="16" t="s">
        <v>443</v>
      </c>
      <c r="F113" s="16" t="s">
        <v>257</v>
      </c>
      <c r="G113" s="16" t="s">
        <v>588</v>
      </c>
      <c r="H113" s="16" t="s">
        <v>1363</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1364</v>
      </c>
      <c r="H115" s="16" t="s">
        <v>583</v>
      </c>
    </row>
    <row r="116" spans="4:9">
      <c r="D116" s="16" t="str">
        <f t="shared" si="4"/>
        <v>·Para los octavos de final copiar de la C200 a la C217 y pega valores en la plantilla de administrador.</v>
      </c>
      <c r="E116" s="16" t="s">
        <v>443</v>
      </c>
      <c r="F116" s="16" t="s">
        <v>260</v>
      </c>
      <c r="G116" s="16" t="s">
        <v>1365</v>
      </c>
      <c r="H116" s="16" t="s">
        <v>585</v>
      </c>
    </row>
    <row r="117" spans="4:9">
      <c r="D117" s="16" t="str">
        <f t="shared" si="4"/>
        <v>·Para los cuartos de final copiar de la C220 a la C229 y pega valores en la plantilla de administrador.</v>
      </c>
      <c r="E117" s="16" t="s">
        <v>443</v>
      </c>
      <c r="G117" s="16" t="s">
        <v>1366</v>
      </c>
      <c r="H117" s="16" t="s">
        <v>584</v>
      </c>
    </row>
    <row r="118" spans="4:9">
      <c r="D118" s="16" t="str">
        <f t="shared" si="4"/>
        <v>·Para las semifinales copiar de la C232 a la C241 y pega valores en la plantilla de administrador.</v>
      </c>
      <c r="E118" s="16" t="s">
        <v>443</v>
      </c>
      <c r="F118" s="16" t="s">
        <v>261</v>
      </c>
      <c r="G118" s="16" t="s">
        <v>1367</v>
      </c>
      <c r="H118" s="16" t="s">
        <v>586</v>
      </c>
    </row>
    <row r="119" spans="4:9">
      <c r="D119" s="16" t="str">
        <f t="shared" si="4"/>
        <v>·Para el 3º y 4º puesto y la Final copiar de la C244 a la C252 y pega valores en la plantilla de administrador.</v>
      </c>
      <c r="E119" s="16" t="s">
        <v>443</v>
      </c>
      <c r="F119" s="16" t="s">
        <v>262</v>
      </c>
      <c r="G119" s="16" t="s">
        <v>1368</v>
      </c>
      <c r="H119" s="16" t="s">
        <v>587</v>
      </c>
    </row>
    <row r="120" spans="4:9">
      <c r="D120" s="16" t="str">
        <f t="shared" si="4"/>
        <v>·Al inicio de la competición si se hace por fases copiar de la C253 a la C258 y pegarla al final del jugador en el archivo de administrador.</v>
      </c>
      <c r="E120" s="16" t="s">
        <v>443</v>
      </c>
      <c r="F120" s="16" t="s">
        <v>263</v>
      </c>
      <c r="G120" s="16" t="s">
        <v>1416</v>
      </c>
      <c r="H120" s="16" t="s">
        <v>1417</v>
      </c>
    </row>
    <row r="121" spans="4:9">
      <c r="D121" s="16" t="str">
        <f t="shared" si="4"/>
        <v>·Copiar de la C261 a la C258 y pegar valores en el administrador donde el Predictor</v>
      </c>
      <c r="E121" s="16" t="s">
        <v>443</v>
      </c>
      <c r="G121" s="582" t="s">
        <v>1418</v>
      </c>
      <c r="H121" s="582" t="s">
        <v>1419</v>
      </c>
    </row>
    <row r="122" spans="4:9">
      <c r="D122" s="16" t="str">
        <f t="shared" si="4"/>
        <v>J1</v>
      </c>
      <c r="E122" s="16" t="s">
        <v>443</v>
      </c>
      <c r="F122" s="16" t="s">
        <v>264</v>
      </c>
      <c r="G122" s="16" t="s">
        <v>28</v>
      </c>
      <c r="H122" s="16" t="s">
        <v>285</v>
      </c>
      <c r="I122" s="582"/>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574</v>
      </c>
      <c r="H127" s="16" t="s">
        <v>575</v>
      </c>
    </row>
    <row r="128" spans="4:9">
      <c r="D128" s="16" t="str">
        <f t="shared" si="4"/>
        <v>ENFRENTAMIENTOS DIECISEISAVOS</v>
      </c>
      <c r="E128" s="16" t="s">
        <v>443</v>
      </c>
      <c r="F128" s="16" t="s">
        <v>270</v>
      </c>
      <c r="G128" s="16" t="s">
        <v>578</v>
      </c>
      <c r="H128" s="16" t="s">
        <v>579</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580</v>
      </c>
      <c r="H135" s="16" t="s">
        <v>581</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526</v>
      </c>
      <c r="H164" s="9" t="s">
        <v>530</v>
      </c>
    </row>
    <row r="165" spans="4:8">
      <c r="D165" s="16" t="str">
        <f t="shared" si="6"/>
        <v>2º GRUPO G</v>
      </c>
      <c r="E165" s="16" t="s">
        <v>443</v>
      </c>
      <c r="G165" s="16" t="s">
        <v>527</v>
      </c>
      <c r="H165" s="9" t="s">
        <v>531</v>
      </c>
    </row>
    <row r="166" spans="4:8">
      <c r="D166" s="16" t="str">
        <f t="shared" si="6"/>
        <v>3º GRUPO G</v>
      </c>
      <c r="E166" s="16" t="s">
        <v>443</v>
      </c>
      <c r="G166" s="16" t="s">
        <v>528</v>
      </c>
      <c r="H166" s="9" t="s">
        <v>532</v>
      </c>
    </row>
    <row r="167" spans="4:8">
      <c r="D167" s="16" t="str">
        <f t="shared" si="6"/>
        <v>4º GRUPO G</v>
      </c>
      <c r="E167" s="16" t="s">
        <v>443</v>
      </c>
      <c r="G167" s="16" t="s">
        <v>529</v>
      </c>
      <c r="H167" s="9" t="s">
        <v>533</v>
      </c>
    </row>
    <row r="168" spans="4:8">
      <c r="D168" s="16" t="str">
        <f t="shared" si="6"/>
        <v>1º GRUPO H</v>
      </c>
      <c r="E168" s="16" t="s">
        <v>443</v>
      </c>
      <c r="G168" s="16" t="s">
        <v>534</v>
      </c>
      <c r="H168" s="9" t="s">
        <v>538</v>
      </c>
    </row>
    <row r="169" spans="4:8">
      <c r="D169" s="16" t="str">
        <f t="shared" si="6"/>
        <v>2º GRUPO H</v>
      </c>
      <c r="E169" s="16" t="s">
        <v>443</v>
      </c>
      <c r="G169" s="16" t="s">
        <v>535</v>
      </c>
      <c r="H169" s="9" t="s">
        <v>539</v>
      </c>
    </row>
    <row r="170" spans="4:8">
      <c r="D170" s="16" t="str">
        <f t="shared" si="6"/>
        <v>3º GRUPO H</v>
      </c>
      <c r="E170" s="16" t="s">
        <v>443</v>
      </c>
      <c r="G170" s="16" t="s">
        <v>536</v>
      </c>
      <c r="H170" s="9" t="s">
        <v>540</v>
      </c>
    </row>
    <row r="171" spans="4:8">
      <c r="D171" s="16" t="str">
        <f t="shared" si="6"/>
        <v>4º GRUPO H</v>
      </c>
      <c r="E171" s="16" t="s">
        <v>443</v>
      </c>
      <c r="G171" s="16" t="s">
        <v>537</v>
      </c>
      <c r="H171" s="9" t="s">
        <v>541</v>
      </c>
    </row>
    <row r="172" spans="4:8">
      <c r="D172" s="16" t="str">
        <f t="shared" si="6"/>
        <v>1º GRUPO I</v>
      </c>
      <c r="E172" s="16" t="s">
        <v>443</v>
      </c>
      <c r="G172" s="16" t="s">
        <v>542</v>
      </c>
      <c r="H172" s="9" t="s">
        <v>546</v>
      </c>
    </row>
    <row r="173" spans="4:8">
      <c r="D173" s="16" t="str">
        <f t="shared" si="6"/>
        <v>2º GRUPO I</v>
      </c>
      <c r="E173" s="16" t="s">
        <v>443</v>
      </c>
      <c r="G173" s="16" t="s">
        <v>543</v>
      </c>
      <c r="H173" s="9" t="s">
        <v>547</v>
      </c>
    </row>
    <row r="174" spans="4:8">
      <c r="D174" s="16" t="str">
        <f t="shared" si="6"/>
        <v>3º GRUPO I</v>
      </c>
      <c r="E174" s="16" t="s">
        <v>443</v>
      </c>
      <c r="G174" s="16" t="s">
        <v>544</v>
      </c>
      <c r="H174" s="9" t="s">
        <v>548</v>
      </c>
    </row>
    <row r="175" spans="4:8">
      <c r="D175" s="16" t="str">
        <f t="shared" si="6"/>
        <v>4º GRUPO I</v>
      </c>
      <c r="E175" s="16" t="s">
        <v>443</v>
      </c>
      <c r="G175" s="16" t="s">
        <v>545</v>
      </c>
      <c r="H175" s="9" t="s">
        <v>549</v>
      </c>
    </row>
    <row r="176" spans="4:8">
      <c r="D176" s="16" t="str">
        <f t="shared" si="6"/>
        <v>1º GRUPO J</v>
      </c>
      <c r="E176" s="16" t="s">
        <v>443</v>
      </c>
      <c r="G176" s="16" t="s">
        <v>550</v>
      </c>
      <c r="H176" s="9" t="s">
        <v>554</v>
      </c>
    </row>
    <row r="177" spans="4:8">
      <c r="D177" s="16" t="str">
        <f t="shared" si="6"/>
        <v>2º GRUPO J</v>
      </c>
      <c r="E177" s="16" t="s">
        <v>443</v>
      </c>
      <c r="G177" s="16" t="s">
        <v>551</v>
      </c>
      <c r="H177" s="9" t="s">
        <v>555</v>
      </c>
    </row>
    <row r="178" spans="4:8">
      <c r="D178" s="16" t="str">
        <f t="shared" si="6"/>
        <v>3º GRUPO J</v>
      </c>
      <c r="E178" s="16" t="s">
        <v>443</v>
      </c>
      <c r="G178" s="16" t="s">
        <v>552</v>
      </c>
      <c r="H178" s="9" t="s">
        <v>556</v>
      </c>
    </row>
    <row r="179" spans="4:8">
      <c r="D179" s="16" t="str">
        <f t="shared" si="6"/>
        <v>4º GRUPO J</v>
      </c>
      <c r="E179" s="16" t="s">
        <v>443</v>
      </c>
      <c r="G179" s="16" t="s">
        <v>553</v>
      </c>
      <c r="H179" s="9" t="s">
        <v>557</v>
      </c>
    </row>
    <row r="180" spans="4:8">
      <c r="D180" s="16" t="str">
        <f t="shared" si="6"/>
        <v>1º GRUPO K</v>
      </c>
      <c r="E180" s="16" t="s">
        <v>443</v>
      </c>
      <c r="G180" s="16" t="s">
        <v>558</v>
      </c>
      <c r="H180" s="9" t="s">
        <v>562</v>
      </c>
    </row>
    <row r="181" spans="4:8">
      <c r="D181" s="16" t="str">
        <f t="shared" si="6"/>
        <v>2º GRUPO K</v>
      </c>
      <c r="E181" s="16" t="s">
        <v>443</v>
      </c>
      <c r="G181" s="16" t="s">
        <v>559</v>
      </c>
      <c r="H181" s="9" t="s">
        <v>563</v>
      </c>
    </row>
    <row r="182" spans="4:8">
      <c r="D182" s="16" t="str">
        <f t="shared" si="6"/>
        <v>3º GRUPO K</v>
      </c>
      <c r="E182" s="16" t="s">
        <v>443</v>
      </c>
      <c r="G182" s="16" t="s">
        <v>560</v>
      </c>
      <c r="H182" s="9" t="s">
        <v>564</v>
      </c>
    </row>
    <row r="183" spans="4:8">
      <c r="D183" s="16" t="str">
        <f t="shared" si="6"/>
        <v>4º GRUPO K</v>
      </c>
      <c r="E183" s="16" t="s">
        <v>443</v>
      </c>
      <c r="G183" s="16" t="s">
        <v>561</v>
      </c>
      <c r="H183" s="9" t="s">
        <v>565</v>
      </c>
    </row>
    <row r="184" spans="4:8">
      <c r="D184" s="16" t="str">
        <f t="shared" si="6"/>
        <v>1º GRUPO L</v>
      </c>
      <c r="E184" s="16" t="s">
        <v>443</v>
      </c>
      <c r="G184" s="16" t="s">
        <v>566</v>
      </c>
      <c r="H184" s="9" t="s">
        <v>570</v>
      </c>
    </row>
    <row r="185" spans="4:8">
      <c r="D185" s="16" t="str">
        <f t="shared" si="6"/>
        <v>2º GRUPO L</v>
      </c>
      <c r="E185" s="16" t="s">
        <v>443</v>
      </c>
      <c r="G185" s="16" t="s">
        <v>567</v>
      </c>
      <c r="H185" s="9" t="s">
        <v>571</v>
      </c>
    </row>
    <row r="186" spans="4:8">
      <c r="D186" s="16" t="str">
        <f t="shared" si="6"/>
        <v>3º GRUPO L</v>
      </c>
      <c r="E186" s="16" t="s">
        <v>443</v>
      </c>
      <c r="G186" s="16" t="s">
        <v>568</v>
      </c>
      <c r="H186" s="9" t="s">
        <v>572</v>
      </c>
    </row>
    <row r="187" spans="4:8">
      <c r="D187" s="16" t="str">
        <f t="shared" si="6"/>
        <v>4º GRUPO L</v>
      </c>
      <c r="E187" s="16" t="s">
        <v>443</v>
      </c>
      <c r="G187" s="16" t="s">
        <v>569</v>
      </c>
      <c r="H187" s="9" t="s">
        <v>573</v>
      </c>
    </row>
    <row r="188" spans="4:8">
      <c r="D188" s="16" t="str">
        <f t="shared" si="4"/>
        <v>Dieciseisavofinalista</v>
      </c>
      <c r="E188" s="16" t="s">
        <v>443</v>
      </c>
      <c r="F188" s="16" t="s">
        <v>439</v>
      </c>
      <c r="G188" s="16" t="s">
        <v>576</v>
      </c>
      <c r="H188" s="9" t="s">
        <v>577</v>
      </c>
    </row>
    <row r="189" spans="4:8">
      <c r="D189" s="16" t="str">
        <f t="shared" si="4"/>
        <v>Octavofinalista</v>
      </c>
      <c r="E189" s="16" t="s">
        <v>443</v>
      </c>
      <c r="G189" s="16" t="s">
        <v>1301</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606"/>
      <c r="K197" s="594"/>
    </row>
    <row r="199" spans="2:11">
      <c r="J199" s="606"/>
    </row>
    <row r="201" spans="2:11">
      <c r="C201" s="16" t="s">
        <v>1456</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1457</v>
      </c>
      <c r="D252" s="16" t="str">
        <f t="shared" ref="D252" si="8">IF($B$2,G252,H252)</f>
        <v>Estados Unidos</v>
      </c>
      <c r="E252" s="16" t="s">
        <v>384</v>
      </c>
      <c r="F252" s="16" t="s">
        <v>385</v>
      </c>
      <c r="G252" s="16" t="s">
        <v>507</v>
      </c>
      <c r="H252" s="16" t="s">
        <v>508</v>
      </c>
    </row>
    <row r="255" spans="2:8">
      <c r="D255" s="16" t="str">
        <f t="shared" ref="D255:D270" si="9">IF($B$2,G255,H255)</f>
        <v>Campeón</v>
      </c>
      <c r="E255" s="16" t="s">
        <v>1247</v>
      </c>
      <c r="G255" s="16" t="s">
        <v>19</v>
      </c>
      <c r="H255" s="582" t="s">
        <v>229</v>
      </c>
    </row>
    <row r="256" spans="2:8">
      <c r="D256" s="16" t="str">
        <f t="shared" si="9"/>
        <v>Subcampeón</v>
      </c>
      <c r="E256" s="16" t="s">
        <v>1247</v>
      </c>
      <c r="G256" s="16" t="s">
        <v>20</v>
      </c>
      <c r="H256" s="16" t="s">
        <v>230</v>
      </c>
    </row>
    <row r="257" spans="4:8">
      <c r="D257" s="16" t="str">
        <f t="shared" si="9"/>
        <v>3º puesto</v>
      </c>
      <c r="E257" s="16" t="s">
        <v>1247</v>
      </c>
      <c r="G257" s="16" t="s">
        <v>1239</v>
      </c>
      <c r="H257" s="16" t="s">
        <v>1240</v>
      </c>
    </row>
    <row r="258" spans="4:8">
      <c r="D258" s="16" t="str">
        <f t="shared" si="9"/>
        <v>Semifinales</v>
      </c>
      <c r="E258" s="16" t="s">
        <v>1247</v>
      </c>
      <c r="G258" s="16" t="s">
        <v>38</v>
      </c>
      <c r="H258" s="582" t="s">
        <v>227</v>
      </c>
    </row>
    <row r="259" spans="4:8">
      <c r="D259" s="16" t="str">
        <f t="shared" si="9"/>
        <v>Cuartos de final</v>
      </c>
      <c r="E259" s="16" t="s">
        <v>1247</v>
      </c>
      <c r="G259" s="16" t="s">
        <v>71</v>
      </c>
      <c r="H259" s="582" t="s">
        <v>226</v>
      </c>
    </row>
    <row r="260" spans="4:8">
      <c r="D260" s="16" t="str">
        <f t="shared" si="9"/>
        <v>Octavos de final</v>
      </c>
      <c r="E260" s="16" t="s">
        <v>1247</v>
      </c>
      <c r="G260" s="16" t="s">
        <v>88</v>
      </c>
      <c r="H260" s="582" t="s">
        <v>225</v>
      </c>
    </row>
    <row r="261" spans="4:8">
      <c r="D261" s="16" t="str">
        <f t="shared" si="9"/>
        <v>Dieciseisavos de final</v>
      </c>
      <c r="E261" s="16" t="s">
        <v>1247</v>
      </c>
      <c r="G261" s="16" t="s">
        <v>491</v>
      </c>
      <c r="H261" s="16" t="s">
        <v>492</v>
      </c>
    </row>
    <row r="262" spans="4:8">
      <c r="D262" s="16" t="str">
        <f t="shared" si="9"/>
        <v>Fase de grupos</v>
      </c>
      <c r="E262" s="16" t="s">
        <v>1247</v>
      </c>
      <c r="G262" s="16" t="s">
        <v>1248</v>
      </c>
      <c r="H262" s="582" t="s">
        <v>1249</v>
      </c>
    </row>
    <row r="263" spans="4:8">
      <c r="D263" s="16" t="str">
        <f t="shared" si="9"/>
        <v>Pronóstica la ronda</v>
      </c>
      <c r="E263" s="16" t="s">
        <v>1247</v>
      </c>
      <c r="G263" s="582" t="s">
        <v>1241</v>
      </c>
      <c r="H263" s="582" t="s">
        <v>1242</v>
      </c>
    </row>
    <row r="264" spans="4:8">
      <c r="D264" s="16" t="str">
        <f t="shared" si="9"/>
        <v>Predice la selección</v>
      </c>
      <c r="E264" s="16" t="s">
        <v>1247</v>
      </c>
      <c r="G264" s="582" t="s">
        <v>1250</v>
      </c>
      <c r="H264" s="582" t="s">
        <v>1251</v>
      </c>
    </row>
    <row r="265" spans="4:8">
      <c r="D265" s="16" t="str">
        <f t="shared" si="9"/>
        <v>Ronda</v>
      </c>
      <c r="E265" s="16" t="s">
        <v>1247</v>
      </c>
      <c r="G265" s="582" t="s">
        <v>1243</v>
      </c>
      <c r="H265" s="582" t="s">
        <v>1244</v>
      </c>
    </row>
    <row r="266" spans="4:8">
      <c r="D266" s="16" t="str">
        <f t="shared" si="9"/>
        <v>·Selecciona para cada ronda el la selección o selecciones que crees que van a llegar hasta esa ronda.</v>
      </c>
      <c r="E266" s="16" t="s">
        <v>1247</v>
      </c>
      <c r="G266" s="16" t="s">
        <v>1252</v>
      </c>
      <c r="H266" s="582" t="s">
        <v>1258</v>
      </c>
    </row>
    <row r="267" spans="4:8">
      <c r="D267" s="16" t="str">
        <f t="shared" si="9"/>
        <v>·Una vez elijas una selección, dejará de aparecer en la lista</v>
      </c>
      <c r="E267" s="16" t="s">
        <v>1247</v>
      </c>
      <c r="G267" s="16" t="s">
        <v>1259</v>
      </c>
      <c r="H267" s="582" t="s">
        <v>1257</v>
      </c>
    </row>
    <row r="268" spans="4:8">
      <c r="D268" s="16" t="str">
        <f t="shared" si="9"/>
        <v xml:space="preserve">·Si has rellenado todos y quieres hacer un cambio, </v>
      </c>
      <c r="E268" s="16" t="s">
        <v>1247</v>
      </c>
      <c r="G268" s="16" t="s">
        <v>1245</v>
      </c>
      <c r="H268" s="582" t="s">
        <v>1246</v>
      </c>
    </row>
    <row r="269" spans="4:8">
      <c r="D269" s="16" t="str">
        <f t="shared" si="9"/>
        <v xml:space="preserve"> borra las selecciones que quieras cambiar y podrás volver a elegirlas</v>
      </c>
      <c r="E269" s="16" t="s">
        <v>1247</v>
      </c>
      <c r="G269" s="16" t="s">
        <v>1253</v>
      </c>
      <c r="H269" s="582" t="s">
        <v>1256</v>
      </c>
    </row>
    <row r="270" spans="4:8">
      <c r="D270" s="16" t="str">
        <f t="shared" si="9"/>
        <v>Rellenar antes del comienzo del Mundial</v>
      </c>
      <c r="E270" s="16" t="s">
        <v>1247</v>
      </c>
      <c r="G270" s="16" t="s">
        <v>1254</v>
      </c>
      <c r="H270" s="582" t="s">
        <v>1255</v>
      </c>
    </row>
    <row r="271" spans="4:8">
      <c r="D271" s="16" t="str">
        <f t="shared" ref="D271" si="10">IF($B$2,G271,H271)</f>
        <v>·Si en tu grupo no vais a usar el predictor, puedes dejarlo sin rellenar</v>
      </c>
      <c r="E271" s="16" t="s">
        <v>1247</v>
      </c>
      <c r="G271" s="16" t="s">
        <v>1369</v>
      </c>
      <c r="H271" s="16" t="s">
        <v>1370</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1483</v>
      </c>
      <c r="H273" s="16" t="s">
        <v>1484</v>
      </c>
    </row>
    <row r="922" spans="4:4">
      <c r="D922" s="16" t="s">
        <v>1331</v>
      </c>
    </row>
    <row r="923" spans="4:4">
      <c r="D923" s="16" t="s">
        <v>1348</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408" t="s">
        <v>84</v>
      </c>
      <c r="B1" s="408" t="s">
        <v>85</v>
      </c>
      <c r="C1" s="406" t="s">
        <v>0</v>
      </c>
      <c r="D1" s="406" t="s">
        <v>1</v>
      </c>
      <c r="E1" s="406" t="s">
        <v>74</v>
      </c>
      <c r="F1" s="406" t="s">
        <v>3</v>
      </c>
      <c r="G1" s="406" t="s">
        <v>6</v>
      </c>
      <c r="H1" s="406" t="s">
        <v>448</v>
      </c>
      <c r="I1" s="406" t="s">
        <v>449</v>
      </c>
      <c r="J1" s="406" t="s">
        <v>247</v>
      </c>
      <c r="N1" s="16" t="s">
        <v>775</v>
      </c>
      <c r="O1" s="410" t="s">
        <v>1371</v>
      </c>
      <c r="P1" s="410" t="s">
        <v>656</v>
      </c>
      <c r="Q1" s="410" t="s">
        <v>659</v>
      </c>
      <c r="R1" s="410" t="s">
        <v>669</v>
      </c>
      <c r="S1" s="410" t="s">
        <v>672</v>
      </c>
      <c r="T1" s="410" t="s">
        <v>678</v>
      </c>
      <c r="U1" s="410" t="s">
        <v>684</v>
      </c>
      <c r="V1" s="410" t="s">
        <v>690</v>
      </c>
      <c r="W1" s="410" t="s">
        <v>693</v>
      </c>
    </row>
    <row r="2" spans="1:23">
      <c r="A2" s="9" t="s">
        <v>489</v>
      </c>
      <c r="B2" s="9">
        <f ca="1">+IF(A2=WORLDCUP!$BI$112,1,0)</f>
        <v>0</v>
      </c>
      <c r="C2" s="9" t="str">
        <f ca="1">+WORLDCUP!BD62</f>
        <v>Ecuador</v>
      </c>
      <c r="D2" s="9" t="str">
        <f ca="1">+WORLDCUP!BD67</f>
        <v>Austria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622</v>
      </c>
      <c r="B3" s="9">
        <f ca="1">+IF(A3=WORLDCUP!$BI$112,1,0)</f>
        <v>0</v>
      </c>
      <c r="C3" s="9" t="str">
        <f ca="1">+WORLDCUP!BD65</f>
        <v>Arabia Saudita</v>
      </c>
      <c r="D3" s="9" t="str">
        <f ca="1">+WORLDCUP!BD64</f>
        <v>Irán</v>
      </c>
      <c r="E3" s="9" t="str">
        <f ca="1">+WORLDCUP!BD66</f>
        <v>Senegal</v>
      </c>
      <c r="F3" s="9" t="str">
        <f ca="1">+WORLDCUP!BD61</f>
        <v>Paraguay</v>
      </c>
      <c r="G3" s="9" t="str">
        <f ca="1">+WORLDCUP!BD67</f>
        <v>Austria</v>
      </c>
      <c r="H3" s="9" t="str">
        <f ca="1">+WORLDCUP!BD63</f>
        <v>Suecia</v>
      </c>
      <c r="I3" s="9" t="str">
        <f ca="1">+WORLDCUP!BD69</f>
        <v>Ghana</v>
      </c>
      <c r="J3" s="9" t="str">
        <f ca="1">+WORLDCUP!BD68</f>
        <v>RD Congo</v>
      </c>
      <c r="N3" s="16" t="s">
        <v>622</v>
      </c>
      <c r="O3" s="16">
        <v>2</v>
      </c>
      <c r="P3" s="16" t="s">
        <v>446</v>
      </c>
      <c r="Q3" s="16" t="s">
        <v>445</v>
      </c>
      <c r="R3" s="16" t="s">
        <v>450</v>
      </c>
      <c r="S3" s="16" t="s">
        <v>93</v>
      </c>
      <c r="T3" s="16" t="s">
        <v>451</v>
      </c>
      <c r="U3" s="16" t="s">
        <v>95</v>
      </c>
      <c r="V3" s="16" t="s">
        <v>453</v>
      </c>
      <c r="W3" s="16" t="s">
        <v>452</v>
      </c>
    </row>
    <row r="4" spans="1:23">
      <c r="A4" s="9" t="s">
        <v>1201</v>
      </c>
      <c r="B4" s="9">
        <f ca="1">+IF(A4=WORLDCUP!$BI$112,1,0)</f>
        <v>0</v>
      </c>
      <c r="C4" s="9" t="str">
        <f ca="1">+WORLDCUP!BD62</f>
        <v>Ecuador</v>
      </c>
      <c r="D4" s="9" t="str">
        <f ca="1">+WORLDCUP!BD67</f>
        <v>Austria</v>
      </c>
      <c r="E4" s="9" t="str">
        <f ca="1">+WORLDCUP!BD66</f>
        <v>Senegal</v>
      </c>
      <c r="F4" s="9" t="str">
        <f ca="1">+WORLDCUP!BD61</f>
        <v>Paraguay</v>
      </c>
      <c r="G4" s="9" t="str">
        <f ca="1">+WORLDCUP!BD65</f>
        <v>Arabia Saudita</v>
      </c>
      <c r="H4" s="9" t="str">
        <f ca="1">+WORLDCUP!BD64</f>
        <v>Irán</v>
      </c>
      <c r="I4" s="9" t="str">
        <f ca="1">+WORLDCUP!BD69</f>
        <v>Ghana</v>
      </c>
      <c r="J4" s="9" t="str">
        <f ca="1">+WORLDCUP!BD68</f>
        <v>RD Congo</v>
      </c>
      <c r="N4" s="16" t="s">
        <v>1201</v>
      </c>
      <c r="O4" s="16">
        <v>3</v>
      </c>
      <c r="P4" s="16" t="s">
        <v>94</v>
      </c>
      <c r="Q4" s="16" t="s">
        <v>451</v>
      </c>
      <c r="R4" s="16" t="s">
        <v>450</v>
      </c>
      <c r="S4" s="16" t="s">
        <v>93</v>
      </c>
      <c r="T4" s="16" t="s">
        <v>446</v>
      </c>
      <c r="U4" s="16" t="s">
        <v>445</v>
      </c>
      <c r="V4" s="16" t="s">
        <v>453</v>
      </c>
      <c r="W4" s="16" t="s">
        <v>452</v>
      </c>
    </row>
    <row r="5" spans="1:23">
      <c r="A5" s="9" t="s">
        <v>1200</v>
      </c>
      <c r="B5" s="9">
        <f ca="1">+IF(A5=WORLDCUP!$BI$112,1,0)</f>
        <v>0</v>
      </c>
      <c r="C5" s="9" t="str">
        <f ca="1">+WORLDCUP!BD62</f>
        <v>Ecuador</v>
      </c>
      <c r="D5" s="9" t="str">
        <f ca="1">+WORLDCUP!BD67</f>
        <v>Austria</v>
      </c>
      <c r="E5" s="9" t="str">
        <f ca="1">+WORLDCUP!BD66</f>
        <v>Senegal</v>
      </c>
      <c r="F5" s="9" t="str">
        <f ca="1">+WORLDCUP!BD61</f>
        <v>Paraguay</v>
      </c>
      <c r="G5" s="9" t="str">
        <f ca="1">+WORLDCUP!BD65</f>
        <v>Arabia Saudita</v>
      </c>
      <c r="H5" s="9" t="str">
        <f ca="1">+WORLDCUP!BD63</f>
        <v>Suecia</v>
      </c>
      <c r="I5" s="9" t="str">
        <f ca="1">+WORLDCUP!BD69</f>
        <v>Ghana</v>
      </c>
      <c r="J5" s="9" t="str">
        <f ca="1">+WORLDCUP!BD68</f>
        <v>RD Congo</v>
      </c>
      <c r="N5" s="16" t="s">
        <v>1200</v>
      </c>
      <c r="O5" s="16">
        <v>4</v>
      </c>
      <c r="P5" s="16" t="s">
        <v>94</v>
      </c>
      <c r="Q5" s="16" t="s">
        <v>451</v>
      </c>
      <c r="R5" s="16" t="s">
        <v>450</v>
      </c>
      <c r="S5" s="16" t="s">
        <v>93</v>
      </c>
      <c r="T5" s="16" t="s">
        <v>446</v>
      </c>
      <c r="U5" s="16" t="s">
        <v>95</v>
      </c>
      <c r="V5" s="16" t="s">
        <v>453</v>
      </c>
      <c r="W5" s="16" t="s">
        <v>452</v>
      </c>
    </row>
    <row r="6" spans="1:23">
      <c r="A6" s="9" t="s">
        <v>1199</v>
      </c>
      <c r="B6" s="9">
        <f ca="1">+IF(A6=WORLDCUP!$BI$112,1,0)</f>
        <v>0</v>
      </c>
      <c r="C6" s="9" t="str">
        <f ca="1">+WORLDCUP!BD62</f>
        <v>Ecuador</v>
      </c>
      <c r="D6" s="9" t="str">
        <f ca="1">+WORLDCUP!BD64</f>
        <v>Irán</v>
      </c>
      <c r="E6" s="9" t="str">
        <f ca="1">+WORLDCUP!BD66</f>
        <v>Senegal</v>
      </c>
      <c r="F6" s="9" t="str">
        <f ca="1">+WORLDCUP!BD61</f>
        <v>Paraguay</v>
      </c>
      <c r="G6" s="9" t="str">
        <f ca="1">+WORLDCUP!BD67</f>
        <v>Austria</v>
      </c>
      <c r="H6" s="9" t="str">
        <f ca="1">+WORLDCUP!BD63</f>
        <v>Suecia</v>
      </c>
      <c r="I6" s="9" t="str">
        <f ca="1">+WORLDCUP!BD69</f>
        <v>Ghana</v>
      </c>
      <c r="J6" s="9" t="str">
        <f ca="1">+WORLDCUP!BD68</f>
        <v>RD Congo</v>
      </c>
      <c r="N6" s="16" t="s">
        <v>1199</v>
      </c>
      <c r="O6" s="16">
        <v>5</v>
      </c>
      <c r="P6" s="16" t="s">
        <v>94</v>
      </c>
      <c r="Q6" s="16" t="s">
        <v>445</v>
      </c>
      <c r="R6" s="16" t="s">
        <v>450</v>
      </c>
      <c r="S6" s="16" t="s">
        <v>93</v>
      </c>
      <c r="T6" s="16" t="s">
        <v>451</v>
      </c>
      <c r="U6" s="16" t="s">
        <v>95</v>
      </c>
      <c r="V6" s="16" t="s">
        <v>453</v>
      </c>
      <c r="W6" s="16" t="s">
        <v>452</v>
      </c>
    </row>
    <row r="7" spans="1:23">
      <c r="A7" s="9" t="s">
        <v>1198</v>
      </c>
      <c r="B7" s="9">
        <f ca="1">+IF(A7=WORLDCUP!$BI$112,1,0)</f>
        <v>0</v>
      </c>
      <c r="C7" s="9" t="str">
        <f ca="1">+WORLDCUP!BD62</f>
        <v>Ecuador</v>
      </c>
      <c r="D7" s="9" t="str">
        <f ca="1">+WORLDCUP!BD64</f>
        <v>Irán</v>
      </c>
      <c r="E7" s="9" t="str">
        <f ca="1">+WORLDCUP!BD67</f>
        <v>Austria</v>
      </c>
      <c r="F7" s="9" t="str">
        <f ca="1">+WORLDCUP!BD61</f>
        <v>Paraguay</v>
      </c>
      <c r="G7" s="9" t="str">
        <f ca="1">+WORLDCUP!BD65</f>
        <v>Arabia Saudita</v>
      </c>
      <c r="H7" s="9" t="str">
        <f ca="1">+WORLDCUP!BD63</f>
        <v>Suecia</v>
      </c>
      <c r="I7" s="9" t="str">
        <f ca="1">+WORLDCUP!BD69</f>
        <v>Ghana</v>
      </c>
      <c r="J7" s="9" t="str">
        <f ca="1">+WORLDCUP!BD68</f>
        <v>RD Congo</v>
      </c>
      <c r="N7" s="16" t="s">
        <v>1198</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Austria</v>
      </c>
      <c r="F9" s="9" t="str">
        <f ca="1">+WORLDCUP!BD61</f>
        <v>Paraguay</v>
      </c>
      <c r="G9" s="9" t="str">
        <f ca="1">+WORLDCUP!BD65</f>
        <v>Arabia Saudita</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Austria</v>
      </c>
      <c r="F10" s="9" t="str">
        <f ca="1">+WORLDCUP!BD61</f>
        <v>Paraguay</v>
      </c>
      <c r="G10" s="9" t="str">
        <f ca="1">+WORLDCUP!BD65</f>
        <v>Arabia Saudita</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621</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Ghana</v>
      </c>
      <c r="J11" s="9" t="str">
        <f ca="1">+WORLDCUP!BD68</f>
        <v>RD Congo</v>
      </c>
      <c r="N11" s="16" t="s">
        <v>621</v>
      </c>
      <c r="O11" s="16">
        <v>10</v>
      </c>
      <c r="P11" s="16" t="s">
        <v>446</v>
      </c>
      <c r="Q11" s="16" t="s">
        <v>445</v>
      </c>
      <c r="R11" s="16" t="s">
        <v>450</v>
      </c>
      <c r="S11" s="16" t="s">
        <v>92</v>
      </c>
      <c r="T11" s="16" t="s">
        <v>451</v>
      </c>
      <c r="U11" s="16" t="s">
        <v>95</v>
      </c>
      <c r="V11" s="16" t="s">
        <v>453</v>
      </c>
      <c r="W11" s="16" t="s">
        <v>452</v>
      </c>
    </row>
    <row r="12" spans="1:23">
      <c r="A12" s="9" t="s">
        <v>1197</v>
      </c>
      <c r="B12" s="9">
        <f ca="1">+IF(A12=WORLDCUP!$BI$112,1,0)</f>
        <v>0</v>
      </c>
      <c r="C12" s="9" t="str">
        <f ca="1">+WORLDCUP!BD62</f>
        <v>Ecuador</v>
      </c>
      <c r="D12" s="9" t="str">
        <f ca="1">+WORLDCUP!BD67</f>
        <v>Austria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1197</v>
      </c>
      <c r="O12" s="16">
        <v>11</v>
      </c>
      <c r="P12" s="16" t="s">
        <v>94</v>
      </c>
      <c r="Q12" s="16" t="s">
        <v>451</v>
      </c>
      <c r="R12" s="16" t="s">
        <v>450</v>
      </c>
      <c r="S12" s="16" t="s">
        <v>92</v>
      </c>
      <c r="T12" s="16" t="s">
        <v>446</v>
      </c>
      <c r="U12" s="16" t="s">
        <v>445</v>
      </c>
      <c r="V12" s="16" t="s">
        <v>453</v>
      </c>
      <c r="W12" s="16" t="s">
        <v>452</v>
      </c>
    </row>
    <row r="13" spans="1:23">
      <c r="A13" s="9" t="s">
        <v>1196</v>
      </c>
      <c r="B13" s="9">
        <f ca="1">+IF(A13=WORLDCUP!$BI$112,1,0)</f>
        <v>0</v>
      </c>
      <c r="C13" s="9" t="str">
        <f ca="1">+WORLDCUP!BD62</f>
        <v>Ecuador</v>
      </c>
      <c r="D13" s="9" t="str">
        <f ca="1">+WORLDCUP!BD67</f>
        <v>Austria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1196</v>
      </c>
      <c r="O13" s="16">
        <v>12</v>
      </c>
      <c r="P13" s="16" t="s">
        <v>94</v>
      </c>
      <c r="Q13" s="16" t="s">
        <v>451</v>
      </c>
      <c r="R13" s="16" t="s">
        <v>450</v>
      </c>
      <c r="S13" s="16" t="s">
        <v>92</v>
      </c>
      <c r="T13" s="16" t="s">
        <v>446</v>
      </c>
      <c r="U13" s="16" t="s">
        <v>95</v>
      </c>
      <c r="V13" s="16" t="s">
        <v>453</v>
      </c>
      <c r="W13" s="16" t="s">
        <v>452</v>
      </c>
    </row>
    <row r="14" spans="1:23">
      <c r="A14" s="9" t="s">
        <v>1195</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Ghana</v>
      </c>
      <c r="J14" s="9" t="str">
        <f ca="1">+WORLDCUP!BD68</f>
        <v>RD Congo</v>
      </c>
      <c r="N14" s="16" t="s">
        <v>1195</v>
      </c>
      <c r="O14" s="16">
        <v>13</v>
      </c>
      <c r="P14" s="16" t="s">
        <v>94</v>
      </c>
      <c r="Q14" s="16" t="s">
        <v>445</v>
      </c>
      <c r="R14" s="16" t="s">
        <v>450</v>
      </c>
      <c r="S14" s="16" t="s">
        <v>92</v>
      </c>
      <c r="T14" s="16" t="s">
        <v>451</v>
      </c>
      <c r="U14" s="16" t="s">
        <v>95</v>
      </c>
      <c r="V14" s="16" t="s">
        <v>453</v>
      </c>
      <c r="W14" s="16" t="s">
        <v>452</v>
      </c>
    </row>
    <row r="15" spans="1:23">
      <c r="A15" s="9" t="s">
        <v>1194</v>
      </c>
      <c r="B15" s="9">
        <f ca="1">+IF(A15=WORLDCUP!$BI$112,1,0)</f>
        <v>0</v>
      </c>
      <c r="C15" s="9" t="str">
        <f ca="1">+WORLDCUP!BD62</f>
        <v>Ecuador</v>
      </c>
      <c r="D15" s="9" t="str">
        <f ca="1">+WORLDCUP!BD64</f>
        <v>Irán</v>
      </c>
      <c r="E15" s="9" t="str">
        <f ca="1">+WORLDCUP!BD67</f>
        <v>Austria</v>
      </c>
      <c r="F15" s="9" t="str">
        <f ca="1">+WORLDCUP!BD60</f>
        <v>Escocia</v>
      </c>
      <c r="G15" s="9" t="str">
        <f ca="1">+WORLDCUP!BD65</f>
        <v>Arabia Saudita</v>
      </c>
      <c r="H15" s="9" t="str">
        <f ca="1">+WORLDCUP!BD63</f>
        <v>Suecia</v>
      </c>
      <c r="I15" s="9" t="str">
        <f ca="1">+WORLDCUP!BD69</f>
        <v>Ghana</v>
      </c>
      <c r="J15" s="9" t="str">
        <f ca="1">+WORLDCUP!BD68</f>
        <v>RD Congo</v>
      </c>
      <c r="N15" s="16" t="s">
        <v>1194</v>
      </c>
      <c r="O15" s="16">
        <v>14</v>
      </c>
      <c r="P15" s="16" t="s">
        <v>94</v>
      </c>
      <c r="Q15" s="16" t="s">
        <v>445</v>
      </c>
      <c r="R15" s="16" t="s">
        <v>451</v>
      </c>
      <c r="S15" s="16" t="s">
        <v>92</v>
      </c>
      <c r="T15" s="16" t="s">
        <v>446</v>
      </c>
      <c r="U15" s="16" t="s">
        <v>95</v>
      </c>
      <c r="V15" s="16" t="s">
        <v>453</v>
      </c>
      <c r="W15" s="16" t="s">
        <v>452</v>
      </c>
    </row>
    <row r="16" spans="1:23">
      <c r="A16" s="9" t="s">
        <v>620</v>
      </c>
      <c r="B16" s="9">
        <f ca="1">+IF(A16=WORLDCUP!$BI$112,1,0)</f>
        <v>0</v>
      </c>
      <c r="C16" s="9" t="str">
        <f ca="1">+WORLDCUP!BD62</f>
        <v>Ecuador</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620</v>
      </c>
      <c r="O16" s="16">
        <v>15</v>
      </c>
      <c r="P16" s="16" t="s">
        <v>94</v>
      </c>
      <c r="Q16" s="16" t="s">
        <v>445</v>
      </c>
      <c r="R16" s="16" t="s">
        <v>450</v>
      </c>
      <c r="S16" s="16" t="s">
        <v>92</v>
      </c>
      <c r="T16" s="16" t="s">
        <v>446</v>
      </c>
      <c r="U16" s="16" t="s">
        <v>95</v>
      </c>
      <c r="V16" s="16" t="s">
        <v>453</v>
      </c>
      <c r="W16" s="16" t="s">
        <v>452</v>
      </c>
    </row>
    <row r="17" spans="1:23">
      <c r="A17" s="9" t="s">
        <v>619</v>
      </c>
      <c r="B17" s="9">
        <f ca="1">+IF(A17=WORLDCUP!$BI$112,1,0)</f>
        <v>0</v>
      </c>
      <c r="C17" s="9" t="str">
        <f ca="1">+WORLDCUP!BD62</f>
        <v>Ecuador</v>
      </c>
      <c r="D17" s="9" t="str">
        <f ca="1">+WORLDCUP!BD64</f>
        <v>Irán</v>
      </c>
      <c r="E17" s="9" t="str">
        <f ca="1">+WORLDCUP!BD67</f>
        <v>Austria</v>
      </c>
      <c r="F17" s="9" t="str">
        <f ca="1">+WORLDCUP!BD60</f>
        <v>Escocia</v>
      </c>
      <c r="G17" s="9" t="str">
        <f ca="1">+WORLDCUP!BD65</f>
        <v>Arabia Saudita</v>
      </c>
      <c r="H17" s="9" t="str">
        <f ca="1">+WORLDCUP!BD63</f>
        <v>Suecia</v>
      </c>
      <c r="I17" s="9" t="str">
        <f ca="1">+WORLDCUP!BD69</f>
        <v>Ghana</v>
      </c>
      <c r="J17" s="9" t="str">
        <f ca="1">+WORLDCUP!BD66</f>
        <v>Senegal</v>
      </c>
      <c r="N17" s="16" t="s">
        <v>619</v>
      </c>
      <c r="O17" s="16">
        <v>16</v>
      </c>
      <c r="P17" s="16" t="s">
        <v>94</v>
      </c>
      <c r="Q17" s="16" t="s">
        <v>445</v>
      </c>
      <c r="R17" s="16" t="s">
        <v>451</v>
      </c>
      <c r="S17" s="16" t="s">
        <v>92</v>
      </c>
      <c r="T17" s="16" t="s">
        <v>446</v>
      </c>
      <c r="U17" s="16" t="s">
        <v>95</v>
      </c>
      <c r="V17" s="16" t="s">
        <v>453</v>
      </c>
      <c r="W17" s="16" t="s">
        <v>450</v>
      </c>
    </row>
    <row r="18" spans="1:23">
      <c r="A18" s="9" t="s">
        <v>618</v>
      </c>
      <c r="B18" s="9">
        <f ca="1">+IF(A18=WORLDCUP!$BI$112,1,0)</f>
        <v>0</v>
      </c>
      <c r="C18" s="9" t="str">
        <f ca="1">+WORLDCUP!BD62</f>
        <v>Ecuador</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618</v>
      </c>
      <c r="O18" s="16">
        <v>17</v>
      </c>
      <c r="P18" s="16" t="s">
        <v>94</v>
      </c>
      <c r="Q18" s="16" t="s">
        <v>445</v>
      </c>
      <c r="R18" s="16" t="s">
        <v>451</v>
      </c>
      <c r="S18" s="16" t="s">
        <v>92</v>
      </c>
      <c r="T18" s="16" t="s">
        <v>446</v>
      </c>
      <c r="U18" s="16" t="s">
        <v>95</v>
      </c>
      <c r="V18" s="16" t="s">
        <v>450</v>
      </c>
      <c r="W18" s="16" t="s">
        <v>452</v>
      </c>
    </row>
    <row r="19" spans="1:23">
      <c r="A19" s="9" t="s">
        <v>1193</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Paraguay</v>
      </c>
      <c r="I19" s="9" t="str">
        <f ca="1">+WORLDCUP!BD69</f>
        <v>Ghana</v>
      </c>
      <c r="J19" s="9" t="str">
        <f ca="1">+WORLDCUP!BD68</f>
        <v>RD Congo</v>
      </c>
      <c r="N19" s="16" t="s">
        <v>1193</v>
      </c>
      <c r="O19" s="16">
        <v>18</v>
      </c>
      <c r="P19" s="16" t="s">
        <v>446</v>
      </c>
      <c r="Q19" s="16" t="s">
        <v>445</v>
      </c>
      <c r="R19" s="16" t="s">
        <v>450</v>
      </c>
      <c r="S19" s="16" t="s">
        <v>92</v>
      </c>
      <c r="T19" s="16" t="s">
        <v>451</v>
      </c>
      <c r="U19" s="16" t="s">
        <v>93</v>
      </c>
      <c r="V19" s="16" t="s">
        <v>453</v>
      </c>
      <c r="W19" s="16" t="s">
        <v>452</v>
      </c>
    </row>
    <row r="20" spans="1:23">
      <c r="A20" s="9" t="s">
        <v>1192</v>
      </c>
      <c r="B20" s="9">
        <f ca="1">+IF(A20=WORLDCUP!$BI$112,1,0)</f>
        <v>0</v>
      </c>
      <c r="C20" s="9" t="str">
        <f ca="1">+WORLDCUP!BD60</f>
        <v>Escocia</v>
      </c>
      <c r="D20" s="9" t="str">
        <f ca="1">+WORLDCUP!BD67</f>
        <v>Austria</v>
      </c>
      <c r="E20" s="9" t="str">
        <f ca="1">+WORLDCUP!BD66</f>
        <v>Senegal</v>
      </c>
      <c r="F20" s="9" t="str">
        <f ca="1">+WORLDCUP!BD61</f>
        <v>Paraguay</v>
      </c>
      <c r="G20" s="9" t="str">
        <f ca="1">+WORLDCUP!BD65</f>
        <v>Arabia Saudita</v>
      </c>
      <c r="H20" s="9" t="str">
        <f ca="1">+WORLDCUP!BD63</f>
        <v>Suecia</v>
      </c>
      <c r="I20" s="9" t="str">
        <f ca="1">+WORLDCUP!BD69</f>
        <v>Ghana</v>
      </c>
      <c r="J20" s="9" t="str">
        <f ca="1">+WORLDCUP!BD68</f>
        <v>RD Congo</v>
      </c>
      <c r="N20" s="16" t="s">
        <v>1192</v>
      </c>
      <c r="O20" s="16">
        <v>19</v>
      </c>
      <c r="P20" s="16" t="s">
        <v>92</v>
      </c>
      <c r="Q20" s="16" t="s">
        <v>451</v>
      </c>
      <c r="R20" s="16" t="s">
        <v>450</v>
      </c>
      <c r="S20" s="16" t="s">
        <v>93</v>
      </c>
      <c r="T20" s="16" t="s">
        <v>446</v>
      </c>
      <c r="U20" s="16" t="s">
        <v>95</v>
      </c>
      <c r="V20" s="16" t="s">
        <v>453</v>
      </c>
      <c r="W20" s="16" t="s">
        <v>452</v>
      </c>
    </row>
    <row r="21" spans="1:23">
      <c r="A21" s="9" t="s">
        <v>1191</v>
      </c>
      <c r="B21" s="9">
        <f ca="1">+IF(A21=WORLDCUP!$BI$112,1,0)</f>
        <v>0</v>
      </c>
      <c r="C21" s="9" t="str">
        <f ca="1">+WORLDCUP!BD60</f>
        <v>Escocia</v>
      </c>
      <c r="D21" s="9" t="str">
        <f ca="1">+WORLDCUP!BD64</f>
        <v>Irán</v>
      </c>
      <c r="E21" s="9" t="str">
        <f ca="1">+WORLDCUP!BD66</f>
        <v>Senegal</v>
      </c>
      <c r="F21" s="9" t="str">
        <f ca="1">+WORLDCUP!BD61</f>
        <v>Paraguay</v>
      </c>
      <c r="G21" s="9" t="str">
        <f ca="1">+WORLDCUP!BD67</f>
        <v>Austria</v>
      </c>
      <c r="H21" s="9" t="str">
        <f ca="1">+WORLDCUP!BD63</f>
        <v>Suecia</v>
      </c>
      <c r="I21" s="9" t="str">
        <f ca="1">+WORLDCUP!BD69</f>
        <v>Ghana</v>
      </c>
      <c r="J21" s="9" t="str">
        <f ca="1">+WORLDCUP!BD68</f>
        <v>RD Congo</v>
      </c>
      <c r="N21" s="16" t="s">
        <v>1191</v>
      </c>
      <c r="O21" s="16">
        <v>20</v>
      </c>
      <c r="P21" s="16" t="s">
        <v>92</v>
      </c>
      <c r="Q21" s="16" t="s">
        <v>445</v>
      </c>
      <c r="R21" s="16" t="s">
        <v>450</v>
      </c>
      <c r="S21" s="16" t="s">
        <v>93</v>
      </c>
      <c r="T21" s="16" t="s">
        <v>451</v>
      </c>
      <c r="U21" s="16" t="s">
        <v>95</v>
      </c>
      <c r="V21" s="16" t="s">
        <v>453</v>
      </c>
      <c r="W21" s="16" t="s">
        <v>452</v>
      </c>
    </row>
    <row r="22" spans="1:23">
      <c r="A22" s="9" t="s">
        <v>1190</v>
      </c>
      <c r="B22" s="9">
        <f ca="1">+IF(A22=WORLDCUP!$BI$112,1,0)</f>
        <v>0</v>
      </c>
      <c r="C22" s="9" t="str">
        <f ca="1">+WORLDCUP!BD60</f>
        <v>Escocia</v>
      </c>
      <c r="D22" s="9" t="str">
        <f ca="1">+WORLDCUP!BD64</f>
        <v>Irán</v>
      </c>
      <c r="E22" s="9" t="str">
        <f ca="1">+WORLDCUP!BD67</f>
        <v>Austria</v>
      </c>
      <c r="F22" s="9" t="str">
        <f ca="1">+WORLDCUP!BD61</f>
        <v>Paraguay</v>
      </c>
      <c r="G22" s="9" t="str">
        <f ca="1">+WORLDCUP!BD65</f>
        <v>Arabia Saudita</v>
      </c>
      <c r="H22" s="9" t="str">
        <f ca="1">+WORLDCUP!BD63</f>
        <v>Suecia</v>
      </c>
      <c r="I22" s="9" t="str">
        <f ca="1">+WORLDCUP!BD69</f>
        <v>Ghana</v>
      </c>
      <c r="J22" s="9" t="str">
        <f ca="1">+WORLDCUP!BD68</f>
        <v>RD Congo</v>
      </c>
      <c r="N22" s="16" t="s">
        <v>1190</v>
      </c>
      <c r="O22" s="16">
        <v>21</v>
      </c>
      <c r="P22" s="16" t="s">
        <v>92</v>
      </c>
      <c r="Q22" s="16" t="s">
        <v>445</v>
      </c>
      <c r="R22" s="16" t="s">
        <v>451</v>
      </c>
      <c r="S22" s="16" t="s">
        <v>93</v>
      </c>
      <c r="T22" s="16" t="s">
        <v>446</v>
      </c>
      <c r="U22" s="16" t="s">
        <v>95</v>
      </c>
      <c r="V22" s="16" t="s">
        <v>453</v>
      </c>
      <c r="W22" s="16" t="s">
        <v>452</v>
      </c>
    </row>
    <row r="23" spans="1:23">
      <c r="A23" s="9" t="s">
        <v>1189</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RD Congo</v>
      </c>
      <c r="N23" s="16" t="s">
        <v>1189</v>
      </c>
      <c r="O23" s="16">
        <v>22</v>
      </c>
      <c r="P23" s="16" t="s">
        <v>92</v>
      </c>
      <c r="Q23" s="16" t="s">
        <v>445</v>
      </c>
      <c r="R23" s="16" t="s">
        <v>450</v>
      </c>
      <c r="S23" s="16" t="s">
        <v>93</v>
      </c>
      <c r="T23" s="16" t="s">
        <v>446</v>
      </c>
      <c r="U23" s="16" t="s">
        <v>95</v>
      </c>
      <c r="V23" s="16" t="s">
        <v>453</v>
      </c>
      <c r="W23" s="16" t="s">
        <v>452</v>
      </c>
    </row>
    <row r="24" spans="1:23">
      <c r="A24" s="9" t="s">
        <v>1188</v>
      </c>
      <c r="B24" s="9">
        <f ca="1">+IF(A24=WORLDCUP!$BI$112,1,0)</f>
        <v>0</v>
      </c>
      <c r="C24" s="9" t="str">
        <f ca="1">+WORLDCUP!BD60</f>
        <v>Escocia</v>
      </c>
      <c r="D24" s="9" t="str">
        <f ca="1">+WORLDCUP!BD64</f>
        <v>Irán</v>
      </c>
      <c r="E24" s="9" t="str">
        <f ca="1">+WORLDCUP!BD67</f>
        <v>Austria</v>
      </c>
      <c r="F24" s="9" t="str">
        <f ca="1">+WORLDCUP!BD61</f>
        <v>Paraguay</v>
      </c>
      <c r="G24" s="9" t="str">
        <f ca="1">+WORLDCUP!BD65</f>
        <v>Arabia Saudita</v>
      </c>
      <c r="H24" s="9" t="str">
        <f ca="1">+WORLDCUP!BD63</f>
        <v>Suecia</v>
      </c>
      <c r="I24" s="9" t="str">
        <f ca="1">+WORLDCUP!BD69</f>
        <v>Ghana</v>
      </c>
      <c r="J24" s="9" t="str">
        <f ca="1">+WORLDCUP!BD66</f>
        <v>Senegal</v>
      </c>
      <c r="N24" s="16" t="s">
        <v>1188</v>
      </c>
      <c r="O24" s="16">
        <v>23</v>
      </c>
      <c r="P24" s="16" t="s">
        <v>92</v>
      </c>
      <c r="Q24" s="16" t="s">
        <v>445</v>
      </c>
      <c r="R24" s="16" t="s">
        <v>451</v>
      </c>
      <c r="S24" s="16" t="s">
        <v>93</v>
      </c>
      <c r="T24" s="16" t="s">
        <v>446</v>
      </c>
      <c r="U24" s="16" t="s">
        <v>95</v>
      </c>
      <c r="V24" s="16" t="s">
        <v>453</v>
      </c>
      <c r="W24" s="16" t="s">
        <v>450</v>
      </c>
    </row>
    <row r="25" spans="1:23">
      <c r="A25" s="9" t="s">
        <v>1187</v>
      </c>
      <c r="B25" s="9">
        <f ca="1">+IF(A25=WORLDCUP!$BI$112,1,0)</f>
        <v>0</v>
      </c>
      <c r="C25" s="9" t="str">
        <f ca="1">+WORLDCUP!BD60</f>
        <v>Escocia</v>
      </c>
      <c r="D25" s="9" t="str">
        <f ca="1">+WORLDCUP!BD64</f>
        <v>Irán</v>
      </c>
      <c r="E25" s="9" t="str">
        <f ca="1">+WORLDCUP!BD67</f>
        <v>Austria</v>
      </c>
      <c r="F25" s="9" t="str">
        <f ca="1">+WORLDCUP!BD61</f>
        <v>Paraguay</v>
      </c>
      <c r="G25" s="9" t="str">
        <f ca="1">+WORLDCUP!BD65</f>
        <v>Arabia Saudita</v>
      </c>
      <c r="H25" s="9" t="str">
        <f ca="1">+WORLDCUP!BD63</f>
        <v>Suecia</v>
      </c>
      <c r="I25" s="9" t="str">
        <f ca="1">+WORLDCUP!BD66</f>
        <v>Senegal</v>
      </c>
      <c r="J25" s="9" t="str">
        <f ca="1">+WORLDCUP!BD68</f>
        <v>RD Congo</v>
      </c>
      <c r="N25" s="16" t="s">
        <v>1187</v>
      </c>
      <c r="O25" s="16">
        <v>24</v>
      </c>
      <c r="P25" s="16" t="s">
        <v>92</v>
      </c>
      <c r="Q25" s="16" t="s">
        <v>445</v>
      </c>
      <c r="R25" s="16" t="s">
        <v>451</v>
      </c>
      <c r="S25" s="16" t="s">
        <v>93</v>
      </c>
      <c r="T25" s="16" t="s">
        <v>446</v>
      </c>
      <c r="U25" s="16" t="s">
        <v>95</v>
      </c>
      <c r="V25" s="16" t="s">
        <v>450</v>
      </c>
      <c r="W25" s="16" t="s">
        <v>452</v>
      </c>
    </row>
    <row r="26" spans="1:23">
      <c r="A26" s="9" t="s">
        <v>1186</v>
      </c>
      <c r="B26" s="9">
        <f ca="1">+IF(A26=WORLDCUP!$BI$112,1,0)</f>
        <v>0</v>
      </c>
      <c r="C26" s="9" t="str">
        <f ca="1">+WORLDCUP!BD62</f>
        <v>Ecuador</v>
      </c>
      <c r="D26" s="9" t="str">
        <f ca="1">+WORLDCUP!BD67</f>
        <v>Austria</v>
      </c>
      <c r="E26" s="9" t="str">
        <f ca="1">+WORLDCUP!BD66</f>
        <v>Senegal</v>
      </c>
      <c r="F26" s="9" t="str">
        <f ca="1">+WORLDCUP!BD60</f>
        <v>Escocia</v>
      </c>
      <c r="G26" s="9" t="str">
        <f ca="1">+WORLDCUP!BD65</f>
        <v>Arabia Saudita</v>
      </c>
      <c r="H26" s="9" t="str">
        <f ca="1">+WORLDCUP!BD61</f>
        <v>Paraguay</v>
      </c>
      <c r="I26" s="9" t="str">
        <f ca="1">+WORLDCUP!BD69</f>
        <v>Ghana</v>
      </c>
      <c r="J26" s="9" t="str">
        <f ca="1">+WORLDCUP!BD68</f>
        <v>RD Congo</v>
      </c>
      <c r="N26" s="16" t="s">
        <v>1186</v>
      </c>
      <c r="O26" s="16">
        <v>25</v>
      </c>
      <c r="P26" s="16" t="s">
        <v>94</v>
      </c>
      <c r="Q26" s="16" t="s">
        <v>451</v>
      </c>
      <c r="R26" s="16" t="s">
        <v>450</v>
      </c>
      <c r="S26" s="16" t="s">
        <v>92</v>
      </c>
      <c r="T26" s="16" t="s">
        <v>446</v>
      </c>
      <c r="U26" s="16" t="s">
        <v>93</v>
      </c>
      <c r="V26" s="16" t="s">
        <v>453</v>
      </c>
      <c r="W26" s="16" t="s">
        <v>452</v>
      </c>
    </row>
    <row r="27" spans="1:23">
      <c r="A27" s="9" t="s">
        <v>1185</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Paraguay</v>
      </c>
      <c r="I27" s="9" t="str">
        <f ca="1">+WORLDCUP!BD69</f>
        <v>Ghana</v>
      </c>
      <c r="J27" s="9" t="str">
        <f ca="1">+WORLDCUP!BD68</f>
        <v>RD Congo</v>
      </c>
      <c r="N27" s="16" t="s">
        <v>1185</v>
      </c>
      <c r="O27" s="16">
        <v>26</v>
      </c>
      <c r="P27" s="16" t="s">
        <v>94</v>
      </c>
      <c r="Q27" s="16" t="s">
        <v>445</v>
      </c>
      <c r="R27" s="16" t="s">
        <v>450</v>
      </c>
      <c r="S27" s="16" t="s">
        <v>92</v>
      </c>
      <c r="T27" s="16" t="s">
        <v>451</v>
      </c>
      <c r="U27" s="16" t="s">
        <v>93</v>
      </c>
      <c r="V27" s="16" t="s">
        <v>453</v>
      </c>
      <c r="W27" s="16" t="s">
        <v>452</v>
      </c>
    </row>
    <row r="28" spans="1:23">
      <c r="A28" s="9" t="s">
        <v>1184</v>
      </c>
      <c r="B28" s="9">
        <f ca="1">+IF(A28=WORLDCUP!$BI$112,1,0)</f>
        <v>0</v>
      </c>
      <c r="C28" s="9" t="str">
        <f ca="1">+WORLDCUP!BD62</f>
        <v>Ecuador</v>
      </c>
      <c r="D28" s="9" t="str">
        <f ca="1">+WORLDCUP!BD64</f>
        <v>Irán</v>
      </c>
      <c r="E28" s="9" t="str">
        <f ca="1">+WORLDCUP!BD67</f>
        <v>Austria</v>
      </c>
      <c r="F28" s="9" t="str">
        <f ca="1">+WORLDCUP!BD60</f>
        <v>Escocia</v>
      </c>
      <c r="G28" s="9" t="str">
        <f ca="1">+WORLDCUP!BD65</f>
        <v>Arabia Saudita</v>
      </c>
      <c r="H28" s="9" t="str">
        <f ca="1">+WORLDCUP!BD61</f>
        <v>Paraguay</v>
      </c>
      <c r="I28" s="9" t="str">
        <f ca="1">+WORLDCUP!BD69</f>
        <v>Ghana</v>
      </c>
      <c r="J28" s="9" t="str">
        <f ca="1">+WORLDCUP!BD68</f>
        <v>RD Congo</v>
      </c>
      <c r="N28" s="16" t="s">
        <v>1184</v>
      </c>
      <c r="O28" s="16">
        <v>27</v>
      </c>
      <c r="P28" s="16" t="s">
        <v>94</v>
      </c>
      <c r="Q28" s="16" t="s">
        <v>445</v>
      </c>
      <c r="R28" s="16" t="s">
        <v>451</v>
      </c>
      <c r="S28" s="16" t="s">
        <v>92</v>
      </c>
      <c r="T28" s="16" t="s">
        <v>446</v>
      </c>
      <c r="U28" s="16" t="s">
        <v>93</v>
      </c>
      <c r="V28" s="16" t="s">
        <v>453</v>
      </c>
      <c r="W28" s="16" t="s">
        <v>452</v>
      </c>
    </row>
    <row r="29" spans="1:23">
      <c r="A29" s="9" t="s">
        <v>1183</v>
      </c>
      <c r="B29" s="9">
        <f ca="1">+IF(A29=WORLDCUP!$BI$112,1,0)</f>
        <v>0</v>
      </c>
      <c r="C29" s="9" t="str">
        <f ca="1">+WORLDCUP!BD62</f>
        <v>Ecuador</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RD Congo</v>
      </c>
      <c r="N29" s="16" t="s">
        <v>1183</v>
      </c>
      <c r="O29" s="16">
        <v>28</v>
      </c>
      <c r="P29" s="16" t="s">
        <v>94</v>
      </c>
      <c r="Q29" s="16" t="s">
        <v>445</v>
      </c>
      <c r="R29" s="16" t="s">
        <v>450</v>
      </c>
      <c r="S29" s="16" t="s">
        <v>92</v>
      </c>
      <c r="T29" s="16" t="s">
        <v>446</v>
      </c>
      <c r="U29" s="16" t="s">
        <v>93</v>
      </c>
      <c r="V29" s="16" t="s">
        <v>453</v>
      </c>
      <c r="W29" s="16" t="s">
        <v>452</v>
      </c>
    </row>
    <row r="30" spans="1:23">
      <c r="A30" s="9" t="s">
        <v>1182</v>
      </c>
      <c r="B30" s="9">
        <f ca="1">+IF(A30=WORLDCUP!$BI$112,1,0)</f>
        <v>0</v>
      </c>
      <c r="C30" s="9" t="str">
        <f ca="1">+WORLDCUP!BD62</f>
        <v>Ecuador</v>
      </c>
      <c r="D30" s="9" t="str">
        <f ca="1">+WORLDCUP!BD64</f>
        <v>Irán</v>
      </c>
      <c r="E30" s="9" t="str">
        <f ca="1">+WORLDCUP!BD67</f>
        <v>Austria</v>
      </c>
      <c r="F30" s="9" t="str">
        <f ca="1">+WORLDCUP!BD60</f>
        <v>Escocia</v>
      </c>
      <c r="G30" s="9" t="str">
        <f ca="1">+WORLDCUP!BD65</f>
        <v>Arabia Saudita</v>
      </c>
      <c r="H30" s="9" t="str">
        <f ca="1">+WORLDCUP!BD61</f>
        <v>Paraguay</v>
      </c>
      <c r="I30" s="9" t="str">
        <f ca="1">+WORLDCUP!BD69</f>
        <v>Ghana</v>
      </c>
      <c r="J30" s="9" t="str">
        <f ca="1">+WORLDCUP!BD66</f>
        <v>Senegal</v>
      </c>
      <c r="N30" s="16" t="s">
        <v>1182</v>
      </c>
      <c r="O30" s="16">
        <v>29</v>
      </c>
      <c r="P30" s="16" t="s">
        <v>94</v>
      </c>
      <c r="Q30" s="16" t="s">
        <v>445</v>
      </c>
      <c r="R30" s="16" t="s">
        <v>451</v>
      </c>
      <c r="S30" s="16" t="s">
        <v>92</v>
      </c>
      <c r="T30" s="16" t="s">
        <v>446</v>
      </c>
      <c r="U30" s="16" t="s">
        <v>93</v>
      </c>
      <c r="V30" s="16" t="s">
        <v>453</v>
      </c>
      <c r="W30" s="16" t="s">
        <v>450</v>
      </c>
    </row>
    <row r="31" spans="1:23">
      <c r="A31" s="9" t="s">
        <v>1181</v>
      </c>
      <c r="B31" s="9">
        <f ca="1">+IF(A31=WORLDCUP!$BI$112,1,0)</f>
        <v>0</v>
      </c>
      <c r="C31" s="9" t="str">
        <f ca="1">+WORLDCUP!BD62</f>
        <v>Ecuador</v>
      </c>
      <c r="D31" s="9" t="str">
        <f ca="1">+WORLDCUP!BD64</f>
        <v>Irán</v>
      </c>
      <c r="E31" s="9" t="str">
        <f ca="1">+WORLDCUP!BD67</f>
        <v>Austria</v>
      </c>
      <c r="F31" s="9" t="str">
        <f ca="1">+WORLDCUP!BD60</f>
        <v>Escocia</v>
      </c>
      <c r="G31" s="9" t="str">
        <f ca="1">+WORLDCUP!BD65</f>
        <v>Arabia Saudita</v>
      </c>
      <c r="H31" s="9" t="str">
        <f ca="1">+WORLDCUP!BD61</f>
        <v>Paraguay</v>
      </c>
      <c r="I31" s="9" t="str">
        <f ca="1">+WORLDCUP!BD66</f>
        <v>Senegal</v>
      </c>
      <c r="J31" s="9" t="str">
        <f ca="1">+WORLDCUP!BD68</f>
        <v>RD Congo</v>
      </c>
      <c r="N31" s="16" t="s">
        <v>1181</v>
      </c>
      <c r="O31" s="16">
        <v>30</v>
      </c>
      <c r="P31" s="16" t="s">
        <v>94</v>
      </c>
      <c r="Q31" s="16" t="s">
        <v>445</v>
      </c>
      <c r="R31" s="16" t="s">
        <v>451</v>
      </c>
      <c r="S31" s="16" t="s">
        <v>92</v>
      </c>
      <c r="T31" s="16" t="s">
        <v>446</v>
      </c>
      <c r="U31" s="16" t="s">
        <v>93</v>
      </c>
      <c r="V31" s="16" t="s">
        <v>450</v>
      </c>
      <c r="W31" s="16" t="s">
        <v>452</v>
      </c>
    </row>
    <row r="32" spans="1:23">
      <c r="A32" s="9" t="s">
        <v>1180</v>
      </c>
      <c r="B32" s="9">
        <f ca="1">+IF(A32=WORLDCUP!$BI$112,1,0)</f>
        <v>0</v>
      </c>
      <c r="C32" s="9" t="str">
        <f ca="1">+WORLDCUP!BD60</f>
        <v>Escocia</v>
      </c>
      <c r="D32" s="9" t="str">
        <f ca="1">+WORLDCUP!BD67</f>
        <v>Austria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1180</v>
      </c>
      <c r="O32" s="16">
        <v>31</v>
      </c>
      <c r="P32" s="16" t="s">
        <v>92</v>
      </c>
      <c r="Q32" s="16" t="s">
        <v>451</v>
      </c>
      <c r="R32" s="16" t="s">
        <v>94</v>
      </c>
      <c r="S32" s="16" t="s">
        <v>93</v>
      </c>
      <c r="T32" s="16" t="s">
        <v>450</v>
      </c>
      <c r="U32" s="16" t="s">
        <v>95</v>
      </c>
      <c r="V32" s="16" t="s">
        <v>453</v>
      </c>
      <c r="W32" s="16" t="s">
        <v>452</v>
      </c>
    </row>
    <row r="33" spans="1:23">
      <c r="A33" s="9" t="s">
        <v>1179</v>
      </c>
      <c r="B33" s="9">
        <f ca="1">+IF(A33=WORLDCUP!$BI$112,1,0)</f>
        <v>0</v>
      </c>
      <c r="C33" s="9" t="str">
        <f ca="1">+WORLDCUP!BD60</f>
        <v>Escocia</v>
      </c>
      <c r="D33" s="9" t="str">
        <f ca="1">+WORLDCUP!BD67</f>
        <v>Austria</v>
      </c>
      <c r="E33" s="9" t="str">
        <f ca="1">+WORLDCUP!BD62</f>
        <v>Ecuador</v>
      </c>
      <c r="F33" s="9" t="str">
        <f ca="1">+WORLDCUP!BD61</f>
        <v>Paraguay</v>
      </c>
      <c r="G33" s="9" t="str">
        <f ca="1">+WORLDCUP!BD65</f>
        <v>Arabia Saudita</v>
      </c>
      <c r="H33" s="9" t="str">
        <f ca="1">+WORLDCUP!BD63</f>
        <v>Suecia</v>
      </c>
      <c r="I33" s="9" t="str">
        <f ca="1">+WORLDCUP!BD69</f>
        <v>Ghana</v>
      </c>
      <c r="J33" s="9" t="str">
        <f ca="1">+WORLDCUP!BD68</f>
        <v>RD Congo</v>
      </c>
      <c r="N33" s="16" t="s">
        <v>1179</v>
      </c>
      <c r="O33" s="16">
        <v>32</v>
      </c>
      <c r="P33" s="16" t="s">
        <v>92</v>
      </c>
      <c r="Q33" s="16" t="s">
        <v>451</v>
      </c>
      <c r="R33" s="16" t="s">
        <v>94</v>
      </c>
      <c r="S33" s="16" t="s">
        <v>93</v>
      </c>
      <c r="T33" s="16" t="s">
        <v>446</v>
      </c>
      <c r="U33" s="16" t="s">
        <v>95</v>
      </c>
      <c r="V33" s="16" t="s">
        <v>453</v>
      </c>
      <c r="W33" s="16" t="s">
        <v>452</v>
      </c>
    </row>
    <row r="34" spans="1:23">
      <c r="A34" s="9" t="s">
        <v>1178</v>
      </c>
      <c r="B34" s="9">
        <f ca="1">+IF(A34=WORLDCUP!$BI$112,1,0)</f>
        <v>0</v>
      </c>
      <c r="C34" s="9" t="str">
        <f ca="1">+WORLDCUP!BD60</f>
        <v>Escocia</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RD Congo</v>
      </c>
      <c r="N34" s="16" t="s">
        <v>1178</v>
      </c>
      <c r="O34" s="16">
        <v>33</v>
      </c>
      <c r="P34" s="16" t="s">
        <v>92</v>
      </c>
      <c r="Q34" s="16" t="s">
        <v>94</v>
      </c>
      <c r="R34" s="16" t="s">
        <v>450</v>
      </c>
      <c r="S34" s="16" t="s">
        <v>93</v>
      </c>
      <c r="T34" s="16" t="s">
        <v>446</v>
      </c>
      <c r="U34" s="16" t="s">
        <v>95</v>
      </c>
      <c r="V34" s="16" t="s">
        <v>453</v>
      </c>
      <c r="W34" s="16" t="s">
        <v>452</v>
      </c>
    </row>
    <row r="35" spans="1:23">
      <c r="A35" s="9" t="s">
        <v>1177</v>
      </c>
      <c r="B35" s="9">
        <f ca="1">+IF(A35=WORLDCUP!$BI$112,1,0)</f>
        <v>0</v>
      </c>
      <c r="C35" s="9" t="str">
        <f ca="1">+WORLDCUP!BD60</f>
        <v>Escocia</v>
      </c>
      <c r="D35" s="9" t="str">
        <f ca="1">+WORLDCUP!BD67</f>
        <v>Austria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1177</v>
      </c>
      <c r="O35" s="16">
        <v>34</v>
      </c>
      <c r="P35" s="16" t="s">
        <v>92</v>
      </c>
      <c r="Q35" s="16" t="s">
        <v>451</v>
      </c>
      <c r="R35" s="16" t="s">
        <v>94</v>
      </c>
      <c r="S35" s="16" t="s">
        <v>93</v>
      </c>
      <c r="T35" s="16" t="s">
        <v>446</v>
      </c>
      <c r="U35" s="16" t="s">
        <v>95</v>
      </c>
      <c r="V35" s="16" t="s">
        <v>453</v>
      </c>
      <c r="W35" s="16" t="s">
        <v>450</v>
      </c>
    </row>
    <row r="36" spans="1:23">
      <c r="A36" s="9" t="s">
        <v>1176</v>
      </c>
      <c r="B36" s="9">
        <f ca="1">+IF(A36=WORLDCUP!$BI$112,1,0)</f>
        <v>0</v>
      </c>
      <c r="C36" s="9" t="str">
        <f ca="1">+WORLDCUP!BD60</f>
        <v>Escocia</v>
      </c>
      <c r="D36" s="9" t="str">
        <f ca="1">+WORLDCUP!BD67</f>
        <v>Austria</v>
      </c>
      <c r="E36" s="9" t="str">
        <f ca="1">+WORLDCUP!BD62</f>
        <v>Ecuador</v>
      </c>
      <c r="F36" s="9" t="str">
        <f ca="1">+WORLDCUP!BD61</f>
        <v>Paraguay</v>
      </c>
      <c r="G36" s="9" t="str">
        <f ca="1">+WORLDCUP!BD65</f>
        <v>Arabia Saudita</v>
      </c>
      <c r="H36" s="9" t="str">
        <f ca="1">+WORLDCUP!BD63</f>
        <v>Suecia</v>
      </c>
      <c r="I36" s="9" t="str">
        <f ca="1">+WORLDCUP!BD66</f>
        <v>Senegal</v>
      </c>
      <c r="J36" s="9" t="str">
        <f ca="1">+WORLDCUP!BD68</f>
        <v>RD Congo</v>
      </c>
      <c r="N36" s="16" t="s">
        <v>1176</v>
      </c>
      <c r="O36" s="16">
        <v>35</v>
      </c>
      <c r="P36" s="16" t="s">
        <v>92</v>
      </c>
      <c r="Q36" s="16" t="s">
        <v>451</v>
      </c>
      <c r="R36" s="16" t="s">
        <v>94</v>
      </c>
      <c r="S36" s="16" t="s">
        <v>93</v>
      </c>
      <c r="T36" s="16" t="s">
        <v>446</v>
      </c>
      <c r="U36" s="16" t="s">
        <v>95</v>
      </c>
      <c r="V36" s="16" t="s">
        <v>450</v>
      </c>
      <c r="W36" s="16" t="s">
        <v>452</v>
      </c>
    </row>
    <row r="37" spans="1:23">
      <c r="A37" s="9" t="s">
        <v>1175</v>
      </c>
      <c r="B37" s="9">
        <f ca="1">+IF(A37=WORLDCUP!$BI$112,1,0)</f>
        <v>0</v>
      </c>
      <c r="C37" s="9" t="str">
        <f ca="1">+WORLDCUP!BD60</f>
        <v>Escocia</v>
      </c>
      <c r="D37" s="9" t="str">
        <f ca="1">+WORLDCUP!BD64</f>
        <v>Irán</v>
      </c>
      <c r="E37" s="9" t="str">
        <f ca="1">+WORLDCUP!BD62</f>
        <v>Ecuador</v>
      </c>
      <c r="F37" s="9" t="str">
        <f ca="1">+WORLDCUP!BD61</f>
        <v>Paraguay</v>
      </c>
      <c r="G37" s="9" t="str">
        <f ca="1">+WORLDCUP!BD67</f>
        <v>Austria</v>
      </c>
      <c r="H37" s="9" t="str">
        <f ca="1">+WORLDCUP!BD63</f>
        <v>Suecia</v>
      </c>
      <c r="I37" s="9" t="str">
        <f ca="1">+WORLDCUP!BD69</f>
        <v>Ghana</v>
      </c>
      <c r="J37" s="9" t="str">
        <f ca="1">+WORLDCUP!BD68</f>
        <v>RD Congo</v>
      </c>
      <c r="N37" s="16" t="s">
        <v>1175</v>
      </c>
      <c r="O37" s="16">
        <v>36</v>
      </c>
      <c r="P37" s="16" t="s">
        <v>92</v>
      </c>
      <c r="Q37" s="16" t="s">
        <v>445</v>
      </c>
      <c r="R37" s="16" t="s">
        <v>94</v>
      </c>
      <c r="S37" s="16" t="s">
        <v>93</v>
      </c>
      <c r="T37" s="16" t="s">
        <v>451</v>
      </c>
      <c r="U37" s="16" t="s">
        <v>95</v>
      </c>
      <c r="V37" s="16" t="s">
        <v>453</v>
      </c>
      <c r="W37" s="16" t="s">
        <v>452</v>
      </c>
    </row>
    <row r="38" spans="1:23">
      <c r="A38" s="9" t="s">
        <v>1174</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1174</v>
      </c>
      <c r="O38" s="16">
        <v>37</v>
      </c>
      <c r="P38" s="16" t="s">
        <v>92</v>
      </c>
      <c r="Q38" s="16" t="s">
        <v>445</v>
      </c>
      <c r="R38" s="16" t="s">
        <v>94</v>
      </c>
      <c r="S38" s="16" t="s">
        <v>93</v>
      </c>
      <c r="T38" s="16" t="s">
        <v>450</v>
      </c>
      <c r="U38" s="16" t="s">
        <v>95</v>
      </c>
      <c r="V38" s="16" t="s">
        <v>453</v>
      </c>
      <c r="W38" s="16" t="s">
        <v>452</v>
      </c>
    </row>
    <row r="39" spans="1:23">
      <c r="A39" s="9" t="s">
        <v>1173</v>
      </c>
      <c r="B39" s="9">
        <f ca="1">+IF(A39=WORLDCUP!$BI$112,1,0)</f>
        <v>0</v>
      </c>
      <c r="C39" s="9" t="str">
        <f ca="1">+WORLDCUP!BD60</f>
        <v>Escocia</v>
      </c>
      <c r="D39" s="9" t="str">
        <f ca="1">+WORLDCUP!BD64</f>
        <v>Irán</v>
      </c>
      <c r="E39" s="9" t="str">
        <f ca="1">+WORLDCUP!BD62</f>
        <v>Ecuador</v>
      </c>
      <c r="F39" s="9" t="str">
        <f ca="1">+WORLDCUP!BD61</f>
        <v>Paraguay</v>
      </c>
      <c r="G39" s="9" t="str">
        <f ca="1">+WORLDCUP!BD67</f>
        <v>Austria</v>
      </c>
      <c r="H39" s="9" t="str">
        <f ca="1">+WORLDCUP!BD63</f>
        <v>Suecia</v>
      </c>
      <c r="I39" s="9" t="str">
        <f ca="1">+WORLDCUP!BD69</f>
        <v>Ghana</v>
      </c>
      <c r="J39" s="9" t="str">
        <f ca="1">+WORLDCUP!BD66</f>
        <v>Senegal</v>
      </c>
      <c r="N39" s="16" t="s">
        <v>1173</v>
      </c>
      <c r="O39" s="16">
        <v>38</v>
      </c>
      <c r="P39" s="16" t="s">
        <v>92</v>
      </c>
      <c r="Q39" s="16" t="s">
        <v>445</v>
      </c>
      <c r="R39" s="16" t="s">
        <v>94</v>
      </c>
      <c r="S39" s="16" t="s">
        <v>93</v>
      </c>
      <c r="T39" s="16" t="s">
        <v>451</v>
      </c>
      <c r="U39" s="16" t="s">
        <v>95</v>
      </c>
      <c r="V39" s="16" t="s">
        <v>453</v>
      </c>
      <c r="W39" s="16" t="s">
        <v>450</v>
      </c>
    </row>
    <row r="40" spans="1:23">
      <c r="A40" s="9" t="s">
        <v>1172</v>
      </c>
      <c r="B40" s="9">
        <f ca="1">+IF(A40=WORLDCUP!$BI$112,1,0)</f>
        <v>0</v>
      </c>
      <c r="C40" s="9" t="str">
        <f ca="1">+WORLDCUP!BD60</f>
        <v>Escocia</v>
      </c>
      <c r="D40" s="9" t="str">
        <f ca="1">+WORLDCUP!BD64</f>
        <v>Irán</v>
      </c>
      <c r="E40" s="9" t="str">
        <f ca="1">+WORLDCUP!BD62</f>
        <v>Ecuador</v>
      </c>
      <c r="F40" s="9" t="str">
        <f ca="1">+WORLDCUP!BD61</f>
        <v>Paraguay</v>
      </c>
      <c r="G40" s="9" t="str">
        <f ca="1">+WORLDCUP!BD67</f>
        <v>Austria</v>
      </c>
      <c r="H40" s="9" t="str">
        <f ca="1">+WORLDCUP!BD63</f>
        <v>Suecia</v>
      </c>
      <c r="I40" s="9" t="str">
        <f ca="1">+WORLDCUP!BD66</f>
        <v>Senegal</v>
      </c>
      <c r="J40" s="9" t="str">
        <f ca="1">+WORLDCUP!BD68</f>
        <v>RD Congo</v>
      </c>
      <c r="N40" s="16" t="s">
        <v>1172</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Austria</v>
      </c>
      <c r="F42" s="9" t="str">
        <f ca="1">+WORLDCUP!BD61</f>
        <v>Paraguay</v>
      </c>
      <c r="G42" s="9" t="str">
        <f ca="1">+WORLDCUP!BD65</f>
        <v>Arabia Saudita</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Austria</v>
      </c>
      <c r="F43" s="9" t="str">
        <f ca="1">+WORLDCUP!BD61</f>
        <v>Paraguay</v>
      </c>
      <c r="G43" s="9" t="str">
        <f ca="1">+WORLDCUP!BD65</f>
        <v>Arabia Saudita</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Austria</v>
      </c>
      <c r="F46" s="9" t="str">
        <f ca="1">+WORLDCUP!BD61</f>
        <v>Paraguay</v>
      </c>
      <c r="G46" s="9" t="str">
        <f ca="1">+WORLDCUP!BD65</f>
        <v>Arabia Saudita</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617</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617</v>
      </c>
      <c r="O47" s="16">
        <v>46</v>
      </c>
      <c r="P47" s="16" t="s">
        <v>446</v>
      </c>
      <c r="Q47" s="16" t="s">
        <v>451</v>
      </c>
      <c r="R47" s="16" t="s">
        <v>91</v>
      </c>
      <c r="S47" s="16" t="s">
        <v>95</v>
      </c>
      <c r="T47" s="16" t="s">
        <v>450</v>
      </c>
      <c r="U47" s="16" t="s">
        <v>445</v>
      </c>
      <c r="V47" s="16" t="s">
        <v>453</v>
      </c>
      <c r="W47" s="16" t="s">
        <v>452</v>
      </c>
    </row>
    <row r="48" spans="1:23">
      <c r="A48" s="9" t="s">
        <v>1171</v>
      </c>
      <c r="B48" s="9">
        <f ca="1">+IF(A48=WORLDCUP!$BI$112,1,0)</f>
        <v>0</v>
      </c>
      <c r="C48" s="9" t="str">
        <f ca="1">+WORLDCUP!BD62</f>
        <v>Ecuador</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RD Congo</v>
      </c>
      <c r="N48" s="16" t="s">
        <v>1171</v>
      </c>
      <c r="O48" s="16">
        <v>47</v>
      </c>
      <c r="P48" s="16" t="s">
        <v>94</v>
      </c>
      <c r="Q48" s="16" t="s">
        <v>451</v>
      </c>
      <c r="R48" s="16" t="s">
        <v>450</v>
      </c>
      <c r="S48" s="16" t="s">
        <v>91</v>
      </c>
      <c r="T48" s="16" t="s">
        <v>446</v>
      </c>
      <c r="U48" s="16" t="s">
        <v>445</v>
      </c>
      <c r="V48" s="16" t="s">
        <v>453</v>
      </c>
      <c r="W48" s="16" t="s">
        <v>452</v>
      </c>
    </row>
    <row r="49" spans="1:23">
      <c r="A49" s="9" t="s">
        <v>1170</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1170</v>
      </c>
      <c r="O49" s="16">
        <v>48</v>
      </c>
      <c r="P49" s="16" t="s">
        <v>94</v>
      </c>
      <c r="Q49" s="16" t="s">
        <v>451</v>
      </c>
      <c r="R49" s="16" t="s">
        <v>91</v>
      </c>
      <c r="S49" s="16" t="s">
        <v>95</v>
      </c>
      <c r="T49" s="16" t="s">
        <v>450</v>
      </c>
      <c r="U49" s="16" t="s">
        <v>446</v>
      </c>
      <c r="V49" s="16" t="s">
        <v>453</v>
      </c>
      <c r="W49" s="16" t="s">
        <v>452</v>
      </c>
    </row>
    <row r="50" spans="1:23">
      <c r="A50" s="9" t="s">
        <v>1169</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1169</v>
      </c>
      <c r="O50" s="16">
        <v>49</v>
      </c>
      <c r="P50" s="16" t="s">
        <v>94</v>
      </c>
      <c r="Q50" s="16" t="s">
        <v>451</v>
      </c>
      <c r="R50" s="16" t="s">
        <v>91</v>
      </c>
      <c r="S50" s="16" t="s">
        <v>95</v>
      </c>
      <c r="T50" s="16" t="s">
        <v>450</v>
      </c>
      <c r="U50" s="16" t="s">
        <v>445</v>
      </c>
      <c r="V50" s="16" t="s">
        <v>453</v>
      </c>
      <c r="W50" s="16" t="s">
        <v>452</v>
      </c>
    </row>
    <row r="51" spans="1:23">
      <c r="A51" s="9" t="s">
        <v>1168</v>
      </c>
      <c r="B51" s="9">
        <f ca="1">+IF(A51=WORLDCUP!$BI$112,1,0)</f>
        <v>0</v>
      </c>
      <c r="C51" s="9" t="str">
        <f ca="1">+WORLDCUP!BD62</f>
        <v>Ecuador</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1168</v>
      </c>
      <c r="O51" s="16">
        <v>50</v>
      </c>
      <c r="P51" s="16" t="s">
        <v>94</v>
      </c>
      <c r="Q51" s="16" t="s">
        <v>451</v>
      </c>
      <c r="R51" s="16" t="s">
        <v>91</v>
      </c>
      <c r="S51" s="16" t="s">
        <v>95</v>
      </c>
      <c r="T51" s="16" t="s">
        <v>446</v>
      </c>
      <c r="U51" s="16" t="s">
        <v>445</v>
      </c>
      <c r="V51" s="16" t="s">
        <v>453</v>
      </c>
      <c r="W51" s="16" t="s">
        <v>452</v>
      </c>
    </row>
    <row r="52" spans="1:23">
      <c r="A52" s="9" t="s">
        <v>616</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616</v>
      </c>
      <c r="O52" s="16">
        <v>51</v>
      </c>
      <c r="P52" s="16" t="s">
        <v>94</v>
      </c>
      <c r="Q52" s="16" t="s">
        <v>445</v>
      </c>
      <c r="R52" s="16" t="s">
        <v>91</v>
      </c>
      <c r="S52" s="16" t="s">
        <v>95</v>
      </c>
      <c r="T52" s="16" t="s">
        <v>450</v>
      </c>
      <c r="U52" s="16" t="s">
        <v>446</v>
      </c>
      <c r="V52" s="16" t="s">
        <v>453</v>
      </c>
      <c r="W52" s="16" t="s">
        <v>452</v>
      </c>
    </row>
    <row r="53" spans="1:23">
      <c r="A53" s="9" t="s">
        <v>615</v>
      </c>
      <c r="B53" s="9">
        <f ca="1">+IF(A53=WORLDCUP!$BI$112,1,0)</f>
        <v>0</v>
      </c>
      <c r="C53" s="9" t="str">
        <f ca="1">+WORLDCUP!BD62</f>
        <v>Ecuador</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615</v>
      </c>
      <c r="O53" s="16">
        <v>52</v>
      </c>
      <c r="P53" s="16" t="s">
        <v>94</v>
      </c>
      <c r="Q53" s="16" t="s">
        <v>451</v>
      </c>
      <c r="R53" s="16" t="s">
        <v>91</v>
      </c>
      <c r="S53" s="16" t="s">
        <v>95</v>
      </c>
      <c r="T53" s="16" t="s">
        <v>446</v>
      </c>
      <c r="U53" s="16" t="s">
        <v>445</v>
      </c>
      <c r="V53" s="16" t="s">
        <v>453</v>
      </c>
      <c r="W53" s="16" t="s">
        <v>450</v>
      </c>
    </row>
    <row r="54" spans="1:23">
      <c r="A54" s="9" t="s">
        <v>614</v>
      </c>
      <c r="B54" s="9">
        <f ca="1">+IF(A54=WORLDCUP!$BI$112,1,0)</f>
        <v>0</v>
      </c>
      <c r="C54" s="9" t="str">
        <f ca="1">+WORLDCUP!BD62</f>
        <v>Ecuador</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614</v>
      </c>
      <c r="O54" s="16">
        <v>53</v>
      </c>
      <c r="P54" s="16" t="s">
        <v>94</v>
      </c>
      <c r="Q54" s="16" t="s">
        <v>451</v>
      </c>
      <c r="R54" s="16" t="s">
        <v>91</v>
      </c>
      <c r="S54" s="16" t="s">
        <v>95</v>
      </c>
      <c r="T54" s="16" t="s">
        <v>446</v>
      </c>
      <c r="U54" s="16" t="s">
        <v>445</v>
      </c>
      <c r="V54" s="16" t="s">
        <v>450</v>
      </c>
      <c r="W54" s="16" t="s">
        <v>452</v>
      </c>
    </row>
    <row r="55" spans="1:23">
      <c r="A55" s="9" t="s">
        <v>1167</v>
      </c>
      <c r="B55" s="9">
        <f ca="1">+IF(A55=WORLDCUP!$BI$112,1,0)</f>
        <v>0</v>
      </c>
      <c r="C55" s="9" t="str">
        <f ca="1">+WORLDCUP!BD65</f>
        <v>Arabia Saudita</v>
      </c>
      <c r="D55" s="9" t="str">
        <f ca="1">+WORLDCUP!BD67</f>
        <v>Austria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1167</v>
      </c>
      <c r="O55" s="16">
        <v>54</v>
      </c>
      <c r="P55" s="16" t="s">
        <v>446</v>
      </c>
      <c r="Q55" s="16" t="s">
        <v>451</v>
      </c>
      <c r="R55" s="16" t="s">
        <v>91</v>
      </c>
      <c r="S55" s="16" t="s">
        <v>93</v>
      </c>
      <c r="T55" s="16" t="s">
        <v>450</v>
      </c>
      <c r="U55" s="16" t="s">
        <v>445</v>
      </c>
      <c r="V55" s="16" t="s">
        <v>453</v>
      </c>
      <c r="W55" s="16" t="s">
        <v>452</v>
      </c>
    </row>
    <row r="56" spans="1:23">
      <c r="A56" s="9" t="s">
        <v>1166</v>
      </c>
      <c r="B56" s="9">
        <f ca="1">+IF(A56=WORLDCUP!$BI$112,1,0)</f>
        <v>0</v>
      </c>
      <c r="C56" s="9" t="str">
        <f ca="1">+WORLDCUP!BD65</f>
        <v>Arabia Saudita</v>
      </c>
      <c r="D56" s="9" t="str">
        <f ca="1">+WORLDCUP!BD67</f>
        <v>Austria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1166</v>
      </c>
      <c r="O56" s="16">
        <v>55</v>
      </c>
      <c r="P56" s="16" t="s">
        <v>446</v>
      </c>
      <c r="Q56" s="16" t="s">
        <v>451</v>
      </c>
      <c r="R56" s="16" t="s">
        <v>91</v>
      </c>
      <c r="S56" s="16" t="s">
        <v>93</v>
      </c>
      <c r="T56" s="16" t="s">
        <v>450</v>
      </c>
      <c r="U56" s="16" t="s">
        <v>95</v>
      </c>
      <c r="V56" s="16" t="s">
        <v>453</v>
      </c>
      <c r="W56" s="16" t="s">
        <v>452</v>
      </c>
    </row>
    <row r="57" spans="1:23">
      <c r="A57" s="9" t="s">
        <v>1165</v>
      </c>
      <c r="B57" s="9">
        <f ca="1">+IF(A57=WORLDCUP!$BI$112,1,0)</f>
        <v>0</v>
      </c>
      <c r="C57" s="9" t="str">
        <f ca="1">+WORLDCUP!BD66</f>
        <v>Senegal</v>
      </c>
      <c r="D57" s="9" t="str">
        <f ca="1">+WORLDCUP!BD64</f>
        <v>Irán</v>
      </c>
      <c r="E57" s="9" t="str">
        <f ca="1">+WORLDCUP!BD59</f>
        <v>Bosnia y Herzegovina</v>
      </c>
      <c r="F57" s="9" t="str">
        <f ca="1">+WORLDCUP!BD61</f>
        <v>Paraguay</v>
      </c>
      <c r="G57" s="9" t="str">
        <f ca="1">+WORLDCUP!BD67</f>
        <v>Austria</v>
      </c>
      <c r="H57" s="9" t="str">
        <f ca="1">+WORLDCUP!BD63</f>
        <v>Suecia</v>
      </c>
      <c r="I57" s="9" t="str">
        <f ca="1">+WORLDCUP!BD69</f>
        <v>Ghana</v>
      </c>
      <c r="J57" s="9" t="str">
        <f ca="1">+WORLDCUP!BD68</f>
        <v>RD Congo</v>
      </c>
      <c r="N57" s="16" t="s">
        <v>1165</v>
      </c>
      <c r="O57" s="16">
        <v>56</v>
      </c>
      <c r="P57" s="16" t="s">
        <v>450</v>
      </c>
      <c r="Q57" s="16" t="s">
        <v>445</v>
      </c>
      <c r="R57" s="16" t="s">
        <v>91</v>
      </c>
      <c r="S57" s="16" t="s">
        <v>93</v>
      </c>
      <c r="T57" s="16" t="s">
        <v>451</v>
      </c>
      <c r="U57" s="16" t="s">
        <v>95</v>
      </c>
      <c r="V57" s="16" t="s">
        <v>453</v>
      </c>
      <c r="W57" s="16" t="s">
        <v>452</v>
      </c>
    </row>
    <row r="58" spans="1:23">
      <c r="A58" s="9" t="s">
        <v>1164</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Austria</v>
      </c>
      <c r="H58" s="9" t="str">
        <f ca="1">+WORLDCUP!BD63</f>
        <v>Suecia</v>
      </c>
      <c r="I58" s="9" t="str">
        <f ca="1">+WORLDCUP!BD69</f>
        <v>Ghana</v>
      </c>
      <c r="J58" s="9" t="str">
        <f ca="1">+WORLDCUP!BD68</f>
        <v>RD Congo</v>
      </c>
      <c r="N58" s="16" t="s">
        <v>1164</v>
      </c>
      <c r="O58" s="16">
        <v>57</v>
      </c>
      <c r="P58" s="16" t="s">
        <v>446</v>
      </c>
      <c r="Q58" s="16" t="s">
        <v>445</v>
      </c>
      <c r="R58" s="16" t="s">
        <v>91</v>
      </c>
      <c r="S58" s="16" t="s">
        <v>93</v>
      </c>
      <c r="T58" s="16" t="s">
        <v>451</v>
      </c>
      <c r="U58" s="16" t="s">
        <v>95</v>
      </c>
      <c r="V58" s="16" t="s">
        <v>453</v>
      </c>
      <c r="W58" s="16" t="s">
        <v>452</v>
      </c>
    </row>
    <row r="59" spans="1:23">
      <c r="A59" s="9" t="s">
        <v>1163</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1163</v>
      </c>
      <c r="O59" s="16">
        <v>58</v>
      </c>
      <c r="P59" s="16" t="s">
        <v>446</v>
      </c>
      <c r="Q59" s="16" t="s">
        <v>445</v>
      </c>
      <c r="R59" s="16" t="s">
        <v>91</v>
      </c>
      <c r="S59" s="16" t="s">
        <v>93</v>
      </c>
      <c r="T59" s="16" t="s">
        <v>450</v>
      </c>
      <c r="U59" s="16" t="s">
        <v>95</v>
      </c>
      <c r="V59" s="16" t="s">
        <v>453</v>
      </c>
      <c r="W59" s="16" t="s">
        <v>452</v>
      </c>
    </row>
    <row r="60" spans="1:23">
      <c r="A60" s="9" t="s">
        <v>1162</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Austria</v>
      </c>
      <c r="H60" s="9" t="str">
        <f ca="1">+WORLDCUP!BD63</f>
        <v>Suecia</v>
      </c>
      <c r="I60" s="9" t="str">
        <f ca="1">+WORLDCUP!BD69</f>
        <v>Ghana</v>
      </c>
      <c r="J60" s="9" t="str">
        <f ca="1">+WORLDCUP!BD66</f>
        <v>Senegal</v>
      </c>
      <c r="N60" s="16" t="s">
        <v>1162</v>
      </c>
      <c r="O60" s="16">
        <v>59</v>
      </c>
      <c r="P60" s="16" t="s">
        <v>446</v>
      </c>
      <c r="Q60" s="16" t="s">
        <v>445</v>
      </c>
      <c r="R60" s="16" t="s">
        <v>91</v>
      </c>
      <c r="S60" s="16" t="s">
        <v>93</v>
      </c>
      <c r="T60" s="16" t="s">
        <v>451</v>
      </c>
      <c r="U60" s="16" t="s">
        <v>95</v>
      </c>
      <c r="V60" s="16" t="s">
        <v>453</v>
      </c>
      <c r="W60" s="16" t="s">
        <v>450</v>
      </c>
    </row>
    <row r="61" spans="1:23">
      <c r="A61" s="9" t="s">
        <v>1161</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Austria</v>
      </c>
      <c r="H61" s="9" t="str">
        <f ca="1">+WORLDCUP!BD63</f>
        <v>Suecia</v>
      </c>
      <c r="I61" s="9" t="str">
        <f ca="1">+WORLDCUP!BD66</f>
        <v>Senegal</v>
      </c>
      <c r="J61" s="9" t="str">
        <f ca="1">+WORLDCUP!BD68</f>
        <v>RD Congo</v>
      </c>
      <c r="N61" s="16" t="s">
        <v>1161</v>
      </c>
      <c r="O61" s="16">
        <v>60</v>
      </c>
      <c r="P61" s="16" t="s">
        <v>446</v>
      </c>
      <c r="Q61" s="16" t="s">
        <v>445</v>
      </c>
      <c r="R61" s="16" t="s">
        <v>91</v>
      </c>
      <c r="S61" s="16" t="s">
        <v>93</v>
      </c>
      <c r="T61" s="16" t="s">
        <v>451</v>
      </c>
      <c r="U61" s="16" t="s">
        <v>95</v>
      </c>
      <c r="V61" s="16" t="s">
        <v>450</v>
      </c>
      <c r="W61" s="16" t="s">
        <v>452</v>
      </c>
    </row>
    <row r="62" spans="1:23">
      <c r="A62" s="9" t="s">
        <v>1160</v>
      </c>
      <c r="B62" s="9">
        <f ca="1">+IF(A62=WORLDCUP!$BI$112,1,0)</f>
        <v>0</v>
      </c>
      <c r="C62" s="9" t="str">
        <f ca="1">+WORLDCUP!BD62</f>
        <v>Ecuador</v>
      </c>
      <c r="D62" s="9" t="str">
        <f ca="1">+WORLDCUP!BD67</f>
        <v>Austria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RD Congo</v>
      </c>
      <c r="N62" s="16" t="s">
        <v>1160</v>
      </c>
      <c r="O62" s="16">
        <v>61</v>
      </c>
      <c r="P62" s="16" t="s">
        <v>94</v>
      </c>
      <c r="Q62" s="16" t="s">
        <v>451</v>
      </c>
      <c r="R62" s="16" t="s">
        <v>91</v>
      </c>
      <c r="S62" s="16" t="s">
        <v>93</v>
      </c>
      <c r="T62" s="16" t="s">
        <v>450</v>
      </c>
      <c r="U62" s="16" t="s">
        <v>446</v>
      </c>
      <c r="V62" s="16" t="s">
        <v>453</v>
      </c>
      <c r="W62" s="16" t="s">
        <v>452</v>
      </c>
    </row>
    <row r="63" spans="1:23">
      <c r="A63" s="9" t="s">
        <v>1159</v>
      </c>
      <c r="B63" s="9">
        <f ca="1">+IF(A63=WORLDCUP!$BI$112,1,0)</f>
        <v>0</v>
      </c>
      <c r="C63" s="9" t="str">
        <f ca="1">+WORLDCUP!BD62</f>
        <v>Ecuador</v>
      </c>
      <c r="D63" s="9" t="str">
        <f ca="1">+WORLDCUP!BD67</f>
        <v>Austria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1159</v>
      </c>
      <c r="O63" s="16">
        <v>62</v>
      </c>
      <c r="P63" s="16" t="s">
        <v>94</v>
      </c>
      <c r="Q63" s="16" t="s">
        <v>451</v>
      </c>
      <c r="R63" s="16" t="s">
        <v>91</v>
      </c>
      <c r="S63" s="16" t="s">
        <v>93</v>
      </c>
      <c r="T63" s="16" t="s">
        <v>450</v>
      </c>
      <c r="U63" s="16" t="s">
        <v>445</v>
      </c>
      <c r="V63" s="16" t="s">
        <v>453</v>
      </c>
      <c r="W63" s="16" t="s">
        <v>452</v>
      </c>
    </row>
    <row r="64" spans="1:23">
      <c r="A64" s="9" t="s">
        <v>1158</v>
      </c>
      <c r="B64" s="9">
        <f ca="1">+IF(A64=WORLDCUP!$BI$112,1,0)</f>
        <v>0</v>
      </c>
      <c r="C64" s="9" t="str">
        <f ca="1">+WORLDCUP!BD62</f>
        <v>Ecuador</v>
      </c>
      <c r="D64" s="9" t="str">
        <f ca="1">+WORLDCUP!BD67</f>
        <v>Austria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RD Congo</v>
      </c>
      <c r="N64" s="16" t="s">
        <v>1158</v>
      </c>
      <c r="O64" s="16">
        <v>63</v>
      </c>
      <c r="P64" s="16" t="s">
        <v>94</v>
      </c>
      <c r="Q64" s="16" t="s">
        <v>451</v>
      </c>
      <c r="R64" s="16" t="s">
        <v>91</v>
      </c>
      <c r="S64" s="16" t="s">
        <v>93</v>
      </c>
      <c r="T64" s="16" t="s">
        <v>446</v>
      </c>
      <c r="U64" s="16" t="s">
        <v>445</v>
      </c>
      <c r="V64" s="16" t="s">
        <v>453</v>
      </c>
      <c r="W64" s="16" t="s">
        <v>452</v>
      </c>
    </row>
    <row r="65" spans="1:23">
      <c r="A65" s="9" t="s">
        <v>1157</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RD Congo</v>
      </c>
      <c r="N65" s="16" t="s">
        <v>1157</v>
      </c>
      <c r="O65" s="16">
        <v>64</v>
      </c>
      <c r="P65" s="16" t="s">
        <v>94</v>
      </c>
      <c r="Q65" s="16" t="s">
        <v>445</v>
      </c>
      <c r="R65" s="16" t="s">
        <v>91</v>
      </c>
      <c r="S65" s="16" t="s">
        <v>93</v>
      </c>
      <c r="T65" s="16" t="s">
        <v>450</v>
      </c>
      <c r="U65" s="16" t="s">
        <v>446</v>
      </c>
      <c r="V65" s="16" t="s">
        <v>453</v>
      </c>
      <c r="W65" s="16" t="s">
        <v>452</v>
      </c>
    </row>
    <row r="66" spans="1:23">
      <c r="A66" s="9" t="s">
        <v>1156</v>
      </c>
      <c r="B66" s="9">
        <f ca="1">+IF(A66=WORLDCUP!$BI$112,1,0)</f>
        <v>0</v>
      </c>
      <c r="C66" s="9" t="str">
        <f ca="1">+WORLDCUP!BD62</f>
        <v>Ecuador</v>
      </c>
      <c r="D66" s="9" t="str">
        <f ca="1">+WORLDCUP!BD67</f>
        <v>Austria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1156</v>
      </c>
      <c r="O66" s="16">
        <v>65</v>
      </c>
      <c r="P66" s="16" t="s">
        <v>94</v>
      </c>
      <c r="Q66" s="16" t="s">
        <v>451</v>
      </c>
      <c r="R66" s="16" t="s">
        <v>91</v>
      </c>
      <c r="S66" s="16" t="s">
        <v>93</v>
      </c>
      <c r="T66" s="16" t="s">
        <v>446</v>
      </c>
      <c r="U66" s="16" t="s">
        <v>445</v>
      </c>
      <c r="V66" s="16" t="s">
        <v>453</v>
      </c>
      <c r="W66" s="16" t="s">
        <v>450</v>
      </c>
    </row>
    <row r="67" spans="1:23">
      <c r="A67" s="9" t="s">
        <v>1155</v>
      </c>
      <c r="B67" s="9">
        <f ca="1">+IF(A67=WORLDCUP!$BI$112,1,0)</f>
        <v>0</v>
      </c>
      <c r="C67" s="9" t="str">
        <f ca="1">+WORLDCUP!BD62</f>
        <v>Ecuador</v>
      </c>
      <c r="D67" s="9" t="str">
        <f ca="1">+WORLDCUP!BD67</f>
        <v>Austria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1155</v>
      </c>
      <c r="O67" s="16">
        <v>66</v>
      </c>
      <c r="P67" s="16" t="s">
        <v>94</v>
      </c>
      <c r="Q67" s="16" t="s">
        <v>451</v>
      </c>
      <c r="R67" s="16" t="s">
        <v>91</v>
      </c>
      <c r="S67" s="16" t="s">
        <v>93</v>
      </c>
      <c r="T67" s="16" t="s">
        <v>446</v>
      </c>
      <c r="U67" s="16" t="s">
        <v>445</v>
      </c>
      <c r="V67" s="16" t="s">
        <v>450</v>
      </c>
      <c r="W67" s="16" t="s">
        <v>452</v>
      </c>
    </row>
    <row r="68" spans="1:23">
      <c r="A68" s="9" t="s">
        <v>1154</v>
      </c>
      <c r="B68" s="9">
        <f ca="1">+IF(A68=WORLDCUP!$BI$112,1,0)</f>
        <v>0</v>
      </c>
      <c r="C68" s="9" t="str">
        <f ca="1">+WORLDCUP!BD62</f>
        <v>Ecuador</v>
      </c>
      <c r="D68" s="9" t="str">
        <f ca="1">+WORLDCUP!BD67</f>
        <v>Austria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1154</v>
      </c>
      <c r="O68" s="16">
        <v>67</v>
      </c>
      <c r="P68" s="16" t="s">
        <v>94</v>
      </c>
      <c r="Q68" s="16" t="s">
        <v>451</v>
      </c>
      <c r="R68" s="16" t="s">
        <v>91</v>
      </c>
      <c r="S68" s="16" t="s">
        <v>93</v>
      </c>
      <c r="T68" s="16" t="s">
        <v>450</v>
      </c>
      <c r="U68" s="16" t="s">
        <v>95</v>
      </c>
      <c r="V68" s="16" t="s">
        <v>453</v>
      </c>
      <c r="W68" s="16" t="s">
        <v>452</v>
      </c>
    </row>
    <row r="69" spans="1:23">
      <c r="A69" s="9" t="s">
        <v>1153</v>
      </c>
      <c r="B69" s="9">
        <f ca="1">+IF(A69=WORLDCUP!$BI$112,1,0)</f>
        <v>0</v>
      </c>
      <c r="C69" s="9" t="str">
        <f ca="1">+WORLDCUP!BD62</f>
        <v>Ecuador</v>
      </c>
      <c r="D69" s="9" t="str">
        <f ca="1">+WORLDCUP!BD67</f>
        <v>Austria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RD Congo</v>
      </c>
      <c r="N69" s="16" t="s">
        <v>1153</v>
      </c>
      <c r="O69" s="16">
        <v>68</v>
      </c>
      <c r="P69" s="16" t="s">
        <v>94</v>
      </c>
      <c r="Q69" s="16" t="s">
        <v>451</v>
      </c>
      <c r="R69" s="16" t="s">
        <v>91</v>
      </c>
      <c r="S69" s="16" t="s">
        <v>93</v>
      </c>
      <c r="T69" s="16" t="s">
        <v>446</v>
      </c>
      <c r="U69" s="16" t="s">
        <v>95</v>
      </c>
      <c r="V69" s="16" t="s">
        <v>453</v>
      </c>
      <c r="W69" s="16" t="s">
        <v>452</v>
      </c>
    </row>
    <row r="70" spans="1:23">
      <c r="A70" s="9" t="s">
        <v>1152</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RD Congo</v>
      </c>
      <c r="N70" s="16" t="s">
        <v>1152</v>
      </c>
      <c r="O70" s="16">
        <v>69</v>
      </c>
      <c r="P70" s="16" t="s">
        <v>94</v>
      </c>
      <c r="Q70" s="16" t="s">
        <v>450</v>
      </c>
      <c r="R70" s="16" t="s">
        <v>91</v>
      </c>
      <c r="S70" s="16" t="s">
        <v>93</v>
      </c>
      <c r="T70" s="16" t="s">
        <v>446</v>
      </c>
      <c r="U70" s="16" t="s">
        <v>95</v>
      </c>
      <c r="V70" s="16" t="s">
        <v>453</v>
      </c>
      <c r="W70" s="16" t="s">
        <v>452</v>
      </c>
    </row>
    <row r="71" spans="1:23">
      <c r="A71" s="9" t="s">
        <v>1151</v>
      </c>
      <c r="B71" s="9">
        <f ca="1">+IF(A71=WORLDCUP!$BI$112,1,0)</f>
        <v>0</v>
      </c>
      <c r="C71" s="9" t="str">
        <f ca="1">+WORLDCUP!BD62</f>
        <v>Ecuador</v>
      </c>
      <c r="D71" s="9" t="str">
        <f ca="1">+WORLDCUP!BD67</f>
        <v>Austria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1151</v>
      </c>
      <c r="O71" s="16">
        <v>70</v>
      </c>
      <c r="P71" s="16" t="s">
        <v>94</v>
      </c>
      <c r="Q71" s="16" t="s">
        <v>451</v>
      </c>
      <c r="R71" s="16" t="s">
        <v>91</v>
      </c>
      <c r="S71" s="16" t="s">
        <v>93</v>
      </c>
      <c r="T71" s="16" t="s">
        <v>446</v>
      </c>
      <c r="U71" s="16" t="s">
        <v>95</v>
      </c>
      <c r="V71" s="16" t="s">
        <v>453</v>
      </c>
      <c r="W71" s="16" t="s">
        <v>450</v>
      </c>
    </row>
    <row r="72" spans="1:23">
      <c r="A72" s="9" t="s">
        <v>1150</v>
      </c>
      <c r="B72" s="9">
        <f ca="1">+IF(A72=WORLDCUP!$BI$112,1,0)</f>
        <v>0</v>
      </c>
      <c r="C72" s="9" t="str">
        <f ca="1">+WORLDCUP!BD62</f>
        <v>Ecuador</v>
      </c>
      <c r="D72" s="9" t="str">
        <f ca="1">+WORLDCUP!BD67</f>
        <v>Austria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1150</v>
      </c>
      <c r="O72" s="16">
        <v>71</v>
      </c>
      <c r="P72" s="16" t="s">
        <v>94</v>
      </c>
      <c r="Q72" s="16" t="s">
        <v>451</v>
      </c>
      <c r="R72" s="16" t="s">
        <v>91</v>
      </c>
      <c r="S72" s="16" t="s">
        <v>93</v>
      </c>
      <c r="T72" s="16" t="s">
        <v>446</v>
      </c>
      <c r="U72" s="16" t="s">
        <v>95</v>
      </c>
      <c r="V72" s="16" t="s">
        <v>450</v>
      </c>
      <c r="W72" s="16" t="s">
        <v>452</v>
      </c>
    </row>
    <row r="73" spans="1:23">
      <c r="A73" s="9" t="s">
        <v>1149</v>
      </c>
      <c r="B73" s="9">
        <f ca="1">+IF(A73=WORLDCUP!$BI$112,1,0)</f>
        <v>0</v>
      </c>
      <c r="C73" s="9" t="str">
        <f ca="1">+WORLDCUP!BD62</f>
        <v>Ecuador</v>
      </c>
      <c r="D73" s="9" t="str">
        <f ca="1">+WORLDCUP!BD64</f>
        <v>Irán</v>
      </c>
      <c r="E73" s="9" t="str">
        <f ca="1">+WORLDCUP!BD59</f>
        <v>Bosnia y Herzegovina</v>
      </c>
      <c r="F73" s="9" t="str">
        <f ca="1">+WORLDCUP!BD61</f>
        <v>Paraguay</v>
      </c>
      <c r="G73" s="9" t="str">
        <f ca="1">+WORLDCUP!BD67</f>
        <v>Austria</v>
      </c>
      <c r="H73" s="9" t="str">
        <f ca="1">+WORLDCUP!BD63</f>
        <v>Suecia</v>
      </c>
      <c r="I73" s="9" t="str">
        <f ca="1">+WORLDCUP!BD69</f>
        <v>Ghana</v>
      </c>
      <c r="J73" s="9" t="str">
        <f ca="1">+WORLDCUP!BD68</f>
        <v>RD Congo</v>
      </c>
      <c r="N73" s="16" t="s">
        <v>1149</v>
      </c>
      <c r="O73" s="16">
        <v>72</v>
      </c>
      <c r="P73" s="16" t="s">
        <v>94</v>
      </c>
      <c r="Q73" s="16" t="s">
        <v>445</v>
      </c>
      <c r="R73" s="16" t="s">
        <v>91</v>
      </c>
      <c r="S73" s="16" t="s">
        <v>93</v>
      </c>
      <c r="T73" s="16" t="s">
        <v>451</v>
      </c>
      <c r="U73" s="16" t="s">
        <v>95</v>
      </c>
      <c r="V73" s="16" t="s">
        <v>453</v>
      </c>
      <c r="W73" s="16" t="s">
        <v>452</v>
      </c>
    </row>
    <row r="74" spans="1:23">
      <c r="A74" s="9" t="s">
        <v>1148</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1148</v>
      </c>
      <c r="O74" s="16">
        <v>73</v>
      </c>
      <c r="P74" s="16" t="s">
        <v>94</v>
      </c>
      <c r="Q74" s="16" t="s">
        <v>445</v>
      </c>
      <c r="R74" s="16" t="s">
        <v>91</v>
      </c>
      <c r="S74" s="16" t="s">
        <v>93</v>
      </c>
      <c r="T74" s="16" t="s">
        <v>450</v>
      </c>
      <c r="U74" s="16" t="s">
        <v>95</v>
      </c>
      <c r="V74" s="16" t="s">
        <v>453</v>
      </c>
      <c r="W74" s="16" t="s">
        <v>452</v>
      </c>
    </row>
    <row r="75" spans="1:23">
      <c r="A75" s="9" t="s">
        <v>1147</v>
      </c>
      <c r="B75" s="9">
        <f ca="1">+IF(A75=WORLDCUP!$BI$112,1,0)</f>
        <v>0</v>
      </c>
      <c r="C75" s="9" t="str">
        <f ca="1">+WORLDCUP!BD62</f>
        <v>Ecuador</v>
      </c>
      <c r="D75" s="9" t="str">
        <f ca="1">+WORLDCUP!BD64</f>
        <v>Irán</v>
      </c>
      <c r="E75" s="9" t="str">
        <f ca="1">+WORLDCUP!BD59</f>
        <v>Bosnia y Herzegovina</v>
      </c>
      <c r="F75" s="9" t="str">
        <f ca="1">+WORLDCUP!BD61</f>
        <v>Paraguay</v>
      </c>
      <c r="G75" s="9" t="str">
        <f ca="1">+WORLDCUP!BD67</f>
        <v>Austria</v>
      </c>
      <c r="H75" s="9" t="str">
        <f ca="1">+WORLDCUP!BD63</f>
        <v>Suecia</v>
      </c>
      <c r="I75" s="9" t="str">
        <f ca="1">+WORLDCUP!BD69</f>
        <v>Ghana</v>
      </c>
      <c r="J75" s="9" t="str">
        <f ca="1">+WORLDCUP!BD66</f>
        <v>Senegal</v>
      </c>
      <c r="N75" s="16" t="s">
        <v>1147</v>
      </c>
      <c r="O75" s="16">
        <v>74</v>
      </c>
      <c r="P75" s="16" t="s">
        <v>94</v>
      </c>
      <c r="Q75" s="16" t="s">
        <v>445</v>
      </c>
      <c r="R75" s="16" t="s">
        <v>91</v>
      </c>
      <c r="S75" s="16" t="s">
        <v>93</v>
      </c>
      <c r="T75" s="16" t="s">
        <v>451</v>
      </c>
      <c r="U75" s="16" t="s">
        <v>95</v>
      </c>
      <c r="V75" s="16" t="s">
        <v>453</v>
      </c>
      <c r="W75" s="16" t="s">
        <v>450</v>
      </c>
    </row>
    <row r="76" spans="1:23">
      <c r="A76" s="9" t="s">
        <v>1146</v>
      </c>
      <c r="B76" s="9">
        <f ca="1">+IF(A76=WORLDCUP!$BI$112,1,0)</f>
        <v>0</v>
      </c>
      <c r="C76" s="9" t="str">
        <f ca="1">+WORLDCUP!BD62</f>
        <v>Ecuador</v>
      </c>
      <c r="D76" s="9" t="str">
        <f ca="1">+WORLDCUP!BD64</f>
        <v>Irán</v>
      </c>
      <c r="E76" s="9" t="str">
        <f ca="1">+WORLDCUP!BD59</f>
        <v>Bosnia y Herzegovina</v>
      </c>
      <c r="F76" s="9" t="str">
        <f ca="1">+WORLDCUP!BD61</f>
        <v>Paraguay</v>
      </c>
      <c r="G76" s="9" t="str">
        <f ca="1">+WORLDCUP!BD67</f>
        <v>Austria</v>
      </c>
      <c r="H76" s="9" t="str">
        <f ca="1">+WORLDCUP!BD63</f>
        <v>Suecia</v>
      </c>
      <c r="I76" s="9" t="str">
        <f ca="1">+WORLDCUP!BD66</f>
        <v>Senegal</v>
      </c>
      <c r="J76" s="9" t="str">
        <f ca="1">+WORLDCUP!BD68</f>
        <v>RD Congo</v>
      </c>
      <c r="N76" s="16" t="s">
        <v>1146</v>
      </c>
      <c r="O76" s="16">
        <v>75</v>
      </c>
      <c r="P76" s="16" t="s">
        <v>94</v>
      </c>
      <c r="Q76" s="16" t="s">
        <v>445</v>
      </c>
      <c r="R76" s="16" t="s">
        <v>91</v>
      </c>
      <c r="S76" s="16" t="s">
        <v>93</v>
      </c>
      <c r="T76" s="16" t="s">
        <v>451</v>
      </c>
      <c r="U76" s="16" t="s">
        <v>95</v>
      </c>
      <c r="V76" s="16" t="s">
        <v>450</v>
      </c>
      <c r="W76" s="16" t="s">
        <v>452</v>
      </c>
    </row>
    <row r="77" spans="1:23">
      <c r="A77" s="9" t="s">
        <v>613</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RD Congo</v>
      </c>
      <c r="N77" s="16" t="s">
        <v>613</v>
      </c>
      <c r="O77" s="16">
        <v>76</v>
      </c>
      <c r="P77" s="16" t="s">
        <v>94</v>
      </c>
      <c r="Q77" s="16" t="s">
        <v>445</v>
      </c>
      <c r="R77" s="16" t="s">
        <v>91</v>
      </c>
      <c r="S77" s="16" t="s">
        <v>93</v>
      </c>
      <c r="T77" s="16" t="s">
        <v>446</v>
      </c>
      <c r="U77" s="16" t="s">
        <v>95</v>
      </c>
      <c r="V77" s="16" t="s">
        <v>453</v>
      </c>
      <c r="W77" s="16" t="s">
        <v>452</v>
      </c>
    </row>
    <row r="78" spans="1:23">
      <c r="A78" s="9" t="s">
        <v>612</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Austria</v>
      </c>
      <c r="H78" s="9" t="str">
        <f ca="1">+WORLDCUP!BD63</f>
        <v>Suecia</v>
      </c>
      <c r="I78" s="9" t="str">
        <f ca="1">+WORLDCUP!BD69</f>
        <v>Ghana</v>
      </c>
      <c r="J78" s="9" t="str">
        <f ca="1">+WORLDCUP!BD62</f>
        <v>Ecuador</v>
      </c>
      <c r="N78" s="16" t="s">
        <v>612</v>
      </c>
      <c r="O78" s="16">
        <v>77</v>
      </c>
      <c r="P78" s="16" t="s">
        <v>446</v>
      </c>
      <c r="Q78" s="16" t="s">
        <v>445</v>
      </c>
      <c r="R78" s="16" t="s">
        <v>91</v>
      </c>
      <c r="S78" s="16" t="s">
        <v>93</v>
      </c>
      <c r="T78" s="16" t="s">
        <v>451</v>
      </c>
      <c r="U78" s="16" t="s">
        <v>95</v>
      </c>
      <c r="V78" s="16" t="s">
        <v>453</v>
      </c>
      <c r="W78" s="16" t="s">
        <v>94</v>
      </c>
    </row>
    <row r="79" spans="1:23">
      <c r="A79" s="9" t="s">
        <v>611</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Austria</v>
      </c>
      <c r="H79" s="9" t="str">
        <f ca="1">+WORLDCUP!BD63</f>
        <v>Suecia</v>
      </c>
      <c r="I79" s="9" t="str">
        <f ca="1">+WORLDCUP!BD62</f>
        <v>Ecuador</v>
      </c>
      <c r="J79" s="9" t="str">
        <f ca="1">+WORLDCUP!BD68</f>
        <v>RD Congo</v>
      </c>
      <c r="N79" s="16" t="s">
        <v>611</v>
      </c>
      <c r="O79" s="16">
        <v>78</v>
      </c>
      <c r="P79" s="16" t="s">
        <v>446</v>
      </c>
      <c r="Q79" s="16" t="s">
        <v>445</v>
      </c>
      <c r="R79" s="16" t="s">
        <v>91</v>
      </c>
      <c r="S79" s="16" t="s">
        <v>93</v>
      </c>
      <c r="T79" s="16" t="s">
        <v>451</v>
      </c>
      <c r="U79" s="16" t="s">
        <v>95</v>
      </c>
      <c r="V79" s="16" t="s">
        <v>94</v>
      </c>
      <c r="W79" s="16" t="s">
        <v>452</v>
      </c>
    </row>
    <row r="80" spans="1:23">
      <c r="A80" s="9" t="s">
        <v>610</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610</v>
      </c>
      <c r="O80" s="16">
        <v>79</v>
      </c>
      <c r="P80" s="16" t="s">
        <v>94</v>
      </c>
      <c r="Q80" s="16" t="s">
        <v>445</v>
      </c>
      <c r="R80" s="16" t="s">
        <v>91</v>
      </c>
      <c r="S80" s="16" t="s">
        <v>93</v>
      </c>
      <c r="T80" s="16" t="s">
        <v>446</v>
      </c>
      <c r="U80" s="16" t="s">
        <v>95</v>
      </c>
      <c r="V80" s="16" t="s">
        <v>453</v>
      </c>
      <c r="W80" s="16" t="s">
        <v>450</v>
      </c>
    </row>
    <row r="81" spans="1:23">
      <c r="A81" s="9" t="s">
        <v>609</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609</v>
      </c>
      <c r="O81" s="16">
        <v>80</v>
      </c>
      <c r="P81" s="16" t="s">
        <v>94</v>
      </c>
      <c r="Q81" s="16" t="s">
        <v>445</v>
      </c>
      <c r="R81" s="16" t="s">
        <v>91</v>
      </c>
      <c r="S81" s="16" t="s">
        <v>93</v>
      </c>
      <c r="T81" s="16" t="s">
        <v>446</v>
      </c>
      <c r="U81" s="16" t="s">
        <v>95</v>
      </c>
      <c r="V81" s="16" t="s">
        <v>450</v>
      </c>
      <c r="W81" s="16" t="s">
        <v>452</v>
      </c>
    </row>
    <row r="82" spans="1:23">
      <c r="A82" s="9" t="s">
        <v>608</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Austria</v>
      </c>
      <c r="H82" s="9" t="str">
        <f ca="1">+WORLDCUP!BD63</f>
        <v>Suecia</v>
      </c>
      <c r="I82" s="9" t="str">
        <f ca="1">+WORLDCUP!BD62</f>
        <v>Ecuador</v>
      </c>
      <c r="J82" s="9" t="str">
        <f ca="1">+WORLDCUP!BD66</f>
        <v>Senegal</v>
      </c>
      <c r="N82" s="16" t="s">
        <v>608</v>
      </c>
      <c r="O82" s="16">
        <v>81</v>
      </c>
      <c r="P82" s="16" t="s">
        <v>446</v>
      </c>
      <c r="Q82" s="16" t="s">
        <v>445</v>
      </c>
      <c r="R82" s="16" t="s">
        <v>91</v>
      </c>
      <c r="S82" s="16" t="s">
        <v>93</v>
      </c>
      <c r="T82" s="16" t="s">
        <v>451</v>
      </c>
      <c r="U82" s="16" t="s">
        <v>95</v>
      </c>
      <c r="V82" s="16" t="s">
        <v>94</v>
      </c>
      <c r="W82" s="16" t="s">
        <v>450</v>
      </c>
    </row>
    <row r="83" spans="1:23">
      <c r="A83" s="9" t="s">
        <v>1145</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1145</v>
      </c>
      <c r="O83" s="16">
        <v>82</v>
      </c>
      <c r="P83" s="16" t="s">
        <v>446</v>
      </c>
      <c r="Q83" s="16" t="s">
        <v>451</v>
      </c>
      <c r="R83" s="16" t="s">
        <v>91</v>
      </c>
      <c r="S83" s="16" t="s">
        <v>92</v>
      </c>
      <c r="T83" s="16" t="s">
        <v>450</v>
      </c>
      <c r="U83" s="16" t="s">
        <v>445</v>
      </c>
      <c r="V83" s="16" t="s">
        <v>453</v>
      </c>
      <c r="W83" s="16" t="s">
        <v>452</v>
      </c>
    </row>
    <row r="84" spans="1:23">
      <c r="A84" s="9" t="s">
        <v>1144</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1144</v>
      </c>
      <c r="O84" s="16">
        <v>83</v>
      </c>
      <c r="P84" s="16" t="s">
        <v>446</v>
      </c>
      <c r="Q84" s="16" t="s">
        <v>451</v>
      </c>
      <c r="R84" s="16" t="s">
        <v>91</v>
      </c>
      <c r="S84" s="16" t="s">
        <v>92</v>
      </c>
      <c r="T84" s="16" t="s">
        <v>450</v>
      </c>
      <c r="U84" s="16" t="s">
        <v>95</v>
      </c>
      <c r="V84" s="16" t="s">
        <v>453</v>
      </c>
      <c r="W84" s="16" t="s">
        <v>452</v>
      </c>
    </row>
    <row r="85" spans="1:23">
      <c r="A85" s="9" t="s">
        <v>1143</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Ghana</v>
      </c>
      <c r="J85" s="9" t="str">
        <f ca="1">+WORLDCUP!BD68</f>
        <v>RD Congo</v>
      </c>
      <c r="N85" s="16" t="s">
        <v>1143</v>
      </c>
      <c r="O85" s="16">
        <v>84</v>
      </c>
      <c r="P85" s="16" t="s">
        <v>450</v>
      </c>
      <c r="Q85" s="16" t="s">
        <v>445</v>
      </c>
      <c r="R85" s="16" t="s">
        <v>91</v>
      </c>
      <c r="S85" s="16" t="s">
        <v>92</v>
      </c>
      <c r="T85" s="16" t="s">
        <v>451</v>
      </c>
      <c r="U85" s="16" t="s">
        <v>95</v>
      </c>
      <c r="V85" s="16" t="s">
        <v>453</v>
      </c>
      <c r="W85" s="16" t="s">
        <v>452</v>
      </c>
    </row>
    <row r="86" spans="1:23">
      <c r="A86" s="9" t="s">
        <v>1142</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Ghana</v>
      </c>
      <c r="J86" s="9" t="str">
        <f ca="1">+WORLDCUP!BD68</f>
        <v>RD Congo</v>
      </c>
      <c r="N86" s="16" t="s">
        <v>1142</v>
      </c>
      <c r="O86" s="16">
        <v>85</v>
      </c>
      <c r="P86" s="16" t="s">
        <v>446</v>
      </c>
      <c r="Q86" s="16" t="s">
        <v>445</v>
      </c>
      <c r="R86" s="16" t="s">
        <v>91</v>
      </c>
      <c r="S86" s="16" t="s">
        <v>92</v>
      </c>
      <c r="T86" s="16" t="s">
        <v>451</v>
      </c>
      <c r="U86" s="16" t="s">
        <v>95</v>
      </c>
      <c r="V86" s="16" t="s">
        <v>453</v>
      </c>
      <c r="W86" s="16" t="s">
        <v>452</v>
      </c>
    </row>
    <row r="87" spans="1:23">
      <c r="A87" s="9" t="s">
        <v>1141</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1141</v>
      </c>
      <c r="O87" s="16">
        <v>86</v>
      </c>
      <c r="P87" s="16" t="s">
        <v>446</v>
      </c>
      <c r="Q87" s="16" t="s">
        <v>445</v>
      </c>
      <c r="R87" s="16" t="s">
        <v>91</v>
      </c>
      <c r="S87" s="16" t="s">
        <v>92</v>
      </c>
      <c r="T87" s="16" t="s">
        <v>450</v>
      </c>
      <c r="U87" s="16" t="s">
        <v>95</v>
      </c>
      <c r="V87" s="16" t="s">
        <v>453</v>
      </c>
      <c r="W87" s="16" t="s">
        <v>452</v>
      </c>
    </row>
    <row r="88" spans="1:23">
      <c r="A88" s="9" t="s">
        <v>1140</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Ghana</v>
      </c>
      <c r="J88" s="9" t="str">
        <f ca="1">+WORLDCUP!BD66</f>
        <v>Senegal</v>
      </c>
      <c r="N88" s="16" t="s">
        <v>1140</v>
      </c>
      <c r="O88" s="16">
        <v>87</v>
      </c>
      <c r="P88" s="16" t="s">
        <v>446</v>
      </c>
      <c r="Q88" s="16" t="s">
        <v>445</v>
      </c>
      <c r="R88" s="16" t="s">
        <v>91</v>
      </c>
      <c r="S88" s="16" t="s">
        <v>92</v>
      </c>
      <c r="T88" s="16" t="s">
        <v>451</v>
      </c>
      <c r="U88" s="16" t="s">
        <v>95</v>
      </c>
      <c r="V88" s="16" t="s">
        <v>453</v>
      </c>
      <c r="W88" s="16" t="s">
        <v>450</v>
      </c>
    </row>
    <row r="89" spans="1:23">
      <c r="A89" s="9" t="s">
        <v>1139</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1139</v>
      </c>
      <c r="O89" s="16">
        <v>88</v>
      </c>
      <c r="P89" s="16" t="s">
        <v>446</v>
      </c>
      <c r="Q89" s="16" t="s">
        <v>445</v>
      </c>
      <c r="R89" s="16" t="s">
        <v>91</v>
      </c>
      <c r="S89" s="16" t="s">
        <v>92</v>
      </c>
      <c r="T89" s="16" t="s">
        <v>451</v>
      </c>
      <c r="U89" s="16" t="s">
        <v>95</v>
      </c>
      <c r="V89" s="16" t="s">
        <v>450</v>
      </c>
      <c r="W89" s="16" t="s">
        <v>452</v>
      </c>
    </row>
    <row r="90" spans="1:23">
      <c r="A90" s="9" t="s">
        <v>1138</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1138</v>
      </c>
      <c r="O90" s="16">
        <v>89</v>
      </c>
      <c r="P90" s="16" t="s">
        <v>94</v>
      </c>
      <c r="Q90" s="16" t="s">
        <v>451</v>
      </c>
      <c r="R90" s="16" t="s">
        <v>91</v>
      </c>
      <c r="S90" s="16" t="s">
        <v>92</v>
      </c>
      <c r="T90" s="16" t="s">
        <v>450</v>
      </c>
      <c r="U90" s="16" t="s">
        <v>446</v>
      </c>
      <c r="V90" s="16" t="s">
        <v>453</v>
      </c>
      <c r="W90" s="16" t="s">
        <v>452</v>
      </c>
    </row>
    <row r="91" spans="1:23">
      <c r="A91" s="9" t="s">
        <v>1137</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1137</v>
      </c>
      <c r="O91" s="16">
        <v>90</v>
      </c>
      <c r="P91" s="16" t="s">
        <v>94</v>
      </c>
      <c r="Q91" s="16" t="s">
        <v>451</v>
      </c>
      <c r="R91" s="16" t="s">
        <v>91</v>
      </c>
      <c r="S91" s="16" t="s">
        <v>92</v>
      </c>
      <c r="T91" s="16" t="s">
        <v>450</v>
      </c>
      <c r="U91" s="16" t="s">
        <v>445</v>
      </c>
      <c r="V91" s="16" t="s">
        <v>453</v>
      </c>
      <c r="W91" s="16" t="s">
        <v>452</v>
      </c>
    </row>
    <row r="92" spans="1:23">
      <c r="A92" s="9" t="s">
        <v>1136</v>
      </c>
      <c r="B92" s="9">
        <f ca="1">+IF(A92=WORLDCUP!$BI$112,1,0)</f>
        <v>0</v>
      </c>
      <c r="C92" s="9" t="str">
        <f ca="1">+WORLDCUP!BD62</f>
        <v>Ecuador</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1136</v>
      </c>
      <c r="O92" s="16">
        <v>91</v>
      </c>
      <c r="P92" s="16" t="s">
        <v>94</v>
      </c>
      <c r="Q92" s="16" t="s">
        <v>451</v>
      </c>
      <c r="R92" s="16" t="s">
        <v>91</v>
      </c>
      <c r="S92" s="16" t="s">
        <v>92</v>
      </c>
      <c r="T92" s="16" t="s">
        <v>446</v>
      </c>
      <c r="U92" s="16" t="s">
        <v>445</v>
      </c>
      <c r="V92" s="16" t="s">
        <v>453</v>
      </c>
      <c r="W92" s="16" t="s">
        <v>452</v>
      </c>
    </row>
    <row r="93" spans="1:23">
      <c r="A93" s="9" t="s">
        <v>1135</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1135</v>
      </c>
      <c r="O93" s="16">
        <v>92</v>
      </c>
      <c r="P93" s="16" t="s">
        <v>94</v>
      </c>
      <c r="Q93" s="16" t="s">
        <v>445</v>
      </c>
      <c r="R93" s="16" t="s">
        <v>91</v>
      </c>
      <c r="S93" s="16" t="s">
        <v>92</v>
      </c>
      <c r="T93" s="16" t="s">
        <v>450</v>
      </c>
      <c r="U93" s="16" t="s">
        <v>446</v>
      </c>
      <c r="V93" s="16" t="s">
        <v>453</v>
      </c>
      <c r="W93" s="16" t="s">
        <v>452</v>
      </c>
    </row>
    <row r="94" spans="1:23">
      <c r="A94" s="9" t="s">
        <v>1134</v>
      </c>
      <c r="B94" s="9">
        <f ca="1">+IF(A94=WORLDCUP!$BI$112,1,0)</f>
        <v>0</v>
      </c>
      <c r="C94" s="9" t="str">
        <f ca="1">+WORLDCUP!BD62</f>
        <v>Ecuador</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Senegal</v>
      </c>
      <c r="N94" s="16" t="s">
        <v>1134</v>
      </c>
      <c r="O94" s="16">
        <v>93</v>
      </c>
      <c r="P94" s="16" t="s">
        <v>94</v>
      </c>
      <c r="Q94" s="16" t="s">
        <v>451</v>
      </c>
      <c r="R94" s="16" t="s">
        <v>91</v>
      </c>
      <c r="S94" s="16" t="s">
        <v>92</v>
      </c>
      <c r="T94" s="16" t="s">
        <v>446</v>
      </c>
      <c r="U94" s="16" t="s">
        <v>445</v>
      </c>
      <c r="V94" s="16" t="s">
        <v>453</v>
      </c>
      <c r="W94" s="16" t="s">
        <v>450</v>
      </c>
    </row>
    <row r="95" spans="1:23">
      <c r="A95" s="9" t="s">
        <v>1133</v>
      </c>
      <c r="B95" s="9">
        <f ca="1">+IF(A95=WORLDCUP!$BI$112,1,0)</f>
        <v>0</v>
      </c>
      <c r="C95" s="9" t="str">
        <f ca="1">+WORLDCUP!BD62</f>
        <v>Ecuador</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1133</v>
      </c>
      <c r="O95" s="16">
        <v>94</v>
      </c>
      <c r="P95" s="16" t="s">
        <v>94</v>
      </c>
      <c r="Q95" s="16" t="s">
        <v>451</v>
      </c>
      <c r="R95" s="16" t="s">
        <v>91</v>
      </c>
      <c r="S95" s="16" t="s">
        <v>92</v>
      </c>
      <c r="T95" s="16" t="s">
        <v>446</v>
      </c>
      <c r="U95" s="16" t="s">
        <v>445</v>
      </c>
      <c r="V95" s="16" t="s">
        <v>450</v>
      </c>
      <c r="W95" s="16" t="s">
        <v>452</v>
      </c>
    </row>
    <row r="96" spans="1:23">
      <c r="A96" s="9" t="s">
        <v>1132</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1132</v>
      </c>
      <c r="O96" s="16">
        <v>95</v>
      </c>
      <c r="P96" s="16" t="s">
        <v>94</v>
      </c>
      <c r="Q96" s="16" t="s">
        <v>451</v>
      </c>
      <c r="R96" s="16" t="s">
        <v>91</v>
      </c>
      <c r="S96" s="16" t="s">
        <v>92</v>
      </c>
      <c r="T96" s="16" t="s">
        <v>450</v>
      </c>
      <c r="U96" s="16" t="s">
        <v>95</v>
      </c>
      <c r="V96" s="16" t="s">
        <v>453</v>
      </c>
      <c r="W96" s="16" t="s">
        <v>452</v>
      </c>
    </row>
    <row r="97" spans="1:23">
      <c r="A97" s="9" t="s">
        <v>1131</v>
      </c>
      <c r="B97" s="9">
        <f ca="1">+IF(A97=WORLDCUP!$BI$112,1,0)</f>
        <v>0</v>
      </c>
      <c r="C97" s="9" t="str">
        <f ca="1">+WORLDCUP!BD62</f>
        <v>Ecuador</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1131</v>
      </c>
      <c r="O97" s="16">
        <v>96</v>
      </c>
      <c r="P97" s="16" t="s">
        <v>94</v>
      </c>
      <c r="Q97" s="16" t="s">
        <v>451</v>
      </c>
      <c r="R97" s="16" t="s">
        <v>91</v>
      </c>
      <c r="S97" s="16" t="s">
        <v>92</v>
      </c>
      <c r="T97" s="16" t="s">
        <v>446</v>
      </c>
      <c r="U97" s="16" t="s">
        <v>95</v>
      </c>
      <c r="V97" s="16" t="s">
        <v>453</v>
      </c>
      <c r="W97" s="16" t="s">
        <v>452</v>
      </c>
    </row>
    <row r="98" spans="1:23">
      <c r="A98" s="9" t="s">
        <v>1130</v>
      </c>
      <c r="B98" s="9">
        <f ca="1">+IF(A98=WORLDCUP!$BI$112,1,0)</f>
        <v>0</v>
      </c>
      <c r="C98" s="9" t="str">
        <f ca="1">+WORLDCUP!BD62</f>
        <v>Ecuador</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1130</v>
      </c>
      <c r="O98" s="16">
        <v>97</v>
      </c>
      <c r="P98" s="16" t="s">
        <v>94</v>
      </c>
      <c r="Q98" s="16" t="s">
        <v>450</v>
      </c>
      <c r="R98" s="16" t="s">
        <v>91</v>
      </c>
      <c r="S98" s="16" t="s">
        <v>92</v>
      </c>
      <c r="T98" s="16" t="s">
        <v>446</v>
      </c>
      <c r="U98" s="16" t="s">
        <v>95</v>
      </c>
      <c r="V98" s="16" t="s">
        <v>453</v>
      </c>
      <c r="W98" s="16" t="s">
        <v>452</v>
      </c>
    </row>
    <row r="99" spans="1:23">
      <c r="A99" s="9" t="s">
        <v>1129</v>
      </c>
      <c r="B99" s="9">
        <f ca="1">+IF(A99=WORLDCUP!$BI$112,1,0)</f>
        <v>0</v>
      </c>
      <c r="C99" s="9" t="str">
        <f ca="1">+WORLDCUP!BD62</f>
        <v>Ecuador</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1129</v>
      </c>
      <c r="O99" s="16">
        <v>98</v>
      </c>
      <c r="P99" s="16" t="s">
        <v>94</v>
      </c>
      <c r="Q99" s="16" t="s">
        <v>451</v>
      </c>
      <c r="R99" s="16" t="s">
        <v>91</v>
      </c>
      <c r="S99" s="16" t="s">
        <v>92</v>
      </c>
      <c r="T99" s="16" t="s">
        <v>446</v>
      </c>
      <c r="U99" s="16" t="s">
        <v>95</v>
      </c>
      <c r="V99" s="16" t="s">
        <v>453</v>
      </c>
      <c r="W99" s="16" t="s">
        <v>450</v>
      </c>
    </row>
    <row r="100" spans="1:23">
      <c r="A100" s="9" t="s">
        <v>1128</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1128</v>
      </c>
      <c r="O100" s="16">
        <v>99</v>
      </c>
      <c r="P100" s="16" t="s">
        <v>94</v>
      </c>
      <c r="Q100" s="16" t="s">
        <v>451</v>
      </c>
      <c r="R100" s="16" t="s">
        <v>91</v>
      </c>
      <c r="S100" s="16" t="s">
        <v>92</v>
      </c>
      <c r="T100" s="16" t="s">
        <v>446</v>
      </c>
      <c r="U100" s="16" t="s">
        <v>95</v>
      </c>
      <c r="V100" s="16" t="s">
        <v>450</v>
      </c>
      <c r="W100" s="16" t="s">
        <v>452</v>
      </c>
    </row>
    <row r="101" spans="1:23">
      <c r="A101" s="9" t="s">
        <v>1127</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Ghana</v>
      </c>
      <c r="J101" s="9" t="str">
        <f ca="1">+WORLDCUP!BD68</f>
        <v>RD Congo</v>
      </c>
      <c r="N101" s="16" t="s">
        <v>1127</v>
      </c>
      <c r="O101" s="16">
        <v>100</v>
      </c>
      <c r="P101" s="16" t="s">
        <v>94</v>
      </c>
      <c r="Q101" s="16" t="s">
        <v>445</v>
      </c>
      <c r="R101" s="16" t="s">
        <v>91</v>
      </c>
      <c r="S101" s="16" t="s">
        <v>92</v>
      </c>
      <c r="T101" s="16" t="s">
        <v>451</v>
      </c>
      <c r="U101" s="16" t="s">
        <v>95</v>
      </c>
      <c r="V101" s="16" t="s">
        <v>453</v>
      </c>
      <c r="W101" s="16" t="s">
        <v>452</v>
      </c>
    </row>
    <row r="102" spans="1:23">
      <c r="A102" s="9" t="s">
        <v>1126</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1126</v>
      </c>
      <c r="O102" s="16">
        <v>101</v>
      </c>
      <c r="P102" s="16" t="s">
        <v>94</v>
      </c>
      <c r="Q102" s="16" t="s">
        <v>445</v>
      </c>
      <c r="R102" s="16" t="s">
        <v>91</v>
      </c>
      <c r="S102" s="16" t="s">
        <v>92</v>
      </c>
      <c r="T102" s="16" t="s">
        <v>450</v>
      </c>
      <c r="U102" s="16" t="s">
        <v>95</v>
      </c>
      <c r="V102" s="16" t="s">
        <v>453</v>
      </c>
      <c r="W102" s="16" t="s">
        <v>452</v>
      </c>
    </row>
    <row r="103" spans="1:23">
      <c r="A103" s="9" t="s">
        <v>1125</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Ghana</v>
      </c>
      <c r="J103" s="9" t="str">
        <f ca="1">+WORLDCUP!BD66</f>
        <v>Senegal</v>
      </c>
      <c r="N103" s="16" t="s">
        <v>1125</v>
      </c>
      <c r="O103" s="16">
        <v>102</v>
      </c>
      <c r="P103" s="16" t="s">
        <v>94</v>
      </c>
      <c r="Q103" s="16" t="s">
        <v>445</v>
      </c>
      <c r="R103" s="16" t="s">
        <v>91</v>
      </c>
      <c r="S103" s="16" t="s">
        <v>92</v>
      </c>
      <c r="T103" s="16" t="s">
        <v>451</v>
      </c>
      <c r="U103" s="16" t="s">
        <v>95</v>
      </c>
      <c r="V103" s="16" t="s">
        <v>453</v>
      </c>
      <c r="W103" s="16" t="s">
        <v>450</v>
      </c>
    </row>
    <row r="104" spans="1:23">
      <c r="A104" s="9" t="s">
        <v>1124</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1124</v>
      </c>
      <c r="O104" s="16">
        <v>103</v>
      </c>
      <c r="P104" s="16" t="s">
        <v>94</v>
      </c>
      <c r="Q104" s="16" t="s">
        <v>445</v>
      </c>
      <c r="R104" s="16" t="s">
        <v>91</v>
      </c>
      <c r="S104" s="16" t="s">
        <v>92</v>
      </c>
      <c r="T104" s="16" t="s">
        <v>451</v>
      </c>
      <c r="U104" s="16" t="s">
        <v>95</v>
      </c>
      <c r="V104" s="16" t="s">
        <v>450</v>
      </c>
      <c r="W104" s="16" t="s">
        <v>452</v>
      </c>
    </row>
    <row r="105" spans="1:23">
      <c r="A105" s="9" t="s">
        <v>1123</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1123</v>
      </c>
      <c r="O105" s="16">
        <v>104</v>
      </c>
      <c r="P105" s="16" t="s">
        <v>94</v>
      </c>
      <c r="Q105" s="16" t="s">
        <v>445</v>
      </c>
      <c r="R105" s="16" t="s">
        <v>91</v>
      </c>
      <c r="S105" s="16" t="s">
        <v>92</v>
      </c>
      <c r="T105" s="16" t="s">
        <v>446</v>
      </c>
      <c r="U105" s="16" t="s">
        <v>95</v>
      </c>
      <c r="V105" s="16" t="s">
        <v>453</v>
      </c>
      <c r="W105" s="16" t="s">
        <v>452</v>
      </c>
    </row>
    <row r="106" spans="1:23">
      <c r="A106" s="9" t="s">
        <v>1122</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Ghana</v>
      </c>
      <c r="J106" s="9" t="str">
        <f ca="1">+WORLDCUP!BD62</f>
        <v>Ecuador</v>
      </c>
      <c r="N106" s="16" t="s">
        <v>1122</v>
      </c>
      <c r="O106" s="16">
        <v>105</v>
      </c>
      <c r="P106" s="16" t="s">
        <v>446</v>
      </c>
      <c r="Q106" s="16" t="s">
        <v>445</v>
      </c>
      <c r="R106" s="16" t="s">
        <v>91</v>
      </c>
      <c r="S106" s="16" t="s">
        <v>92</v>
      </c>
      <c r="T106" s="16" t="s">
        <v>451</v>
      </c>
      <c r="U106" s="16" t="s">
        <v>95</v>
      </c>
      <c r="V106" s="16" t="s">
        <v>453</v>
      </c>
      <c r="W106" s="16" t="s">
        <v>94</v>
      </c>
    </row>
    <row r="107" spans="1:23">
      <c r="A107" s="9" t="s">
        <v>1121</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RD Congo</v>
      </c>
      <c r="N107" s="16" t="s">
        <v>1121</v>
      </c>
      <c r="O107" s="16">
        <v>106</v>
      </c>
      <c r="P107" s="16" t="s">
        <v>446</v>
      </c>
      <c r="Q107" s="16" t="s">
        <v>445</v>
      </c>
      <c r="R107" s="16" t="s">
        <v>91</v>
      </c>
      <c r="S107" s="16" t="s">
        <v>92</v>
      </c>
      <c r="T107" s="16" t="s">
        <v>451</v>
      </c>
      <c r="U107" s="16" t="s">
        <v>95</v>
      </c>
      <c r="V107" s="16" t="s">
        <v>94</v>
      </c>
      <c r="W107" s="16" t="s">
        <v>452</v>
      </c>
    </row>
    <row r="108" spans="1:23">
      <c r="A108" s="9" t="s">
        <v>1120</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1120</v>
      </c>
      <c r="O108" s="16">
        <v>107</v>
      </c>
      <c r="P108" s="16" t="s">
        <v>94</v>
      </c>
      <c r="Q108" s="16" t="s">
        <v>445</v>
      </c>
      <c r="R108" s="16" t="s">
        <v>91</v>
      </c>
      <c r="S108" s="16" t="s">
        <v>92</v>
      </c>
      <c r="T108" s="16" t="s">
        <v>446</v>
      </c>
      <c r="U108" s="16" t="s">
        <v>95</v>
      </c>
      <c r="V108" s="16" t="s">
        <v>453</v>
      </c>
      <c r="W108" s="16" t="s">
        <v>450</v>
      </c>
    </row>
    <row r="109" spans="1:23">
      <c r="A109" s="9" t="s">
        <v>1119</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1119</v>
      </c>
      <c r="O109" s="16">
        <v>108</v>
      </c>
      <c r="P109" s="16" t="s">
        <v>94</v>
      </c>
      <c r="Q109" s="16" t="s">
        <v>445</v>
      </c>
      <c r="R109" s="16" t="s">
        <v>91</v>
      </c>
      <c r="S109" s="16" t="s">
        <v>92</v>
      </c>
      <c r="T109" s="16" t="s">
        <v>446</v>
      </c>
      <c r="U109" s="16" t="s">
        <v>95</v>
      </c>
      <c r="V109" s="16" t="s">
        <v>450</v>
      </c>
      <c r="W109" s="16" t="s">
        <v>452</v>
      </c>
    </row>
    <row r="110" spans="1:23">
      <c r="A110" s="9" t="s">
        <v>1118</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1118</v>
      </c>
      <c r="O110" s="16">
        <v>109</v>
      </c>
      <c r="P110" s="16" t="s">
        <v>446</v>
      </c>
      <c r="Q110" s="16" t="s">
        <v>445</v>
      </c>
      <c r="R110" s="16" t="s">
        <v>91</v>
      </c>
      <c r="S110" s="16" t="s">
        <v>92</v>
      </c>
      <c r="T110" s="16" t="s">
        <v>451</v>
      </c>
      <c r="U110" s="16" t="s">
        <v>95</v>
      </c>
      <c r="V110" s="16" t="s">
        <v>94</v>
      </c>
      <c r="W110" s="16" t="s">
        <v>450</v>
      </c>
    </row>
    <row r="111" spans="1:23">
      <c r="A111" s="9" t="s">
        <v>1117</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1117</v>
      </c>
      <c r="O111" s="16">
        <v>110</v>
      </c>
      <c r="P111" s="16" t="s">
        <v>446</v>
      </c>
      <c r="Q111" s="16" t="s">
        <v>451</v>
      </c>
      <c r="R111" s="16" t="s">
        <v>91</v>
      </c>
      <c r="S111" s="16" t="s">
        <v>92</v>
      </c>
      <c r="T111" s="16" t="s">
        <v>450</v>
      </c>
      <c r="U111" s="16" t="s">
        <v>93</v>
      </c>
      <c r="V111" s="16" t="s">
        <v>453</v>
      </c>
      <c r="W111" s="16" t="s">
        <v>452</v>
      </c>
    </row>
    <row r="112" spans="1:23">
      <c r="A112" s="9" t="s">
        <v>1116</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Paraguay</v>
      </c>
      <c r="I112" s="9" t="str">
        <f ca="1">+WORLDCUP!BD69</f>
        <v>Ghana</v>
      </c>
      <c r="J112" s="9" t="str">
        <f ca="1">+WORLDCUP!BD68</f>
        <v>RD Congo</v>
      </c>
      <c r="N112" s="16" t="s">
        <v>1116</v>
      </c>
      <c r="O112" s="16">
        <v>111</v>
      </c>
      <c r="P112" s="16" t="s">
        <v>450</v>
      </c>
      <c r="Q112" s="16" t="s">
        <v>445</v>
      </c>
      <c r="R112" s="16" t="s">
        <v>91</v>
      </c>
      <c r="S112" s="16" t="s">
        <v>92</v>
      </c>
      <c r="T112" s="16" t="s">
        <v>451</v>
      </c>
      <c r="U112" s="16" t="s">
        <v>93</v>
      </c>
      <c r="V112" s="16" t="s">
        <v>453</v>
      </c>
      <c r="W112" s="16" t="s">
        <v>452</v>
      </c>
    </row>
    <row r="113" spans="1:23">
      <c r="A113" s="9" t="s">
        <v>1115</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Paraguay</v>
      </c>
      <c r="I113" s="9" t="str">
        <f ca="1">+WORLDCUP!BD69</f>
        <v>Ghana</v>
      </c>
      <c r="J113" s="9" t="str">
        <f ca="1">+WORLDCUP!BD68</f>
        <v>RD Congo</v>
      </c>
      <c r="N113" s="16" t="s">
        <v>1115</v>
      </c>
      <c r="O113" s="16">
        <v>112</v>
      </c>
      <c r="P113" s="16" t="s">
        <v>446</v>
      </c>
      <c r="Q113" s="16" t="s">
        <v>445</v>
      </c>
      <c r="R113" s="16" t="s">
        <v>91</v>
      </c>
      <c r="S113" s="16" t="s">
        <v>92</v>
      </c>
      <c r="T113" s="16" t="s">
        <v>451</v>
      </c>
      <c r="U113" s="16" t="s">
        <v>93</v>
      </c>
      <c r="V113" s="16" t="s">
        <v>453</v>
      </c>
      <c r="W113" s="16" t="s">
        <v>452</v>
      </c>
    </row>
    <row r="114" spans="1:23">
      <c r="A114" s="9" t="s">
        <v>1114</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1114</v>
      </c>
      <c r="O114" s="16">
        <v>113</v>
      </c>
      <c r="P114" s="16" t="s">
        <v>446</v>
      </c>
      <c r="Q114" s="16" t="s">
        <v>445</v>
      </c>
      <c r="R114" s="16" t="s">
        <v>91</v>
      </c>
      <c r="S114" s="16" t="s">
        <v>92</v>
      </c>
      <c r="T114" s="16" t="s">
        <v>450</v>
      </c>
      <c r="U114" s="16" t="s">
        <v>93</v>
      </c>
      <c r="V114" s="16" t="s">
        <v>453</v>
      </c>
      <c r="W114" s="16" t="s">
        <v>452</v>
      </c>
    </row>
    <row r="115" spans="1:23">
      <c r="A115" s="9" t="s">
        <v>1113</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Paraguay</v>
      </c>
      <c r="I115" s="9" t="str">
        <f ca="1">+WORLDCUP!BD69</f>
        <v>Ghana</v>
      </c>
      <c r="J115" s="9" t="str">
        <f ca="1">+WORLDCUP!BD66</f>
        <v>Senegal</v>
      </c>
      <c r="N115" s="16" t="s">
        <v>1113</v>
      </c>
      <c r="O115" s="16">
        <v>114</v>
      </c>
      <c r="P115" s="16" t="s">
        <v>446</v>
      </c>
      <c r="Q115" s="16" t="s">
        <v>445</v>
      </c>
      <c r="R115" s="16" t="s">
        <v>91</v>
      </c>
      <c r="S115" s="16" t="s">
        <v>92</v>
      </c>
      <c r="T115" s="16" t="s">
        <v>451</v>
      </c>
      <c r="U115" s="16" t="s">
        <v>93</v>
      </c>
      <c r="V115" s="16" t="s">
        <v>453</v>
      </c>
      <c r="W115" s="16" t="s">
        <v>450</v>
      </c>
    </row>
    <row r="116" spans="1:23">
      <c r="A116" s="9" t="s">
        <v>1112</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Paraguay</v>
      </c>
      <c r="I116" s="9" t="str">
        <f ca="1">+WORLDCUP!BD66</f>
        <v>Senegal</v>
      </c>
      <c r="J116" s="9" t="str">
        <f ca="1">+WORLDCUP!BD68</f>
        <v>RD Congo</v>
      </c>
      <c r="N116" s="16" t="s">
        <v>1112</v>
      </c>
      <c r="O116" s="16">
        <v>115</v>
      </c>
      <c r="P116" s="16" t="s">
        <v>446</v>
      </c>
      <c r="Q116" s="16" t="s">
        <v>445</v>
      </c>
      <c r="R116" s="16" t="s">
        <v>91</v>
      </c>
      <c r="S116" s="16" t="s">
        <v>92</v>
      </c>
      <c r="T116" s="16" t="s">
        <v>451</v>
      </c>
      <c r="U116" s="16" t="s">
        <v>93</v>
      </c>
      <c r="V116" s="16" t="s">
        <v>450</v>
      </c>
      <c r="W116" s="16" t="s">
        <v>452</v>
      </c>
    </row>
    <row r="117" spans="1:23">
      <c r="A117" s="9" t="s">
        <v>1111</v>
      </c>
      <c r="B117" s="9">
        <f ca="1">+IF(A117=WORLDCUP!$BI$112,1,0)</f>
        <v>0</v>
      </c>
      <c r="C117" s="9" t="str">
        <f ca="1">+WORLDCUP!BD60</f>
        <v>Escocia</v>
      </c>
      <c r="D117" s="9" t="str">
        <f ca="1">+WORLDCUP!BD67</f>
        <v>Austria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1111</v>
      </c>
      <c r="O117" s="16">
        <v>116</v>
      </c>
      <c r="P117" s="16" t="s">
        <v>92</v>
      </c>
      <c r="Q117" s="16" t="s">
        <v>451</v>
      </c>
      <c r="R117" s="16" t="s">
        <v>91</v>
      </c>
      <c r="S117" s="16" t="s">
        <v>93</v>
      </c>
      <c r="T117" s="16" t="s">
        <v>450</v>
      </c>
      <c r="U117" s="16" t="s">
        <v>95</v>
      </c>
      <c r="V117" s="16" t="s">
        <v>453</v>
      </c>
      <c r="W117" s="16" t="s">
        <v>452</v>
      </c>
    </row>
    <row r="118" spans="1:23">
      <c r="A118" s="9" t="s">
        <v>1110</v>
      </c>
      <c r="B118" s="9">
        <f ca="1">+IF(A118=WORLDCUP!$BI$112,1,0)</f>
        <v>0</v>
      </c>
      <c r="C118" s="9" t="str">
        <f ca="1">+WORLDCUP!BD60</f>
        <v>Escocia</v>
      </c>
      <c r="D118" s="9" t="str">
        <f ca="1">+WORLDCUP!BD67</f>
        <v>Austria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RD Congo</v>
      </c>
      <c r="N118" s="16" t="s">
        <v>1110</v>
      </c>
      <c r="O118" s="16">
        <v>117</v>
      </c>
      <c r="P118" s="16" t="s">
        <v>92</v>
      </c>
      <c r="Q118" s="16" t="s">
        <v>451</v>
      </c>
      <c r="R118" s="16" t="s">
        <v>91</v>
      </c>
      <c r="S118" s="16" t="s">
        <v>93</v>
      </c>
      <c r="T118" s="16" t="s">
        <v>446</v>
      </c>
      <c r="U118" s="16" t="s">
        <v>95</v>
      </c>
      <c r="V118" s="16" t="s">
        <v>453</v>
      </c>
      <c r="W118" s="16" t="s">
        <v>452</v>
      </c>
    </row>
    <row r="119" spans="1:23">
      <c r="A119" s="9" t="s">
        <v>1109</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RD Congo</v>
      </c>
      <c r="N119" s="16" t="s">
        <v>1109</v>
      </c>
      <c r="O119" s="16">
        <v>118</v>
      </c>
      <c r="P119" s="16" t="s">
        <v>92</v>
      </c>
      <c r="Q119" s="16" t="s">
        <v>450</v>
      </c>
      <c r="R119" s="16" t="s">
        <v>91</v>
      </c>
      <c r="S119" s="16" t="s">
        <v>93</v>
      </c>
      <c r="T119" s="16" t="s">
        <v>446</v>
      </c>
      <c r="U119" s="16" t="s">
        <v>95</v>
      </c>
      <c r="V119" s="16" t="s">
        <v>453</v>
      </c>
      <c r="W119" s="16" t="s">
        <v>452</v>
      </c>
    </row>
    <row r="120" spans="1:23">
      <c r="A120" s="9" t="s">
        <v>1108</v>
      </c>
      <c r="B120" s="9">
        <f ca="1">+IF(A120=WORLDCUP!$BI$112,1,0)</f>
        <v>0</v>
      </c>
      <c r="C120" s="9" t="str">
        <f ca="1">+WORLDCUP!BD60</f>
        <v>Escocia</v>
      </c>
      <c r="D120" s="9" t="str">
        <f ca="1">+WORLDCUP!BD67</f>
        <v>Austria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1108</v>
      </c>
      <c r="O120" s="16">
        <v>119</v>
      </c>
      <c r="P120" s="16" t="s">
        <v>92</v>
      </c>
      <c r="Q120" s="16" t="s">
        <v>451</v>
      </c>
      <c r="R120" s="16" t="s">
        <v>91</v>
      </c>
      <c r="S120" s="16" t="s">
        <v>93</v>
      </c>
      <c r="T120" s="16" t="s">
        <v>446</v>
      </c>
      <c r="U120" s="16" t="s">
        <v>95</v>
      </c>
      <c r="V120" s="16" t="s">
        <v>453</v>
      </c>
      <c r="W120" s="16" t="s">
        <v>450</v>
      </c>
    </row>
    <row r="121" spans="1:23">
      <c r="A121" s="9" t="s">
        <v>1107</v>
      </c>
      <c r="B121" s="9">
        <f ca="1">+IF(A121=WORLDCUP!$BI$112,1,0)</f>
        <v>0</v>
      </c>
      <c r="C121" s="9" t="str">
        <f ca="1">+WORLDCUP!BD60</f>
        <v>Escocia</v>
      </c>
      <c r="D121" s="9" t="str">
        <f ca="1">+WORLDCUP!BD67</f>
        <v>Austria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1107</v>
      </c>
      <c r="O121" s="16">
        <v>120</v>
      </c>
      <c r="P121" s="16" t="s">
        <v>92</v>
      </c>
      <c r="Q121" s="16" t="s">
        <v>451</v>
      </c>
      <c r="R121" s="16" t="s">
        <v>91</v>
      </c>
      <c r="S121" s="16" t="s">
        <v>93</v>
      </c>
      <c r="T121" s="16" t="s">
        <v>446</v>
      </c>
      <c r="U121" s="16" t="s">
        <v>95</v>
      </c>
      <c r="V121" s="16" t="s">
        <v>450</v>
      </c>
      <c r="W121" s="16" t="s">
        <v>452</v>
      </c>
    </row>
    <row r="122" spans="1:23">
      <c r="A122" s="9" t="s">
        <v>1106</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Austria</v>
      </c>
      <c r="H122" s="9" t="str">
        <f ca="1">+WORLDCUP!BD63</f>
        <v>Suecia</v>
      </c>
      <c r="I122" s="9" t="str">
        <f ca="1">+WORLDCUP!BD69</f>
        <v>Ghana</v>
      </c>
      <c r="J122" s="9" t="str">
        <f ca="1">+WORLDCUP!BD68</f>
        <v>RD Congo</v>
      </c>
      <c r="N122" s="16" t="s">
        <v>1106</v>
      </c>
      <c r="O122" s="16">
        <v>121</v>
      </c>
      <c r="P122" s="16" t="s">
        <v>92</v>
      </c>
      <c r="Q122" s="16" t="s">
        <v>445</v>
      </c>
      <c r="R122" s="16" t="s">
        <v>91</v>
      </c>
      <c r="S122" s="16" t="s">
        <v>93</v>
      </c>
      <c r="T122" s="16" t="s">
        <v>451</v>
      </c>
      <c r="U122" s="16" t="s">
        <v>95</v>
      </c>
      <c r="V122" s="16" t="s">
        <v>453</v>
      </c>
      <c r="W122" s="16" t="s">
        <v>452</v>
      </c>
    </row>
    <row r="123" spans="1:23">
      <c r="A123" s="9" t="s">
        <v>1105</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1105</v>
      </c>
      <c r="O123" s="16">
        <v>122</v>
      </c>
      <c r="P123" s="16" t="s">
        <v>92</v>
      </c>
      <c r="Q123" s="16" t="s">
        <v>445</v>
      </c>
      <c r="R123" s="16" t="s">
        <v>91</v>
      </c>
      <c r="S123" s="16" t="s">
        <v>93</v>
      </c>
      <c r="T123" s="16" t="s">
        <v>450</v>
      </c>
      <c r="U123" s="16" t="s">
        <v>95</v>
      </c>
      <c r="V123" s="16" t="s">
        <v>453</v>
      </c>
      <c r="W123" s="16" t="s">
        <v>452</v>
      </c>
    </row>
    <row r="124" spans="1:23">
      <c r="A124" s="9" t="s">
        <v>1104</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Austria</v>
      </c>
      <c r="H124" s="9" t="str">
        <f ca="1">+WORLDCUP!BD63</f>
        <v>Suecia</v>
      </c>
      <c r="I124" s="9" t="str">
        <f ca="1">+WORLDCUP!BD69</f>
        <v>Ghana</v>
      </c>
      <c r="J124" s="9" t="str">
        <f ca="1">+WORLDCUP!BD66</f>
        <v>Senegal</v>
      </c>
      <c r="N124" s="16" t="s">
        <v>1104</v>
      </c>
      <c r="O124" s="16">
        <v>123</v>
      </c>
      <c r="P124" s="16" t="s">
        <v>92</v>
      </c>
      <c r="Q124" s="16" t="s">
        <v>445</v>
      </c>
      <c r="R124" s="16" t="s">
        <v>91</v>
      </c>
      <c r="S124" s="16" t="s">
        <v>93</v>
      </c>
      <c r="T124" s="16" t="s">
        <v>451</v>
      </c>
      <c r="U124" s="16" t="s">
        <v>95</v>
      </c>
      <c r="V124" s="16" t="s">
        <v>453</v>
      </c>
      <c r="W124" s="16" t="s">
        <v>450</v>
      </c>
    </row>
    <row r="125" spans="1:23">
      <c r="A125" s="9" t="s">
        <v>1103</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Austria</v>
      </c>
      <c r="H125" s="9" t="str">
        <f ca="1">+WORLDCUP!BD63</f>
        <v>Suecia</v>
      </c>
      <c r="I125" s="9" t="str">
        <f ca="1">+WORLDCUP!BD66</f>
        <v>Senegal</v>
      </c>
      <c r="J125" s="9" t="str">
        <f ca="1">+WORLDCUP!BD68</f>
        <v>RD Congo</v>
      </c>
      <c r="N125" s="16" t="s">
        <v>1103</v>
      </c>
      <c r="O125" s="16">
        <v>124</v>
      </c>
      <c r="P125" s="16" t="s">
        <v>92</v>
      </c>
      <c r="Q125" s="16" t="s">
        <v>445</v>
      </c>
      <c r="R125" s="16" t="s">
        <v>91</v>
      </c>
      <c r="S125" s="16" t="s">
        <v>93</v>
      </c>
      <c r="T125" s="16" t="s">
        <v>451</v>
      </c>
      <c r="U125" s="16" t="s">
        <v>95</v>
      </c>
      <c r="V125" s="16" t="s">
        <v>450</v>
      </c>
      <c r="W125" s="16" t="s">
        <v>452</v>
      </c>
    </row>
    <row r="126" spans="1:23">
      <c r="A126" s="9" t="s">
        <v>1102</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RD Congo</v>
      </c>
      <c r="N126" s="16" t="s">
        <v>1102</v>
      </c>
      <c r="O126" s="16">
        <v>125</v>
      </c>
      <c r="P126" s="16" t="s">
        <v>92</v>
      </c>
      <c r="Q126" s="16" t="s">
        <v>445</v>
      </c>
      <c r="R126" s="16" t="s">
        <v>91</v>
      </c>
      <c r="S126" s="16" t="s">
        <v>93</v>
      </c>
      <c r="T126" s="16" t="s">
        <v>446</v>
      </c>
      <c r="U126" s="16" t="s">
        <v>95</v>
      </c>
      <c r="V126" s="16" t="s">
        <v>453</v>
      </c>
      <c r="W126" s="16" t="s">
        <v>452</v>
      </c>
    </row>
    <row r="127" spans="1:23">
      <c r="A127" s="9" t="s">
        <v>1101</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Austria</v>
      </c>
      <c r="N127" s="16" t="s">
        <v>1101</v>
      </c>
      <c r="O127" s="16">
        <v>126</v>
      </c>
      <c r="P127" s="16" t="s">
        <v>92</v>
      </c>
      <c r="Q127" s="16" t="s">
        <v>445</v>
      </c>
      <c r="R127" s="16" t="s">
        <v>91</v>
      </c>
      <c r="S127" s="16" t="s">
        <v>93</v>
      </c>
      <c r="T127" s="16" t="s">
        <v>446</v>
      </c>
      <c r="U127" s="16" t="s">
        <v>95</v>
      </c>
      <c r="V127" s="16" t="s">
        <v>453</v>
      </c>
      <c r="W127" s="16" t="s">
        <v>451</v>
      </c>
    </row>
    <row r="128" spans="1:23">
      <c r="A128" s="9" t="s">
        <v>1100</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Paraguay</v>
      </c>
      <c r="J128" s="9" t="str">
        <f ca="1">+WORLDCUP!BD68</f>
        <v>RD Congo</v>
      </c>
      <c r="N128" s="16" t="s">
        <v>1100</v>
      </c>
      <c r="O128" s="16">
        <v>127</v>
      </c>
      <c r="P128" s="16" t="s">
        <v>446</v>
      </c>
      <c r="Q128" s="16" t="s">
        <v>445</v>
      </c>
      <c r="R128" s="16" t="s">
        <v>91</v>
      </c>
      <c r="S128" s="16" t="s">
        <v>92</v>
      </c>
      <c r="T128" s="16" t="s">
        <v>451</v>
      </c>
      <c r="U128" s="16" t="s">
        <v>95</v>
      </c>
      <c r="V128" s="16" t="s">
        <v>93</v>
      </c>
      <c r="W128" s="16" t="s">
        <v>452</v>
      </c>
    </row>
    <row r="129" spans="1:23">
      <c r="A129" s="9" t="s">
        <v>1099</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1099</v>
      </c>
      <c r="O129" s="16">
        <v>128</v>
      </c>
      <c r="P129" s="16" t="s">
        <v>92</v>
      </c>
      <c r="Q129" s="16" t="s">
        <v>445</v>
      </c>
      <c r="R129" s="16" t="s">
        <v>91</v>
      </c>
      <c r="S129" s="16" t="s">
        <v>93</v>
      </c>
      <c r="T129" s="16" t="s">
        <v>446</v>
      </c>
      <c r="U129" s="16" t="s">
        <v>95</v>
      </c>
      <c r="V129" s="16" t="s">
        <v>453</v>
      </c>
      <c r="W129" s="16" t="s">
        <v>450</v>
      </c>
    </row>
    <row r="130" spans="1:23">
      <c r="A130" s="9" t="s">
        <v>1098</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1098</v>
      </c>
      <c r="O130" s="16">
        <v>129</v>
      </c>
      <c r="P130" s="16" t="s">
        <v>92</v>
      </c>
      <c r="Q130" s="16" t="s">
        <v>445</v>
      </c>
      <c r="R130" s="16" t="s">
        <v>91</v>
      </c>
      <c r="S130" s="16" t="s">
        <v>93</v>
      </c>
      <c r="T130" s="16" t="s">
        <v>446</v>
      </c>
      <c r="U130" s="16" t="s">
        <v>95</v>
      </c>
      <c r="V130" s="16" t="s">
        <v>450</v>
      </c>
      <c r="W130" s="16" t="s">
        <v>452</v>
      </c>
    </row>
    <row r="131" spans="1:23">
      <c r="A131" s="9" t="s">
        <v>1097</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Paraguay</v>
      </c>
      <c r="J131" s="9" t="str">
        <f ca="1">+WORLDCUP!BD66</f>
        <v>Senegal</v>
      </c>
      <c r="N131" s="16" t="s">
        <v>1097</v>
      </c>
      <c r="O131" s="16">
        <v>130</v>
      </c>
      <c r="P131" s="16" t="s">
        <v>446</v>
      </c>
      <c r="Q131" s="16" t="s">
        <v>445</v>
      </c>
      <c r="R131" s="16" t="s">
        <v>91</v>
      </c>
      <c r="S131" s="16" t="s">
        <v>92</v>
      </c>
      <c r="T131" s="16" t="s">
        <v>451</v>
      </c>
      <c r="U131" s="16" t="s">
        <v>95</v>
      </c>
      <c r="V131" s="16" t="s">
        <v>93</v>
      </c>
      <c r="W131" s="16" t="s">
        <v>450</v>
      </c>
    </row>
    <row r="132" spans="1:23">
      <c r="A132" s="9" t="s">
        <v>1096</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1096</v>
      </c>
      <c r="O132" s="16">
        <v>131</v>
      </c>
      <c r="P132" s="16" t="s">
        <v>94</v>
      </c>
      <c r="Q132" s="16" t="s">
        <v>451</v>
      </c>
      <c r="R132" s="16" t="s">
        <v>91</v>
      </c>
      <c r="S132" s="16" t="s">
        <v>92</v>
      </c>
      <c r="T132" s="16" t="s">
        <v>450</v>
      </c>
      <c r="U132" s="16" t="s">
        <v>93</v>
      </c>
      <c r="V132" s="16" t="s">
        <v>453</v>
      </c>
      <c r="W132" s="16" t="s">
        <v>452</v>
      </c>
    </row>
    <row r="133" spans="1:23">
      <c r="A133" s="9" t="s">
        <v>1095</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Arabia Saudita</v>
      </c>
      <c r="H133" s="9" t="str">
        <f ca="1">+WORLDCUP!BD61</f>
        <v>Paraguay</v>
      </c>
      <c r="I133" s="9" t="str">
        <f ca="1">+WORLDCUP!BD69</f>
        <v>Ghana</v>
      </c>
      <c r="J133" s="9" t="str">
        <f ca="1">+WORLDCUP!BD68</f>
        <v>RD Congo</v>
      </c>
      <c r="N133" s="16" t="s">
        <v>1095</v>
      </c>
      <c r="O133" s="16">
        <v>132</v>
      </c>
      <c r="P133" s="16" t="s">
        <v>94</v>
      </c>
      <c r="Q133" s="16" t="s">
        <v>451</v>
      </c>
      <c r="R133" s="16" t="s">
        <v>91</v>
      </c>
      <c r="S133" s="16" t="s">
        <v>92</v>
      </c>
      <c r="T133" s="16" t="s">
        <v>446</v>
      </c>
      <c r="U133" s="16" t="s">
        <v>93</v>
      </c>
      <c r="V133" s="16" t="s">
        <v>453</v>
      </c>
      <c r="W133" s="16" t="s">
        <v>452</v>
      </c>
    </row>
    <row r="134" spans="1:23">
      <c r="A134" s="9" t="s">
        <v>1094</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Ghana</v>
      </c>
      <c r="J134" s="9" t="str">
        <f ca="1">+WORLDCUP!BD68</f>
        <v>RD Congo</v>
      </c>
      <c r="N134" s="16" t="s">
        <v>1094</v>
      </c>
      <c r="O134" s="16">
        <v>133</v>
      </c>
      <c r="P134" s="16" t="s">
        <v>94</v>
      </c>
      <c r="Q134" s="16" t="s">
        <v>450</v>
      </c>
      <c r="R134" s="16" t="s">
        <v>91</v>
      </c>
      <c r="S134" s="16" t="s">
        <v>92</v>
      </c>
      <c r="T134" s="16" t="s">
        <v>446</v>
      </c>
      <c r="U134" s="16" t="s">
        <v>93</v>
      </c>
      <c r="V134" s="16" t="s">
        <v>453</v>
      </c>
      <c r="W134" s="16" t="s">
        <v>452</v>
      </c>
    </row>
    <row r="135" spans="1:23">
      <c r="A135" s="9" t="s">
        <v>1093</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Arabia Saudita</v>
      </c>
      <c r="H135" s="9" t="str">
        <f ca="1">+WORLDCUP!BD61</f>
        <v>Paraguay</v>
      </c>
      <c r="I135" s="9" t="str">
        <f ca="1">+WORLDCUP!BD69</f>
        <v>Ghana</v>
      </c>
      <c r="J135" s="9" t="str">
        <f ca="1">+WORLDCUP!BD66</f>
        <v>Senegal</v>
      </c>
      <c r="N135" s="16" t="s">
        <v>1093</v>
      </c>
      <c r="O135" s="16">
        <v>134</v>
      </c>
      <c r="P135" s="16" t="s">
        <v>94</v>
      </c>
      <c r="Q135" s="16" t="s">
        <v>451</v>
      </c>
      <c r="R135" s="16" t="s">
        <v>91</v>
      </c>
      <c r="S135" s="16" t="s">
        <v>92</v>
      </c>
      <c r="T135" s="16" t="s">
        <v>446</v>
      </c>
      <c r="U135" s="16" t="s">
        <v>93</v>
      </c>
      <c r="V135" s="16" t="s">
        <v>453</v>
      </c>
      <c r="W135" s="16" t="s">
        <v>450</v>
      </c>
    </row>
    <row r="136" spans="1:23">
      <c r="A136" s="9" t="s">
        <v>1092</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1092</v>
      </c>
      <c r="O136" s="16">
        <v>135</v>
      </c>
      <c r="P136" s="16" t="s">
        <v>94</v>
      </c>
      <c r="Q136" s="16" t="s">
        <v>451</v>
      </c>
      <c r="R136" s="16" t="s">
        <v>91</v>
      </c>
      <c r="S136" s="16" t="s">
        <v>92</v>
      </c>
      <c r="T136" s="16" t="s">
        <v>446</v>
      </c>
      <c r="U136" s="16" t="s">
        <v>93</v>
      </c>
      <c r="V136" s="16" t="s">
        <v>450</v>
      </c>
      <c r="W136" s="16" t="s">
        <v>452</v>
      </c>
    </row>
    <row r="137" spans="1:23">
      <c r="A137" s="9" t="s">
        <v>1091</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Paraguay</v>
      </c>
      <c r="I137" s="9" t="str">
        <f ca="1">+WORLDCUP!BD69</f>
        <v>Ghana</v>
      </c>
      <c r="J137" s="9" t="str">
        <f ca="1">+WORLDCUP!BD68</f>
        <v>RD Congo</v>
      </c>
      <c r="N137" s="16" t="s">
        <v>1091</v>
      </c>
      <c r="O137" s="16">
        <v>136</v>
      </c>
      <c r="P137" s="16" t="s">
        <v>94</v>
      </c>
      <c r="Q137" s="16" t="s">
        <v>445</v>
      </c>
      <c r="R137" s="16" t="s">
        <v>91</v>
      </c>
      <c r="S137" s="16" t="s">
        <v>92</v>
      </c>
      <c r="T137" s="16" t="s">
        <v>451</v>
      </c>
      <c r="U137" s="16" t="s">
        <v>93</v>
      </c>
      <c r="V137" s="16" t="s">
        <v>453</v>
      </c>
      <c r="W137" s="16" t="s">
        <v>452</v>
      </c>
    </row>
    <row r="138" spans="1:23">
      <c r="A138" s="9" t="s">
        <v>1090</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1090</v>
      </c>
      <c r="O138" s="16">
        <v>137</v>
      </c>
      <c r="P138" s="16" t="s">
        <v>94</v>
      </c>
      <c r="Q138" s="16" t="s">
        <v>445</v>
      </c>
      <c r="R138" s="16" t="s">
        <v>91</v>
      </c>
      <c r="S138" s="16" t="s">
        <v>92</v>
      </c>
      <c r="T138" s="16" t="s">
        <v>450</v>
      </c>
      <c r="U138" s="16" t="s">
        <v>93</v>
      </c>
      <c r="V138" s="16" t="s">
        <v>453</v>
      </c>
      <c r="W138" s="16" t="s">
        <v>452</v>
      </c>
    </row>
    <row r="139" spans="1:23">
      <c r="A139" s="9" t="s">
        <v>1089</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Paraguay</v>
      </c>
      <c r="I139" s="9" t="str">
        <f ca="1">+WORLDCUP!BD69</f>
        <v>Ghana</v>
      </c>
      <c r="J139" s="9" t="str">
        <f ca="1">+WORLDCUP!BD66</f>
        <v>Senegal</v>
      </c>
      <c r="N139" s="16" t="s">
        <v>1089</v>
      </c>
      <c r="O139" s="16">
        <v>138</v>
      </c>
      <c r="P139" s="16" t="s">
        <v>94</v>
      </c>
      <c r="Q139" s="16" t="s">
        <v>445</v>
      </c>
      <c r="R139" s="16" t="s">
        <v>91</v>
      </c>
      <c r="S139" s="16" t="s">
        <v>92</v>
      </c>
      <c r="T139" s="16" t="s">
        <v>451</v>
      </c>
      <c r="U139" s="16" t="s">
        <v>93</v>
      </c>
      <c r="V139" s="16" t="s">
        <v>453</v>
      </c>
      <c r="W139" s="16" t="s">
        <v>450</v>
      </c>
    </row>
    <row r="140" spans="1:23">
      <c r="A140" s="9" t="s">
        <v>1088</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Paraguay</v>
      </c>
      <c r="I140" s="9" t="str">
        <f ca="1">+WORLDCUP!BD66</f>
        <v>Senegal</v>
      </c>
      <c r="J140" s="9" t="str">
        <f ca="1">+WORLDCUP!BD68</f>
        <v>RD Congo</v>
      </c>
      <c r="N140" s="16" t="s">
        <v>1088</v>
      </c>
      <c r="O140" s="16">
        <v>139</v>
      </c>
      <c r="P140" s="16" t="s">
        <v>94</v>
      </c>
      <c r="Q140" s="16" t="s">
        <v>445</v>
      </c>
      <c r="R140" s="16" t="s">
        <v>91</v>
      </c>
      <c r="S140" s="16" t="s">
        <v>92</v>
      </c>
      <c r="T140" s="16" t="s">
        <v>451</v>
      </c>
      <c r="U140" s="16" t="s">
        <v>93</v>
      </c>
      <c r="V140" s="16" t="s">
        <v>450</v>
      </c>
      <c r="W140" s="16" t="s">
        <v>452</v>
      </c>
    </row>
    <row r="141" spans="1:23">
      <c r="A141" s="9" t="s">
        <v>1087</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Ghana</v>
      </c>
      <c r="J141" s="9" t="str">
        <f ca="1">+WORLDCUP!BD68</f>
        <v>RD Congo</v>
      </c>
      <c r="N141" s="16" t="s">
        <v>1087</v>
      </c>
      <c r="O141" s="16">
        <v>140</v>
      </c>
      <c r="P141" s="16" t="s">
        <v>94</v>
      </c>
      <c r="Q141" s="16" t="s">
        <v>445</v>
      </c>
      <c r="R141" s="16" t="s">
        <v>91</v>
      </c>
      <c r="S141" s="16" t="s">
        <v>92</v>
      </c>
      <c r="T141" s="16" t="s">
        <v>446</v>
      </c>
      <c r="U141" s="16" t="s">
        <v>93</v>
      </c>
      <c r="V141" s="16" t="s">
        <v>453</v>
      </c>
      <c r="W141" s="16" t="s">
        <v>452</v>
      </c>
    </row>
    <row r="142" spans="1:23">
      <c r="A142" s="9" t="s">
        <v>1086</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Paraguay</v>
      </c>
      <c r="I142" s="9" t="str">
        <f ca="1">+WORLDCUP!BD69</f>
        <v>Ghana</v>
      </c>
      <c r="J142" s="9" t="str">
        <f ca="1">+WORLDCUP!BD62</f>
        <v>Ecuador</v>
      </c>
      <c r="N142" s="16" t="s">
        <v>1086</v>
      </c>
      <c r="O142" s="16">
        <v>141</v>
      </c>
      <c r="P142" s="16" t="s">
        <v>446</v>
      </c>
      <c r="Q142" s="16" t="s">
        <v>445</v>
      </c>
      <c r="R142" s="16" t="s">
        <v>91</v>
      </c>
      <c r="S142" s="16" t="s">
        <v>92</v>
      </c>
      <c r="T142" s="16" t="s">
        <v>451</v>
      </c>
      <c r="U142" s="16" t="s">
        <v>93</v>
      </c>
      <c r="V142" s="16" t="s">
        <v>453</v>
      </c>
      <c r="W142" s="16" t="s">
        <v>94</v>
      </c>
    </row>
    <row r="143" spans="1:23">
      <c r="A143" s="9" t="s">
        <v>1085</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Paraguay</v>
      </c>
      <c r="I143" s="9" t="str">
        <f ca="1">+WORLDCUP!BD62</f>
        <v>Ecuador</v>
      </c>
      <c r="J143" s="9" t="str">
        <f ca="1">+WORLDCUP!BD68</f>
        <v>RD Congo</v>
      </c>
      <c r="N143" s="16" t="s">
        <v>1085</v>
      </c>
      <c r="O143" s="16">
        <v>142</v>
      </c>
      <c r="P143" s="16" t="s">
        <v>446</v>
      </c>
      <c r="Q143" s="16" t="s">
        <v>445</v>
      </c>
      <c r="R143" s="16" t="s">
        <v>91</v>
      </c>
      <c r="S143" s="16" t="s">
        <v>92</v>
      </c>
      <c r="T143" s="16" t="s">
        <v>451</v>
      </c>
      <c r="U143" s="16" t="s">
        <v>93</v>
      </c>
      <c r="V143" s="16" t="s">
        <v>94</v>
      </c>
      <c r="W143" s="16" t="s">
        <v>452</v>
      </c>
    </row>
    <row r="144" spans="1:23">
      <c r="A144" s="9" t="s">
        <v>1084</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Ghana</v>
      </c>
      <c r="J144" s="9" t="str">
        <f ca="1">+WORLDCUP!BD66</f>
        <v>Senegal</v>
      </c>
      <c r="N144" s="16" t="s">
        <v>1084</v>
      </c>
      <c r="O144" s="16">
        <v>143</v>
      </c>
      <c r="P144" s="16" t="s">
        <v>94</v>
      </c>
      <c r="Q144" s="16" t="s">
        <v>445</v>
      </c>
      <c r="R144" s="16" t="s">
        <v>91</v>
      </c>
      <c r="S144" s="16" t="s">
        <v>92</v>
      </c>
      <c r="T144" s="16" t="s">
        <v>446</v>
      </c>
      <c r="U144" s="16" t="s">
        <v>93</v>
      </c>
      <c r="V144" s="16" t="s">
        <v>453</v>
      </c>
      <c r="W144" s="16" t="s">
        <v>450</v>
      </c>
    </row>
    <row r="145" spans="1:23">
      <c r="A145" s="9" t="s">
        <v>1083</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1083</v>
      </c>
      <c r="O145" s="16">
        <v>144</v>
      </c>
      <c r="P145" s="16" t="s">
        <v>94</v>
      </c>
      <c r="Q145" s="16" t="s">
        <v>445</v>
      </c>
      <c r="R145" s="16" t="s">
        <v>91</v>
      </c>
      <c r="S145" s="16" t="s">
        <v>92</v>
      </c>
      <c r="T145" s="16" t="s">
        <v>446</v>
      </c>
      <c r="U145" s="16" t="s">
        <v>93</v>
      </c>
      <c r="V145" s="16" t="s">
        <v>450</v>
      </c>
      <c r="W145" s="16" t="s">
        <v>452</v>
      </c>
    </row>
    <row r="146" spans="1:23">
      <c r="A146" s="9" t="s">
        <v>1082</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Paraguay</v>
      </c>
      <c r="I146" s="9" t="str">
        <f ca="1">+WORLDCUP!BD62</f>
        <v>Ecuador</v>
      </c>
      <c r="J146" s="9" t="str">
        <f ca="1">+WORLDCUP!BD66</f>
        <v>Senegal</v>
      </c>
      <c r="N146" s="16" t="s">
        <v>1082</v>
      </c>
      <c r="O146" s="16">
        <v>145</v>
      </c>
      <c r="P146" s="16" t="s">
        <v>446</v>
      </c>
      <c r="Q146" s="16" t="s">
        <v>445</v>
      </c>
      <c r="R146" s="16" t="s">
        <v>91</v>
      </c>
      <c r="S146" s="16" t="s">
        <v>92</v>
      </c>
      <c r="T146" s="16" t="s">
        <v>451</v>
      </c>
      <c r="U146" s="16" t="s">
        <v>93</v>
      </c>
      <c r="V146" s="16" t="s">
        <v>94</v>
      </c>
      <c r="W146" s="16" t="s">
        <v>450</v>
      </c>
    </row>
    <row r="147" spans="1:23">
      <c r="A147" s="9" t="s">
        <v>1081</v>
      </c>
      <c r="B147" s="9">
        <f ca="1">+IF(A147=WORLDCUP!$BI$112,1,0)</f>
        <v>0</v>
      </c>
      <c r="C147" s="9" t="str">
        <f ca="1">+WORLDCUP!BD60</f>
        <v>Escocia</v>
      </c>
      <c r="D147" s="9" t="str">
        <f ca="1">+WORLDCUP!BD67</f>
        <v>Austria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1081</v>
      </c>
      <c r="O147" s="16">
        <v>146</v>
      </c>
      <c r="P147" s="16" t="s">
        <v>92</v>
      </c>
      <c r="Q147" s="16" t="s">
        <v>451</v>
      </c>
      <c r="R147" s="16" t="s">
        <v>91</v>
      </c>
      <c r="S147" s="16" t="s">
        <v>93</v>
      </c>
      <c r="T147" s="16" t="s">
        <v>94</v>
      </c>
      <c r="U147" s="16" t="s">
        <v>95</v>
      </c>
      <c r="V147" s="16" t="s">
        <v>453</v>
      </c>
      <c r="W147" s="16" t="s">
        <v>452</v>
      </c>
    </row>
    <row r="148" spans="1:23">
      <c r="A148" s="9" t="s">
        <v>1080</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1080</v>
      </c>
      <c r="O148" s="16">
        <v>147</v>
      </c>
      <c r="P148" s="16" t="s">
        <v>92</v>
      </c>
      <c r="Q148" s="16" t="s">
        <v>94</v>
      </c>
      <c r="R148" s="16" t="s">
        <v>91</v>
      </c>
      <c r="S148" s="16" t="s">
        <v>93</v>
      </c>
      <c r="T148" s="16" t="s">
        <v>450</v>
      </c>
      <c r="U148" s="16" t="s">
        <v>95</v>
      </c>
      <c r="V148" s="16" t="s">
        <v>453</v>
      </c>
      <c r="W148" s="16" t="s">
        <v>452</v>
      </c>
    </row>
    <row r="149" spans="1:23">
      <c r="A149" s="9" t="s">
        <v>1079</v>
      </c>
      <c r="B149" s="9">
        <f ca="1">+IF(A149=WORLDCUP!$BI$112,1,0)</f>
        <v>0</v>
      </c>
      <c r="C149" s="9" t="str">
        <f ca="1">+WORLDCUP!BD60</f>
        <v>Escocia</v>
      </c>
      <c r="D149" s="9" t="str">
        <f ca="1">+WORLDCUP!BD67</f>
        <v>Austria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1079</v>
      </c>
      <c r="O149" s="16">
        <v>148</v>
      </c>
      <c r="P149" s="16" t="s">
        <v>92</v>
      </c>
      <c r="Q149" s="16" t="s">
        <v>451</v>
      </c>
      <c r="R149" s="16" t="s">
        <v>91</v>
      </c>
      <c r="S149" s="16" t="s">
        <v>93</v>
      </c>
      <c r="T149" s="16" t="s">
        <v>94</v>
      </c>
      <c r="U149" s="16" t="s">
        <v>95</v>
      </c>
      <c r="V149" s="16" t="s">
        <v>453</v>
      </c>
      <c r="W149" s="16" t="s">
        <v>450</v>
      </c>
    </row>
    <row r="150" spans="1:23">
      <c r="A150" s="9" t="s">
        <v>1078</v>
      </c>
      <c r="B150" s="9">
        <f ca="1">+IF(A150=WORLDCUP!$BI$112,1,0)</f>
        <v>0</v>
      </c>
      <c r="C150" s="9" t="str">
        <f ca="1">+WORLDCUP!BD60</f>
        <v>Escocia</v>
      </c>
      <c r="D150" s="9" t="str">
        <f ca="1">+WORLDCUP!BD67</f>
        <v>Austria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1078</v>
      </c>
      <c r="O150" s="16">
        <v>149</v>
      </c>
      <c r="P150" s="16" t="s">
        <v>92</v>
      </c>
      <c r="Q150" s="16" t="s">
        <v>451</v>
      </c>
      <c r="R150" s="16" t="s">
        <v>91</v>
      </c>
      <c r="S150" s="16" t="s">
        <v>93</v>
      </c>
      <c r="T150" s="16" t="s">
        <v>94</v>
      </c>
      <c r="U150" s="16" t="s">
        <v>95</v>
      </c>
      <c r="V150" s="16" t="s">
        <v>450</v>
      </c>
      <c r="W150" s="16" t="s">
        <v>452</v>
      </c>
    </row>
    <row r="151" spans="1:23">
      <c r="A151" s="9" t="s">
        <v>1077</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RD Congo</v>
      </c>
      <c r="N151" s="16" t="s">
        <v>1077</v>
      </c>
      <c r="O151" s="16">
        <v>150</v>
      </c>
      <c r="P151" s="16" t="s">
        <v>92</v>
      </c>
      <c r="Q151" s="16" t="s">
        <v>94</v>
      </c>
      <c r="R151" s="16" t="s">
        <v>91</v>
      </c>
      <c r="S151" s="16" t="s">
        <v>93</v>
      </c>
      <c r="T151" s="16" t="s">
        <v>446</v>
      </c>
      <c r="U151" s="16" t="s">
        <v>95</v>
      </c>
      <c r="V151" s="16" t="s">
        <v>453</v>
      </c>
      <c r="W151" s="16" t="s">
        <v>452</v>
      </c>
    </row>
    <row r="152" spans="1:23">
      <c r="A152" s="9" t="s">
        <v>1076</v>
      </c>
      <c r="B152" s="9">
        <f ca="1">+IF(A152=WORLDCUP!$BI$112,1,0)</f>
        <v>0</v>
      </c>
      <c r="C152" s="9" t="str">
        <f ca="1">+WORLDCUP!BD60</f>
        <v>Escocia</v>
      </c>
      <c r="D152" s="9" t="str">
        <f ca="1">+WORLDCUP!BD67</f>
        <v>Austria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1076</v>
      </c>
      <c r="O152" s="16">
        <v>151</v>
      </c>
      <c r="P152" s="16" t="s">
        <v>92</v>
      </c>
      <c r="Q152" s="16" t="s">
        <v>451</v>
      </c>
      <c r="R152" s="16" t="s">
        <v>91</v>
      </c>
      <c r="S152" s="16" t="s">
        <v>93</v>
      </c>
      <c r="T152" s="16" t="s">
        <v>446</v>
      </c>
      <c r="U152" s="16" t="s">
        <v>95</v>
      </c>
      <c r="V152" s="16" t="s">
        <v>453</v>
      </c>
      <c r="W152" s="16" t="s">
        <v>94</v>
      </c>
    </row>
    <row r="153" spans="1:23">
      <c r="A153" s="9" t="s">
        <v>1075</v>
      </c>
      <c r="B153" s="9">
        <f ca="1">+IF(A153=WORLDCUP!$BI$112,1,0)</f>
        <v>0</v>
      </c>
      <c r="C153" s="9" t="str">
        <f ca="1">+WORLDCUP!BD60</f>
        <v>Escocia</v>
      </c>
      <c r="D153" s="9" t="str">
        <f ca="1">+WORLDCUP!BD67</f>
        <v>Austria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RD Congo</v>
      </c>
      <c r="N153" s="16" t="s">
        <v>1075</v>
      </c>
      <c r="O153" s="16">
        <v>152</v>
      </c>
      <c r="P153" s="16" t="s">
        <v>92</v>
      </c>
      <c r="Q153" s="16" t="s">
        <v>451</v>
      </c>
      <c r="R153" s="16" t="s">
        <v>91</v>
      </c>
      <c r="S153" s="16" t="s">
        <v>93</v>
      </c>
      <c r="T153" s="16" t="s">
        <v>446</v>
      </c>
      <c r="U153" s="16" t="s">
        <v>95</v>
      </c>
      <c r="V153" s="16" t="s">
        <v>94</v>
      </c>
      <c r="W153" s="16" t="s">
        <v>452</v>
      </c>
    </row>
    <row r="154" spans="1:23">
      <c r="A154" s="9" t="s">
        <v>1074</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1074</v>
      </c>
      <c r="O154" s="16">
        <v>153</v>
      </c>
      <c r="P154" s="16" t="s">
        <v>92</v>
      </c>
      <c r="Q154" s="16" t="s">
        <v>94</v>
      </c>
      <c r="R154" s="16" t="s">
        <v>91</v>
      </c>
      <c r="S154" s="16" t="s">
        <v>93</v>
      </c>
      <c r="T154" s="16" t="s">
        <v>446</v>
      </c>
      <c r="U154" s="16" t="s">
        <v>95</v>
      </c>
      <c r="V154" s="16" t="s">
        <v>453</v>
      </c>
      <c r="W154" s="16" t="s">
        <v>450</v>
      </c>
    </row>
    <row r="155" spans="1:23">
      <c r="A155" s="9" t="s">
        <v>1073</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1073</v>
      </c>
      <c r="O155" s="16">
        <v>154</v>
      </c>
      <c r="P155" s="16" t="s">
        <v>92</v>
      </c>
      <c r="Q155" s="16" t="s">
        <v>94</v>
      </c>
      <c r="R155" s="16" t="s">
        <v>91</v>
      </c>
      <c r="S155" s="16" t="s">
        <v>93</v>
      </c>
      <c r="T155" s="16" t="s">
        <v>446</v>
      </c>
      <c r="U155" s="16" t="s">
        <v>95</v>
      </c>
      <c r="V155" s="16" t="s">
        <v>450</v>
      </c>
      <c r="W155" s="16" t="s">
        <v>452</v>
      </c>
    </row>
    <row r="156" spans="1:23">
      <c r="A156" s="9" t="s">
        <v>1072</v>
      </c>
      <c r="B156" s="9">
        <f ca="1">+IF(A156=WORLDCUP!$BI$112,1,0)</f>
        <v>0</v>
      </c>
      <c r="C156" s="9" t="str">
        <f ca="1">+WORLDCUP!BD60</f>
        <v>Escocia</v>
      </c>
      <c r="D156" s="9" t="str">
        <f ca="1">+WORLDCUP!BD67</f>
        <v>Austria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1072</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Austria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Austria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Austria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607</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Ghana</v>
      </c>
      <c r="J167" s="9" t="str">
        <f ca="1">+WORLDCUP!BD68</f>
        <v>RD Congo</v>
      </c>
      <c r="N167" s="16" t="s">
        <v>607</v>
      </c>
      <c r="O167" s="16">
        <v>166</v>
      </c>
      <c r="P167" s="16" t="s">
        <v>446</v>
      </c>
      <c r="Q167" s="16" t="s">
        <v>451</v>
      </c>
      <c r="R167" s="16" t="s">
        <v>450</v>
      </c>
      <c r="S167" s="16" t="s">
        <v>95</v>
      </c>
      <c r="T167" s="16" t="s">
        <v>90</v>
      </c>
      <c r="U167" s="16" t="s">
        <v>445</v>
      </c>
      <c r="V167" s="16" t="s">
        <v>453</v>
      </c>
      <c r="W167" s="16" t="s">
        <v>452</v>
      </c>
    </row>
    <row r="168" spans="1:23">
      <c r="A168" s="9" t="s">
        <v>1071</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Ghana</v>
      </c>
      <c r="J168" s="9" t="str">
        <f ca="1">+WORLDCUP!BD68</f>
        <v>RD Congo</v>
      </c>
      <c r="N168" s="16" t="s">
        <v>1071</v>
      </c>
      <c r="O168" s="16">
        <v>167</v>
      </c>
      <c r="P168" s="16" t="s">
        <v>94</v>
      </c>
      <c r="Q168" s="16" t="s">
        <v>451</v>
      </c>
      <c r="R168" s="16" t="s">
        <v>450</v>
      </c>
      <c r="S168" s="16" t="s">
        <v>90</v>
      </c>
      <c r="T168" s="16" t="s">
        <v>446</v>
      </c>
      <c r="U168" s="16" t="s">
        <v>445</v>
      </c>
      <c r="V168" s="16" t="s">
        <v>453</v>
      </c>
      <c r="W168" s="16" t="s">
        <v>452</v>
      </c>
    </row>
    <row r="169" spans="1:23">
      <c r="A169" s="9" t="s">
        <v>1070</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1070</v>
      </c>
      <c r="O169" s="16">
        <v>168</v>
      </c>
      <c r="P169" s="16" t="s">
        <v>94</v>
      </c>
      <c r="Q169" s="16" t="s">
        <v>451</v>
      </c>
      <c r="R169" s="16" t="s">
        <v>450</v>
      </c>
      <c r="S169" s="16" t="s">
        <v>95</v>
      </c>
      <c r="T169" s="16" t="s">
        <v>90</v>
      </c>
      <c r="U169" s="16" t="s">
        <v>446</v>
      </c>
      <c r="V169" s="16" t="s">
        <v>453</v>
      </c>
      <c r="W169" s="16" t="s">
        <v>452</v>
      </c>
    </row>
    <row r="170" spans="1:23">
      <c r="A170" s="9" t="s">
        <v>1069</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Ghana</v>
      </c>
      <c r="J170" s="9" t="str">
        <f ca="1">+WORLDCUP!BD68</f>
        <v>RD Congo</v>
      </c>
      <c r="N170" s="16" t="s">
        <v>1069</v>
      </c>
      <c r="O170" s="16">
        <v>169</v>
      </c>
      <c r="P170" s="16" t="s">
        <v>94</v>
      </c>
      <c r="Q170" s="16" t="s">
        <v>451</v>
      </c>
      <c r="R170" s="16" t="s">
        <v>450</v>
      </c>
      <c r="S170" s="16" t="s">
        <v>95</v>
      </c>
      <c r="T170" s="16" t="s">
        <v>90</v>
      </c>
      <c r="U170" s="16" t="s">
        <v>445</v>
      </c>
      <c r="V170" s="16" t="s">
        <v>453</v>
      </c>
      <c r="W170" s="16" t="s">
        <v>452</v>
      </c>
    </row>
    <row r="171" spans="1:23">
      <c r="A171" s="9" t="s">
        <v>1068</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RD Congo</v>
      </c>
      <c r="N171" s="16" t="s">
        <v>1068</v>
      </c>
      <c r="O171" s="16">
        <v>170</v>
      </c>
      <c r="P171" s="16" t="s">
        <v>94</v>
      </c>
      <c r="Q171" s="16" t="s">
        <v>445</v>
      </c>
      <c r="R171" s="16" t="s">
        <v>451</v>
      </c>
      <c r="S171" s="16" t="s">
        <v>95</v>
      </c>
      <c r="T171" s="16" t="s">
        <v>90</v>
      </c>
      <c r="U171" s="16" t="s">
        <v>446</v>
      </c>
      <c r="V171" s="16" t="s">
        <v>453</v>
      </c>
      <c r="W171" s="16" t="s">
        <v>452</v>
      </c>
    </row>
    <row r="172" spans="1:23">
      <c r="A172" s="9" t="s">
        <v>604</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604</v>
      </c>
      <c r="O172" s="16">
        <v>171</v>
      </c>
      <c r="P172" s="16" t="s">
        <v>94</v>
      </c>
      <c r="Q172" s="16" t="s">
        <v>445</v>
      </c>
      <c r="R172" s="16" t="s">
        <v>450</v>
      </c>
      <c r="S172" s="16" t="s">
        <v>95</v>
      </c>
      <c r="T172" s="16" t="s">
        <v>90</v>
      </c>
      <c r="U172" s="16" t="s">
        <v>446</v>
      </c>
      <c r="V172" s="16" t="s">
        <v>453</v>
      </c>
      <c r="W172" s="16" t="s">
        <v>452</v>
      </c>
    </row>
    <row r="173" spans="1:23">
      <c r="A173" s="9" t="s">
        <v>606</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Senegal</v>
      </c>
      <c r="N173" s="16" t="s">
        <v>606</v>
      </c>
      <c r="O173" s="16">
        <v>172</v>
      </c>
      <c r="P173" s="16" t="s">
        <v>94</v>
      </c>
      <c r="Q173" s="16" t="s">
        <v>445</v>
      </c>
      <c r="R173" s="16" t="s">
        <v>451</v>
      </c>
      <c r="S173" s="16" t="s">
        <v>95</v>
      </c>
      <c r="T173" s="16" t="s">
        <v>90</v>
      </c>
      <c r="U173" s="16" t="s">
        <v>446</v>
      </c>
      <c r="V173" s="16" t="s">
        <v>453</v>
      </c>
      <c r="W173" s="16" t="s">
        <v>450</v>
      </c>
    </row>
    <row r="174" spans="1:23">
      <c r="A174" s="9" t="s">
        <v>605</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605</v>
      </c>
      <c r="O174" s="16">
        <v>173</v>
      </c>
      <c r="P174" s="16" t="s">
        <v>94</v>
      </c>
      <c r="Q174" s="16" t="s">
        <v>445</v>
      </c>
      <c r="R174" s="16" t="s">
        <v>451</v>
      </c>
      <c r="S174" s="16" t="s">
        <v>95</v>
      </c>
      <c r="T174" s="16" t="s">
        <v>90</v>
      </c>
      <c r="U174" s="16" t="s">
        <v>446</v>
      </c>
      <c r="V174" s="16" t="s">
        <v>450</v>
      </c>
      <c r="W174" s="16" t="s">
        <v>452</v>
      </c>
    </row>
    <row r="175" spans="1:23">
      <c r="A175" s="9" t="s">
        <v>1067</v>
      </c>
      <c r="B175" s="9">
        <f ca="1">+IF(A175=WORLDCUP!$BI$112,1,0)</f>
        <v>0</v>
      </c>
      <c r="C175" s="9" t="str">
        <f ca="1">+WORLDCUP!BD65</f>
        <v>Arabia Saudita</v>
      </c>
      <c r="D175" s="9" t="str">
        <f ca="1">+WORLDCUP!BD67</f>
        <v>Austria</v>
      </c>
      <c r="E175" s="9" t="str">
        <f ca="1">+WORLDCUP!BD66</f>
        <v>Senegal</v>
      </c>
      <c r="F175" s="9" t="str">
        <f ca="1">+WORLDCUP!BD61</f>
        <v>Paraguay</v>
      </c>
      <c r="G175" s="9" t="str">
        <f ca="1">+WORLDCUP!BD58</f>
        <v>República Checa</v>
      </c>
      <c r="H175" s="9" t="str">
        <f ca="1">+WORLDCUP!BD64</f>
        <v>Irán</v>
      </c>
      <c r="I175" s="9" t="str">
        <f ca="1">+WORLDCUP!BD69</f>
        <v>Ghana</v>
      </c>
      <c r="J175" s="9" t="str">
        <f ca="1">+WORLDCUP!BD68</f>
        <v>RD Congo</v>
      </c>
      <c r="N175" s="16" t="s">
        <v>1067</v>
      </c>
      <c r="O175" s="16">
        <v>174</v>
      </c>
      <c r="P175" s="16" t="s">
        <v>446</v>
      </c>
      <c r="Q175" s="16" t="s">
        <v>451</v>
      </c>
      <c r="R175" s="16" t="s">
        <v>450</v>
      </c>
      <c r="S175" s="16" t="s">
        <v>93</v>
      </c>
      <c r="T175" s="16" t="s">
        <v>90</v>
      </c>
      <c r="U175" s="16" t="s">
        <v>445</v>
      </c>
      <c r="V175" s="16" t="s">
        <v>453</v>
      </c>
      <c r="W175" s="16" t="s">
        <v>452</v>
      </c>
    </row>
    <row r="176" spans="1:23">
      <c r="A176" s="9" t="s">
        <v>1066</v>
      </c>
      <c r="B176" s="9">
        <f ca="1">+IF(A176=WORLDCUP!$BI$112,1,0)</f>
        <v>0</v>
      </c>
      <c r="C176" s="9" t="str">
        <f ca="1">+WORLDCUP!BD65</f>
        <v>Arabia Saudita</v>
      </c>
      <c r="D176" s="9" t="str">
        <f ca="1">+WORLDCUP!BD67</f>
        <v>Austria</v>
      </c>
      <c r="E176" s="9" t="str">
        <f ca="1">+WORLDCUP!BD66</f>
        <v>Senegal</v>
      </c>
      <c r="F176" s="9" t="str">
        <f ca="1">+WORLDCUP!BD61</f>
        <v>Paraguay</v>
      </c>
      <c r="G176" s="9" t="str">
        <f ca="1">+WORLDCUP!BD58</f>
        <v>República Checa</v>
      </c>
      <c r="H176" s="9" t="str">
        <f ca="1">+WORLDCUP!BD63</f>
        <v>Suecia</v>
      </c>
      <c r="I176" s="9" t="str">
        <f ca="1">+WORLDCUP!BD69</f>
        <v>Ghana</v>
      </c>
      <c r="J176" s="9" t="str">
        <f ca="1">+WORLDCUP!BD68</f>
        <v>RD Congo</v>
      </c>
      <c r="N176" s="16" t="s">
        <v>1066</v>
      </c>
      <c r="O176" s="16">
        <v>175</v>
      </c>
      <c r="P176" s="16" t="s">
        <v>446</v>
      </c>
      <c r="Q176" s="16" t="s">
        <v>451</v>
      </c>
      <c r="R176" s="16" t="s">
        <v>450</v>
      </c>
      <c r="S176" s="16" t="s">
        <v>93</v>
      </c>
      <c r="T176" s="16" t="s">
        <v>90</v>
      </c>
      <c r="U176" s="16" t="s">
        <v>95</v>
      </c>
      <c r="V176" s="16" t="s">
        <v>453</v>
      </c>
      <c r="W176" s="16" t="s">
        <v>452</v>
      </c>
    </row>
    <row r="177" spans="1:23">
      <c r="A177" s="9" t="s">
        <v>1065</v>
      </c>
      <c r="B177" s="9">
        <f ca="1">+IF(A177=WORLDCUP!$BI$112,1,0)</f>
        <v>0</v>
      </c>
      <c r="C177" s="9" t="str">
        <f ca="1">+WORLDCUP!BD66</f>
        <v>Senegal</v>
      </c>
      <c r="D177" s="9" t="str">
        <f ca="1">+WORLDCUP!BD64</f>
        <v>Irán</v>
      </c>
      <c r="E177" s="9" t="str">
        <f ca="1">+WORLDCUP!BD67</f>
        <v>Austria</v>
      </c>
      <c r="F177" s="9" t="str">
        <f ca="1">+WORLDCUP!BD61</f>
        <v>Paraguay</v>
      </c>
      <c r="G177" s="9" t="str">
        <f ca="1">+WORLDCUP!BD58</f>
        <v>República Checa</v>
      </c>
      <c r="H177" s="9" t="str">
        <f ca="1">+WORLDCUP!BD63</f>
        <v>Suecia</v>
      </c>
      <c r="I177" s="9" t="str">
        <f ca="1">+WORLDCUP!BD69</f>
        <v>Ghana</v>
      </c>
      <c r="J177" s="9" t="str">
        <f ca="1">+WORLDCUP!BD68</f>
        <v>RD Congo</v>
      </c>
      <c r="N177" s="16" t="s">
        <v>1065</v>
      </c>
      <c r="O177" s="16">
        <v>176</v>
      </c>
      <c r="P177" s="16" t="s">
        <v>450</v>
      </c>
      <c r="Q177" s="16" t="s">
        <v>445</v>
      </c>
      <c r="R177" s="16" t="s">
        <v>451</v>
      </c>
      <c r="S177" s="16" t="s">
        <v>93</v>
      </c>
      <c r="T177" s="16" t="s">
        <v>90</v>
      </c>
      <c r="U177" s="16" t="s">
        <v>95</v>
      </c>
      <c r="V177" s="16" t="s">
        <v>453</v>
      </c>
      <c r="W177" s="16" t="s">
        <v>452</v>
      </c>
    </row>
    <row r="178" spans="1:23">
      <c r="A178" s="9" t="s">
        <v>1064</v>
      </c>
      <c r="B178" s="9">
        <f ca="1">+IF(A178=WORLDCUP!$BI$112,1,0)</f>
        <v>0</v>
      </c>
      <c r="C178" s="9" t="str">
        <f ca="1">+WORLDCUP!BD65</f>
        <v>Arabia Saudita</v>
      </c>
      <c r="D178" s="9" t="str">
        <f ca="1">+WORLDCUP!BD64</f>
        <v>Irán</v>
      </c>
      <c r="E178" s="9" t="str">
        <f ca="1">+WORLDCUP!BD67</f>
        <v>Austria</v>
      </c>
      <c r="F178" s="9" t="str">
        <f ca="1">+WORLDCUP!BD61</f>
        <v>Paraguay</v>
      </c>
      <c r="G178" s="9" t="str">
        <f ca="1">+WORLDCUP!BD58</f>
        <v>República Checa</v>
      </c>
      <c r="H178" s="9" t="str">
        <f ca="1">+WORLDCUP!BD63</f>
        <v>Suecia</v>
      </c>
      <c r="I178" s="9" t="str">
        <f ca="1">+WORLDCUP!BD69</f>
        <v>Ghana</v>
      </c>
      <c r="J178" s="9" t="str">
        <f ca="1">+WORLDCUP!BD68</f>
        <v>RD Congo</v>
      </c>
      <c r="N178" s="16" t="s">
        <v>1064</v>
      </c>
      <c r="O178" s="16">
        <v>177</v>
      </c>
      <c r="P178" s="16" t="s">
        <v>446</v>
      </c>
      <c r="Q178" s="16" t="s">
        <v>445</v>
      </c>
      <c r="R178" s="16" t="s">
        <v>451</v>
      </c>
      <c r="S178" s="16" t="s">
        <v>93</v>
      </c>
      <c r="T178" s="16" t="s">
        <v>90</v>
      </c>
      <c r="U178" s="16" t="s">
        <v>95</v>
      </c>
      <c r="V178" s="16" t="s">
        <v>453</v>
      </c>
      <c r="W178" s="16" t="s">
        <v>452</v>
      </c>
    </row>
    <row r="179" spans="1:23">
      <c r="A179" s="9" t="s">
        <v>1063</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Suecia</v>
      </c>
      <c r="I179" s="9" t="str">
        <f ca="1">+WORLDCUP!BD69</f>
        <v>Ghana</v>
      </c>
      <c r="J179" s="9" t="str">
        <f ca="1">+WORLDCUP!BD68</f>
        <v>RD Congo</v>
      </c>
      <c r="N179" s="16" t="s">
        <v>1063</v>
      </c>
      <c r="O179" s="16">
        <v>178</v>
      </c>
      <c r="P179" s="16" t="s">
        <v>446</v>
      </c>
      <c r="Q179" s="16" t="s">
        <v>445</v>
      </c>
      <c r="R179" s="16" t="s">
        <v>450</v>
      </c>
      <c r="S179" s="16" t="s">
        <v>93</v>
      </c>
      <c r="T179" s="16" t="s">
        <v>90</v>
      </c>
      <c r="U179" s="16" t="s">
        <v>95</v>
      </c>
      <c r="V179" s="16" t="s">
        <v>453</v>
      </c>
      <c r="W179" s="16" t="s">
        <v>452</v>
      </c>
    </row>
    <row r="180" spans="1:23">
      <c r="A180" s="9" t="s">
        <v>1062</v>
      </c>
      <c r="B180" s="9">
        <f ca="1">+IF(A180=WORLDCUP!$BI$112,1,0)</f>
        <v>0</v>
      </c>
      <c r="C180" s="9" t="str">
        <f ca="1">+WORLDCUP!BD65</f>
        <v>Arabia Saudita</v>
      </c>
      <c r="D180" s="9" t="str">
        <f ca="1">+WORLDCUP!BD64</f>
        <v>Irán</v>
      </c>
      <c r="E180" s="9" t="str">
        <f ca="1">+WORLDCUP!BD67</f>
        <v>Austria</v>
      </c>
      <c r="F180" s="9" t="str">
        <f ca="1">+WORLDCUP!BD61</f>
        <v>Paraguay</v>
      </c>
      <c r="G180" s="9" t="str">
        <f ca="1">+WORLDCUP!BD58</f>
        <v>República Checa</v>
      </c>
      <c r="H180" s="9" t="str">
        <f ca="1">+WORLDCUP!BD63</f>
        <v>Suecia</v>
      </c>
      <c r="I180" s="9" t="str">
        <f ca="1">+WORLDCUP!BD69</f>
        <v>Ghana</v>
      </c>
      <c r="J180" s="9" t="str">
        <f ca="1">+WORLDCUP!BD66</f>
        <v>Senegal</v>
      </c>
      <c r="N180" s="16" t="s">
        <v>1062</v>
      </c>
      <c r="O180" s="16">
        <v>179</v>
      </c>
      <c r="P180" s="16" t="s">
        <v>446</v>
      </c>
      <c r="Q180" s="16" t="s">
        <v>445</v>
      </c>
      <c r="R180" s="16" t="s">
        <v>451</v>
      </c>
      <c r="S180" s="16" t="s">
        <v>93</v>
      </c>
      <c r="T180" s="16" t="s">
        <v>90</v>
      </c>
      <c r="U180" s="16" t="s">
        <v>95</v>
      </c>
      <c r="V180" s="16" t="s">
        <v>453</v>
      </c>
      <c r="W180" s="16" t="s">
        <v>450</v>
      </c>
    </row>
    <row r="181" spans="1:23">
      <c r="A181" s="9" t="s">
        <v>1061</v>
      </c>
      <c r="B181" s="9">
        <f ca="1">+IF(A181=WORLDCUP!$BI$112,1,0)</f>
        <v>0</v>
      </c>
      <c r="C181" s="9" t="str">
        <f ca="1">+WORLDCUP!BD65</f>
        <v>Arabia Saudita</v>
      </c>
      <c r="D181" s="9" t="str">
        <f ca="1">+WORLDCUP!BD64</f>
        <v>Irán</v>
      </c>
      <c r="E181" s="9" t="str">
        <f ca="1">+WORLDCUP!BD67</f>
        <v>Austria</v>
      </c>
      <c r="F181" s="9" t="str">
        <f ca="1">+WORLDCUP!BD61</f>
        <v>Paraguay</v>
      </c>
      <c r="G181" s="9" t="str">
        <f ca="1">+WORLDCUP!BD58</f>
        <v>República Checa</v>
      </c>
      <c r="H181" s="9" t="str">
        <f ca="1">+WORLDCUP!BD63</f>
        <v>Suecia</v>
      </c>
      <c r="I181" s="9" t="str">
        <f ca="1">+WORLDCUP!BD66</f>
        <v>Senegal</v>
      </c>
      <c r="J181" s="9" t="str">
        <f ca="1">+WORLDCUP!BD68</f>
        <v>RD Congo</v>
      </c>
      <c r="N181" s="16" t="s">
        <v>1061</v>
      </c>
      <c r="O181" s="16">
        <v>180</v>
      </c>
      <c r="P181" s="16" t="s">
        <v>446</v>
      </c>
      <c r="Q181" s="16" t="s">
        <v>445</v>
      </c>
      <c r="R181" s="16" t="s">
        <v>451</v>
      </c>
      <c r="S181" s="16" t="s">
        <v>93</v>
      </c>
      <c r="T181" s="16" t="s">
        <v>90</v>
      </c>
      <c r="U181" s="16" t="s">
        <v>95</v>
      </c>
      <c r="V181" s="16" t="s">
        <v>450</v>
      </c>
      <c r="W181" s="16" t="s">
        <v>452</v>
      </c>
    </row>
    <row r="182" spans="1:23">
      <c r="A182" s="9" t="s">
        <v>1060</v>
      </c>
      <c r="B182" s="9">
        <f ca="1">+IF(A182=WORLDCUP!$BI$112,1,0)</f>
        <v>0</v>
      </c>
      <c r="C182" s="9" t="str">
        <f ca="1">+WORLDCUP!BD62</f>
        <v>Ecuador</v>
      </c>
      <c r="D182" s="9" t="str">
        <f ca="1">+WORLDCUP!BD67</f>
        <v>Austria</v>
      </c>
      <c r="E182" s="9" t="str">
        <f ca="1">+WORLDCUP!BD66</f>
        <v>Senegal</v>
      </c>
      <c r="F182" s="9" t="str">
        <f ca="1">+WORLDCUP!BD61</f>
        <v>Paraguay</v>
      </c>
      <c r="G182" s="9" t="str">
        <f ca="1">+WORLDCUP!BD58</f>
        <v>República Checa</v>
      </c>
      <c r="H182" s="9" t="str">
        <f ca="1">+WORLDCUP!BD65</f>
        <v>Arabia Saudita</v>
      </c>
      <c r="I182" s="9" t="str">
        <f ca="1">+WORLDCUP!BD69</f>
        <v>Ghana</v>
      </c>
      <c r="J182" s="9" t="str">
        <f ca="1">+WORLDCUP!BD68</f>
        <v>RD Congo</v>
      </c>
      <c r="N182" s="16" t="s">
        <v>1060</v>
      </c>
      <c r="O182" s="16">
        <v>181</v>
      </c>
      <c r="P182" s="16" t="s">
        <v>94</v>
      </c>
      <c r="Q182" s="16" t="s">
        <v>451</v>
      </c>
      <c r="R182" s="16" t="s">
        <v>450</v>
      </c>
      <c r="S182" s="16" t="s">
        <v>93</v>
      </c>
      <c r="T182" s="16" t="s">
        <v>90</v>
      </c>
      <c r="U182" s="16" t="s">
        <v>446</v>
      </c>
      <c r="V182" s="16" t="s">
        <v>453</v>
      </c>
      <c r="W182" s="16" t="s">
        <v>452</v>
      </c>
    </row>
    <row r="183" spans="1:23">
      <c r="A183" s="9" t="s">
        <v>1059</v>
      </c>
      <c r="B183" s="9">
        <f ca="1">+IF(A183=WORLDCUP!$BI$112,1,0)</f>
        <v>0</v>
      </c>
      <c r="C183" s="9" t="str">
        <f ca="1">+WORLDCUP!BD62</f>
        <v>Ecuador</v>
      </c>
      <c r="D183" s="9" t="str">
        <f ca="1">+WORLDCUP!BD67</f>
        <v>Austria</v>
      </c>
      <c r="E183" s="9" t="str">
        <f ca="1">+WORLDCUP!BD66</f>
        <v>Senegal</v>
      </c>
      <c r="F183" s="9" t="str">
        <f ca="1">+WORLDCUP!BD61</f>
        <v>Paraguay</v>
      </c>
      <c r="G183" s="9" t="str">
        <f ca="1">+WORLDCUP!BD58</f>
        <v>República Checa</v>
      </c>
      <c r="H183" s="9" t="str">
        <f ca="1">+WORLDCUP!BD64</f>
        <v>Irán</v>
      </c>
      <c r="I183" s="9" t="str">
        <f ca="1">+WORLDCUP!BD69</f>
        <v>Ghana</v>
      </c>
      <c r="J183" s="9" t="str">
        <f ca="1">+WORLDCUP!BD68</f>
        <v>RD Congo</v>
      </c>
      <c r="N183" s="16" t="s">
        <v>1059</v>
      </c>
      <c r="O183" s="16">
        <v>182</v>
      </c>
      <c r="P183" s="16" t="s">
        <v>94</v>
      </c>
      <c r="Q183" s="16" t="s">
        <v>451</v>
      </c>
      <c r="R183" s="16" t="s">
        <v>450</v>
      </c>
      <c r="S183" s="16" t="s">
        <v>93</v>
      </c>
      <c r="T183" s="16" t="s">
        <v>90</v>
      </c>
      <c r="U183" s="16" t="s">
        <v>445</v>
      </c>
      <c r="V183" s="16" t="s">
        <v>453</v>
      </c>
      <c r="W183" s="16" t="s">
        <v>452</v>
      </c>
    </row>
    <row r="184" spans="1:23">
      <c r="A184" s="9" t="s">
        <v>1058</v>
      </c>
      <c r="B184" s="9">
        <f ca="1">+IF(A184=WORLDCUP!$BI$112,1,0)</f>
        <v>0</v>
      </c>
      <c r="C184" s="9" t="str">
        <f ca="1">+WORLDCUP!BD62</f>
        <v>Ecuador</v>
      </c>
      <c r="D184" s="9" t="str">
        <f ca="1">+WORLDCUP!BD64</f>
        <v>Irán</v>
      </c>
      <c r="E184" s="9" t="str">
        <f ca="1">+WORLDCUP!BD67</f>
        <v>Austria</v>
      </c>
      <c r="F184" s="9" t="str">
        <f ca="1">+WORLDCUP!BD61</f>
        <v>Paraguay</v>
      </c>
      <c r="G184" s="9" t="str">
        <f ca="1">+WORLDCUP!BD58</f>
        <v>República Checa</v>
      </c>
      <c r="H184" s="9" t="str">
        <f ca="1">+WORLDCUP!BD65</f>
        <v>Arabia Saudita</v>
      </c>
      <c r="I184" s="9" t="str">
        <f ca="1">+WORLDCUP!BD69</f>
        <v>Ghana</v>
      </c>
      <c r="J184" s="9" t="str">
        <f ca="1">+WORLDCUP!BD68</f>
        <v>RD Congo</v>
      </c>
      <c r="N184" s="16" t="s">
        <v>1058</v>
      </c>
      <c r="O184" s="16">
        <v>183</v>
      </c>
      <c r="P184" s="16" t="s">
        <v>94</v>
      </c>
      <c r="Q184" s="16" t="s">
        <v>445</v>
      </c>
      <c r="R184" s="16" t="s">
        <v>451</v>
      </c>
      <c r="S184" s="16" t="s">
        <v>93</v>
      </c>
      <c r="T184" s="16" t="s">
        <v>90</v>
      </c>
      <c r="U184" s="16" t="s">
        <v>446</v>
      </c>
      <c r="V184" s="16" t="s">
        <v>453</v>
      </c>
      <c r="W184" s="16" t="s">
        <v>452</v>
      </c>
    </row>
    <row r="185" spans="1:23">
      <c r="A185" s="9" t="s">
        <v>1057</v>
      </c>
      <c r="B185" s="9">
        <f ca="1">+IF(A185=WORLDCUP!$BI$112,1,0)</f>
        <v>0</v>
      </c>
      <c r="C185" s="9" t="str">
        <f ca="1">+WORLDCUP!BD62</f>
        <v>Ecuador</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Ghana</v>
      </c>
      <c r="J185" s="9" t="str">
        <f ca="1">+WORLDCUP!BD68</f>
        <v>RD Congo</v>
      </c>
      <c r="N185" s="16" t="s">
        <v>1057</v>
      </c>
      <c r="O185" s="16">
        <v>184</v>
      </c>
      <c r="P185" s="16" t="s">
        <v>94</v>
      </c>
      <c r="Q185" s="16" t="s">
        <v>445</v>
      </c>
      <c r="R185" s="16" t="s">
        <v>450</v>
      </c>
      <c r="S185" s="16" t="s">
        <v>93</v>
      </c>
      <c r="T185" s="16" t="s">
        <v>90</v>
      </c>
      <c r="U185" s="16" t="s">
        <v>446</v>
      </c>
      <c r="V185" s="16" t="s">
        <v>453</v>
      </c>
      <c r="W185" s="16" t="s">
        <v>452</v>
      </c>
    </row>
    <row r="186" spans="1:23">
      <c r="A186" s="9" t="s">
        <v>1056</v>
      </c>
      <c r="B186" s="9">
        <f ca="1">+IF(A186=WORLDCUP!$BI$112,1,0)</f>
        <v>0</v>
      </c>
      <c r="C186" s="9" t="str">
        <f ca="1">+WORLDCUP!BD62</f>
        <v>Ecuador</v>
      </c>
      <c r="D186" s="9" t="str">
        <f ca="1">+WORLDCUP!BD64</f>
        <v>Irán</v>
      </c>
      <c r="E186" s="9" t="str">
        <f ca="1">+WORLDCUP!BD67</f>
        <v>Austria</v>
      </c>
      <c r="F186" s="9" t="str">
        <f ca="1">+WORLDCUP!BD61</f>
        <v>Paraguay</v>
      </c>
      <c r="G186" s="9" t="str">
        <f ca="1">+WORLDCUP!BD58</f>
        <v>República Checa</v>
      </c>
      <c r="H186" s="9" t="str">
        <f ca="1">+WORLDCUP!BD65</f>
        <v>Arabia Saudita</v>
      </c>
      <c r="I186" s="9" t="str">
        <f ca="1">+WORLDCUP!BD69</f>
        <v>Ghana</v>
      </c>
      <c r="J186" s="9" t="str">
        <f ca="1">+WORLDCUP!BD66</f>
        <v>Senegal</v>
      </c>
      <c r="N186" s="16" t="s">
        <v>1056</v>
      </c>
      <c r="O186" s="16">
        <v>185</v>
      </c>
      <c r="P186" s="16" t="s">
        <v>94</v>
      </c>
      <c r="Q186" s="16" t="s">
        <v>445</v>
      </c>
      <c r="R186" s="16" t="s">
        <v>451</v>
      </c>
      <c r="S186" s="16" t="s">
        <v>93</v>
      </c>
      <c r="T186" s="16" t="s">
        <v>90</v>
      </c>
      <c r="U186" s="16" t="s">
        <v>446</v>
      </c>
      <c r="V186" s="16" t="s">
        <v>453</v>
      </c>
      <c r="W186" s="16" t="s">
        <v>450</v>
      </c>
    </row>
    <row r="187" spans="1:23">
      <c r="A187" s="9" t="s">
        <v>1055</v>
      </c>
      <c r="B187" s="9">
        <f ca="1">+IF(A187=WORLDCUP!$BI$112,1,0)</f>
        <v>0</v>
      </c>
      <c r="C187" s="9" t="str">
        <f ca="1">+WORLDCUP!BD62</f>
        <v>Ecuador</v>
      </c>
      <c r="D187" s="9" t="str">
        <f ca="1">+WORLDCUP!BD64</f>
        <v>Irán</v>
      </c>
      <c r="E187" s="9" t="str">
        <f ca="1">+WORLDCUP!BD67</f>
        <v>Austria</v>
      </c>
      <c r="F187" s="9" t="str">
        <f ca="1">+WORLDCUP!BD61</f>
        <v>Paraguay</v>
      </c>
      <c r="G187" s="9" t="str">
        <f ca="1">+WORLDCUP!BD58</f>
        <v>República Checa</v>
      </c>
      <c r="H187" s="9" t="str">
        <f ca="1">+WORLDCUP!BD65</f>
        <v>Arabia Saudita</v>
      </c>
      <c r="I187" s="9" t="str">
        <f ca="1">+WORLDCUP!BD66</f>
        <v>Senegal</v>
      </c>
      <c r="J187" s="9" t="str">
        <f ca="1">+WORLDCUP!BD68</f>
        <v>RD Congo</v>
      </c>
      <c r="N187" s="16" t="s">
        <v>1055</v>
      </c>
      <c r="O187" s="16">
        <v>186</v>
      </c>
      <c r="P187" s="16" t="s">
        <v>94</v>
      </c>
      <c r="Q187" s="16" t="s">
        <v>445</v>
      </c>
      <c r="R187" s="16" t="s">
        <v>451</v>
      </c>
      <c r="S187" s="16" t="s">
        <v>93</v>
      </c>
      <c r="T187" s="16" t="s">
        <v>90</v>
      </c>
      <c r="U187" s="16" t="s">
        <v>446</v>
      </c>
      <c r="V187" s="16" t="s">
        <v>450</v>
      </c>
      <c r="W187" s="16" t="s">
        <v>452</v>
      </c>
    </row>
    <row r="188" spans="1:23">
      <c r="A188" s="9" t="s">
        <v>1054</v>
      </c>
      <c r="B188" s="9">
        <f ca="1">+IF(A188=WORLDCUP!$BI$112,1,0)</f>
        <v>0</v>
      </c>
      <c r="C188" s="9" t="str">
        <f ca="1">+WORLDCUP!BD62</f>
        <v>Ecuador</v>
      </c>
      <c r="D188" s="9" t="str">
        <f ca="1">+WORLDCUP!BD67</f>
        <v>Austria</v>
      </c>
      <c r="E188" s="9" t="str">
        <f ca="1">+WORLDCUP!BD66</f>
        <v>Senegal</v>
      </c>
      <c r="F188" s="9" t="str">
        <f ca="1">+WORLDCUP!BD61</f>
        <v>Paraguay</v>
      </c>
      <c r="G188" s="9" t="str">
        <f ca="1">+WORLDCUP!BD58</f>
        <v>República Checa</v>
      </c>
      <c r="H188" s="9" t="str">
        <f ca="1">+WORLDCUP!BD63</f>
        <v>Suecia</v>
      </c>
      <c r="I188" s="9" t="str">
        <f ca="1">+WORLDCUP!BD69</f>
        <v>Ghana</v>
      </c>
      <c r="J188" s="9" t="str">
        <f ca="1">+WORLDCUP!BD68</f>
        <v>RD Congo</v>
      </c>
      <c r="N188" s="16" t="s">
        <v>1054</v>
      </c>
      <c r="O188" s="16">
        <v>187</v>
      </c>
      <c r="P188" s="16" t="s">
        <v>94</v>
      </c>
      <c r="Q188" s="16" t="s">
        <v>451</v>
      </c>
      <c r="R188" s="16" t="s">
        <v>450</v>
      </c>
      <c r="S188" s="16" t="s">
        <v>93</v>
      </c>
      <c r="T188" s="16" t="s">
        <v>90</v>
      </c>
      <c r="U188" s="16" t="s">
        <v>95</v>
      </c>
      <c r="V188" s="16" t="s">
        <v>453</v>
      </c>
      <c r="W188" s="16" t="s">
        <v>452</v>
      </c>
    </row>
    <row r="189" spans="1:23">
      <c r="A189" s="9" t="s">
        <v>1053</v>
      </c>
      <c r="B189" s="9">
        <f ca="1">+IF(A189=WORLDCUP!$BI$112,1,0)</f>
        <v>0</v>
      </c>
      <c r="C189" s="9" t="str">
        <f ca="1">+WORLDCUP!BD65</f>
        <v>Arabia Saudita</v>
      </c>
      <c r="D189" s="9" t="str">
        <f ca="1">+WORLDCUP!BD67</f>
        <v>Austria</v>
      </c>
      <c r="E189" s="9" t="str">
        <f ca="1">+WORLDCUP!BD62</f>
        <v>Ecuador</v>
      </c>
      <c r="F189" s="9" t="str">
        <f ca="1">+WORLDCUP!BD61</f>
        <v>Paraguay</v>
      </c>
      <c r="G189" s="9" t="str">
        <f ca="1">+WORLDCUP!BD58</f>
        <v>República Checa</v>
      </c>
      <c r="H189" s="9" t="str">
        <f ca="1">+WORLDCUP!BD63</f>
        <v>Suecia</v>
      </c>
      <c r="I189" s="9" t="str">
        <f ca="1">+WORLDCUP!BD69</f>
        <v>Ghana</v>
      </c>
      <c r="J189" s="9" t="str">
        <f ca="1">+WORLDCUP!BD68</f>
        <v>RD Congo</v>
      </c>
      <c r="N189" s="16" t="s">
        <v>1053</v>
      </c>
      <c r="O189" s="16">
        <v>188</v>
      </c>
      <c r="P189" s="16" t="s">
        <v>446</v>
      </c>
      <c r="Q189" s="16" t="s">
        <v>451</v>
      </c>
      <c r="R189" s="16" t="s">
        <v>94</v>
      </c>
      <c r="S189" s="16" t="s">
        <v>93</v>
      </c>
      <c r="T189" s="16" t="s">
        <v>90</v>
      </c>
      <c r="U189" s="16" t="s">
        <v>95</v>
      </c>
      <c r="V189" s="16" t="s">
        <v>453</v>
      </c>
      <c r="W189" s="16" t="s">
        <v>452</v>
      </c>
    </row>
    <row r="190" spans="1:23">
      <c r="A190" s="9" t="s">
        <v>1052</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Ghana</v>
      </c>
      <c r="J190" s="9" t="str">
        <f ca="1">+WORLDCUP!BD68</f>
        <v>RD Congo</v>
      </c>
      <c r="N190" s="16" t="s">
        <v>1052</v>
      </c>
      <c r="O190" s="16">
        <v>189</v>
      </c>
      <c r="P190" s="16" t="s">
        <v>446</v>
      </c>
      <c r="Q190" s="16" t="s">
        <v>94</v>
      </c>
      <c r="R190" s="16" t="s">
        <v>450</v>
      </c>
      <c r="S190" s="16" t="s">
        <v>93</v>
      </c>
      <c r="T190" s="16" t="s">
        <v>90</v>
      </c>
      <c r="U190" s="16" t="s">
        <v>95</v>
      </c>
      <c r="V190" s="16" t="s">
        <v>453</v>
      </c>
      <c r="W190" s="16" t="s">
        <v>452</v>
      </c>
    </row>
    <row r="191" spans="1:23">
      <c r="A191" s="9" t="s">
        <v>1051</v>
      </c>
      <c r="B191" s="9">
        <f ca="1">+IF(A191=WORLDCUP!$BI$112,1,0)</f>
        <v>0</v>
      </c>
      <c r="C191" s="9" t="str">
        <f ca="1">+WORLDCUP!BD65</f>
        <v>Arabia Saudita</v>
      </c>
      <c r="D191" s="9" t="str">
        <f ca="1">+WORLDCUP!BD67</f>
        <v>Austria</v>
      </c>
      <c r="E191" s="9" t="str">
        <f ca="1">+WORLDCUP!BD62</f>
        <v>Ecuador</v>
      </c>
      <c r="F191" s="9" t="str">
        <f ca="1">+WORLDCUP!BD61</f>
        <v>Paraguay</v>
      </c>
      <c r="G191" s="9" t="str">
        <f ca="1">+WORLDCUP!BD58</f>
        <v>República Checa</v>
      </c>
      <c r="H191" s="9" t="str">
        <f ca="1">+WORLDCUP!BD63</f>
        <v>Suecia</v>
      </c>
      <c r="I191" s="9" t="str">
        <f ca="1">+WORLDCUP!BD69</f>
        <v>Ghana</v>
      </c>
      <c r="J191" s="9" t="str">
        <f ca="1">+WORLDCUP!BD66</f>
        <v>Senegal</v>
      </c>
      <c r="N191" s="16" t="s">
        <v>1051</v>
      </c>
      <c r="O191" s="16">
        <v>190</v>
      </c>
      <c r="P191" s="16" t="s">
        <v>446</v>
      </c>
      <c r="Q191" s="16" t="s">
        <v>451</v>
      </c>
      <c r="R191" s="16" t="s">
        <v>94</v>
      </c>
      <c r="S191" s="16" t="s">
        <v>93</v>
      </c>
      <c r="T191" s="16" t="s">
        <v>90</v>
      </c>
      <c r="U191" s="16" t="s">
        <v>95</v>
      </c>
      <c r="V191" s="16" t="s">
        <v>453</v>
      </c>
      <c r="W191" s="16" t="s">
        <v>450</v>
      </c>
    </row>
    <row r="192" spans="1:23">
      <c r="A192" s="9" t="s">
        <v>1050</v>
      </c>
      <c r="B192" s="9">
        <f ca="1">+IF(A192=WORLDCUP!$BI$112,1,0)</f>
        <v>0</v>
      </c>
      <c r="C192" s="9" t="str">
        <f ca="1">+WORLDCUP!BD65</f>
        <v>Arabia Saudita</v>
      </c>
      <c r="D192" s="9" t="str">
        <f ca="1">+WORLDCUP!BD67</f>
        <v>Austria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1050</v>
      </c>
      <c r="O192" s="16">
        <v>191</v>
      </c>
      <c r="P192" s="16" t="s">
        <v>446</v>
      </c>
      <c r="Q192" s="16" t="s">
        <v>451</v>
      </c>
      <c r="R192" s="16" t="s">
        <v>94</v>
      </c>
      <c r="S192" s="16" t="s">
        <v>93</v>
      </c>
      <c r="T192" s="16" t="s">
        <v>90</v>
      </c>
      <c r="U192" s="16" t="s">
        <v>95</v>
      </c>
      <c r="V192" s="16" t="s">
        <v>450</v>
      </c>
      <c r="W192" s="16" t="s">
        <v>452</v>
      </c>
    </row>
    <row r="193" spans="1:23">
      <c r="A193" s="9" t="s">
        <v>1049</v>
      </c>
      <c r="B193" s="9">
        <f ca="1">+IF(A193=WORLDCUP!$BI$112,1,0)</f>
        <v>0</v>
      </c>
      <c r="C193" s="9" t="str">
        <f ca="1">+WORLDCUP!BD62</f>
        <v>Ecuador</v>
      </c>
      <c r="D193" s="9" t="str">
        <f ca="1">+WORLDCUP!BD64</f>
        <v>Irán</v>
      </c>
      <c r="E193" s="9" t="str">
        <f ca="1">+WORLDCUP!BD67</f>
        <v>Austria</v>
      </c>
      <c r="F193" s="9" t="str">
        <f ca="1">+WORLDCUP!BD61</f>
        <v>Paraguay</v>
      </c>
      <c r="G193" s="9" t="str">
        <f ca="1">+WORLDCUP!BD58</f>
        <v>República Checa</v>
      </c>
      <c r="H193" s="9" t="str">
        <f ca="1">+WORLDCUP!BD63</f>
        <v>Suecia</v>
      </c>
      <c r="I193" s="9" t="str">
        <f ca="1">+WORLDCUP!BD69</f>
        <v>Ghana</v>
      </c>
      <c r="J193" s="9" t="str">
        <f ca="1">+WORLDCUP!BD68</f>
        <v>RD Congo</v>
      </c>
      <c r="N193" s="16" t="s">
        <v>1049</v>
      </c>
      <c r="O193" s="16">
        <v>192</v>
      </c>
      <c r="P193" s="16" t="s">
        <v>94</v>
      </c>
      <c r="Q193" s="16" t="s">
        <v>445</v>
      </c>
      <c r="R193" s="16" t="s">
        <v>451</v>
      </c>
      <c r="S193" s="16" t="s">
        <v>93</v>
      </c>
      <c r="T193" s="16" t="s">
        <v>90</v>
      </c>
      <c r="U193" s="16" t="s">
        <v>95</v>
      </c>
      <c r="V193" s="16" t="s">
        <v>453</v>
      </c>
      <c r="W193" s="16" t="s">
        <v>452</v>
      </c>
    </row>
    <row r="194" spans="1:23">
      <c r="A194" s="9" t="s">
        <v>1048</v>
      </c>
      <c r="B194" s="9">
        <f ca="1">+IF(A194=WORLDCUP!$BI$112,1,0)</f>
        <v>0</v>
      </c>
      <c r="C194" s="9" t="str">
        <f ca="1">+WORLDCUP!BD62</f>
        <v>Ecuador</v>
      </c>
      <c r="D194" s="9" t="str">
        <f ca="1">+WORLDCUP!BD64</f>
        <v>Irán</v>
      </c>
      <c r="E194" s="9" t="str">
        <f ca="1">+WORLDCUP!BD66</f>
        <v>Senegal</v>
      </c>
      <c r="F194" s="9" t="str">
        <f ca="1">+WORLDCUP!BD61</f>
        <v>Paraguay</v>
      </c>
      <c r="G194" s="9" t="str">
        <f ca="1">+WORLDCUP!BD58</f>
        <v>República Checa</v>
      </c>
      <c r="H194" s="9" t="str">
        <f ca="1">+WORLDCUP!BD63</f>
        <v>Suecia</v>
      </c>
      <c r="I194" s="9" t="str">
        <f ca="1">+WORLDCUP!BD69</f>
        <v>Ghana</v>
      </c>
      <c r="J194" s="9" t="str">
        <f ca="1">+WORLDCUP!BD68</f>
        <v>RD Congo</v>
      </c>
      <c r="N194" s="16" t="s">
        <v>1048</v>
      </c>
      <c r="O194" s="16">
        <v>193</v>
      </c>
      <c r="P194" s="16" t="s">
        <v>94</v>
      </c>
      <c r="Q194" s="16" t="s">
        <v>445</v>
      </c>
      <c r="R194" s="16" t="s">
        <v>450</v>
      </c>
      <c r="S194" s="16" t="s">
        <v>93</v>
      </c>
      <c r="T194" s="16" t="s">
        <v>90</v>
      </c>
      <c r="U194" s="16" t="s">
        <v>95</v>
      </c>
      <c r="V194" s="16" t="s">
        <v>453</v>
      </c>
      <c r="W194" s="16" t="s">
        <v>452</v>
      </c>
    </row>
    <row r="195" spans="1:23">
      <c r="A195" s="9" t="s">
        <v>1047</v>
      </c>
      <c r="B195" s="9">
        <f ca="1">+IF(A195=WORLDCUP!$BI$112,1,0)</f>
        <v>0</v>
      </c>
      <c r="C195" s="9" t="str">
        <f ca="1">+WORLDCUP!BD62</f>
        <v>Ecuador</v>
      </c>
      <c r="D195" s="9" t="str">
        <f ca="1">+WORLDCUP!BD64</f>
        <v>Irán</v>
      </c>
      <c r="E195" s="9" t="str">
        <f ca="1">+WORLDCUP!BD67</f>
        <v>Austria</v>
      </c>
      <c r="F195" s="9" t="str">
        <f ca="1">+WORLDCUP!BD61</f>
        <v>Paraguay</v>
      </c>
      <c r="G195" s="9" t="str">
        <f ca="1">+WORLDCUP!BD58</f>
        <v>República Checa</v>
      </c>
      <c r="H195" s="9" t="str">
        <f ca="1">+WORLDCUP!BD63</f>
        <v>Suecia</v>
      </c>
      <c r="I195" s="9" t="str">
        <f ca="1">+WORLDCUP!BD69</f>
        <v>Ghana</v>
      </c>
      <c r="J195" s="9" t="str">
        <f ca="1">+WORLDCUP!BD66</f>
        <v>Senegal</v>
      </c>
      <c r="N195" s="16" t="s">
        <v>1047</v>
      </c>
      <c r="O195" s="16">
        <v>194</v>
      </c>
      <c r="P195" s="16" t="s">
        <v>94</v>
      </c>
      <c r="Q195" s="16" t="s">
        <v>445</v>
      </c>
      <c r="R195" s="16" t="s">
        <v>451</v>
      </c>
      <c r="S195" s="16" t="s">
        <v>93</v>
      </c>
      <c r="T195" s="16" t="s">
        <v>90</v>
      </c>
      <c r="U195" s="16" t="s">
        <v>95</v>
      </c>
      <c r="V195" s="16" t="s">
        <v>453</v>
      </c>
      <c r="W195" s="16" t="s">
        <v>450</v>
      </c>
    </row>
    <row r="196" spans="1:23">
      <c r="A196" s="9" t="s">
        <v>1046</v>
      </c>
      <c r="B196" s="9">
        <f ca="1">+IF(A196=WORLDCUP!$BI$112,1,0)</f>
        <v>0</v>
      </c>
      <c r="C196" s="9" t="str">
        <f ca="1">+WORLDCUP!BD62</f>
        <v>Ecuador</v>
      </c>
      <c r="D196" s="9" t="str">
        <f ca="1">+WORLDCUP!BD64</f>
        <v>Irán</v>
      </c>
      <c r="E196" s="9" t="str">
        <f ca="1">+WORLDCUP!BD67</f>
        <v>Austria</v>
      </c>
      <c r="F196" s="9" t="str">
        <f ca="1">+WORLDCUP!BD61</f>
        <v>Paraguay</v>
      </c>
      <c r="G196" s="9" t="str">
        <f ca="1">+WORLDCUP!BD58</f>
        <v>República Checa</v>
      </c>
      <c r="H196" s="9" t="str">
        <f ca="1">+WORLDCUP!BD63</f>
        <v>Suecia</v>
      </c>
      <c r="I196" s="9" t="str">
        <f ca="1">+WORLDCUP!BD66</f>
        <v>Senegal</v>
      </c>
      <c r="J196" s="9" t="str">
        <f ca="1">+WORLDCUP!BD68</f>
        <v>RD Congo</v>
      </c>
      <c r="N196" s="16" t="s">
        <v>1046</v>
      </c>
      <c r="O196" s="16">
        <v>195</v>
      </c>
      <c r="P196" s="16" t="s">
        <v>94</v>
      </c>
      <c r="Q196" s="16" t="s">
        <v>445</v>
      </c>
      <c r="R196" s="16" t="s">
        <v>451</v>
      </c>
      <c r="S196" s="16" t="s">
        <v>93</v>
      </c>
      <c r="T196" s="16" t="s">
        <v>90</v>
      </c>
      <c r="U196" s="16" t="s">
        <v>95</v>
      </c>
      <c r="V196" s="16" t="s">
        <v>450</v>
      </c>
      <c r="W196" s="16" t="s">
        <v>452</v>
      </c>
    </row>
    <row r="197" spans="1:23">
      <c r="A197" s="9" t="s">
        <v>603</v>
      </c>
      <c r="B197" s="9">
        <f ca="1">+IF(A197=WORLDCUP!$BI$112,1,0)</f>
        <v>0</v>
      </c>
      <c r="C197" s="9" t="str">
        <f ca="1">+WORLDCUP!BD65</f>
        <v>Arabia Saudita</v>
      </c>
      <c r="D197" s="9" t="str">
        <f ca="1">+WORLDCUP!BD64</f>
        <v>Irán</v>
      </c>
      <c r="E197" s="9" t="str">
        <f ca="1">+WORLDCUP!BD62</f>
        <v>Ecuador</v>
      </c>
      <c r="F197" s="9" t="str">
        <f ca="1">+WORLDCUP!BD61</f>
        <v>Paraguay</v>
      </c>
      <c r="G197" s="9" t="str">
        <f ca="1">+WORLDCUP!BD58</f>
        <v>República Checa</v>
      </c>
      <c r="H197" s="9" t="str">
        <f ca="1">+WORLDCUP!BD63</f>
        <v>Suecia</v>
      </c>
      <c r="I197" s="9" t="str">
        <f ca="1">+WORLDCUP!BD69</f>
        <v>Ghana</v>
      </c>
      <c r="J197" s="9" t="str">
        <f ca="1">+WORLDCUP!BD68</f>
        <v>RD Congo</v>
      </c>
      <c r="N197" s="16" t="s">
        <v>603</v>
      </c>
      <c r="O197" s="16">
        <v>196</v>
      </c>
      <c r="P197" s="16" t="s">
        <v>446</v>
      </c>
      <c r="Q197" s="16" t="s">
        <v>445</v>
      </c>
      <c r="R197" s="16" t="s">
        <v>94</v>
      </c>
      <c r="S197" s="16" t="s">
        <v>93</v>
      </c>
      <c r="T197" s="16" t="s">
        <v>90</v>
      </c>
      <c r="U197" s="16" t="s">
        <v>95</v>
      </c>
      <c r="V197" s="16" t="s">
        <v>453</v>
      </c>
      <c r="W197" s="16" t="s">
        <v>452</v>
      </c>
    </row>
    <row r="198" spans="1:23">
      <c r="A198" s="9" t="s">
        <v>602</v>
      </c>
      <c r="B198" s="9">
        <f ca="1">+IF(A198=WORLDCUP!$BI$112,1,0)</f>
        <v>0</v>
      </c>
      <c r="C198" s="9" t="str">
        <f ca="1">+WORLDCUP!BD65</f>
        <v>Arabia Saudita</v>
      </c>
      <c r="D198" s="9" t="str">
        <f ca="1">+WORLDCUP!BD64</f>
        <v>Irán</v>
      </c>
      <c r="E198" s="9" t="str">
        <f ca="1">+WORLDCUP!BD67</f>
        <v>Austria</v>
      </c>
      <c r="F198" s="9" t="str">
        <f ca="1">+WORLDCUP!BD61</f>
        <v>Paraguay</v>
      </c>
      <c r="G198" s="9" t="str">
        <f ca="1">+WORLDCUP!BD58</f>
        <v>República Checa</v>
      </c>
      <c r="H198" s="9" t="str">
        <f ca="1">+WORLDCUP!BD63</f>
        <v>Suecia</v>
      </c>
      <c r="I198" s="9" t="str">
        <f ca="1">+WORLDCUP!BD69</f>
        <v>Ghana</v>
      </c>
      <c r="J198" s="9" t="str">
        <f ca="1">+WORLDCUP!BD62</f>
        <v>Ecuador</v>
      </c>
      <c r="N198" s="16" t="s">
        <v>602</v>
      </c>
      <c r="O198" s="16">
        <v>197</v>
      </c>
      <c r="P198" s="16" t="s">
        <v>446</v>
      </c>
      <c r="Q198" s="16" t="s">
        <v>445</v>
      </c>
      <c r="R198" s="16" t="s">
        <v>451</v>
      </c>
      <c r="S198" s="16" t="s">
        <v>93</v>
      </c>
      <c r="T198" s="16" t="s">
        <v>90</v>
      </c>
      <c r="U198" s="16" t="s">
        <v>95</v>
      </c>
      <c r="V198" s="16" t="s">
        <v>453</v>
      </c>
      <c r="W198" s="16" t="s">
        <v>94</v>
      </c>
    </row>
    <row r="199" spans="1:23">
      <c r="A199" s="9" t="s">
        <v>601</v>
      </c>
      <c r="B199" s="9">
        <f ca="1">+IF(A199=WORLDCUP!$BI$112,1,0)</f>
        <v>0</v>
      </c>
      <c r="C199" s="9" t="str">
        <f ca="1">+WORLDCUP!BD65</f>
        <v>Arabia Saudita</v>
      </c>
      <c r="D199" s="9" t="str">
        <f ca="1">+WORLDCUP!BD64</f>
        <v>Irán</v>
      </c>
      <c r="E199" s="9" t="str">
        <f ca="1">+WORLDCUP!BD67</f>
        <v>Austria</v>
      </c>
      <c r="F199" s="9" t="str">
        <f ca="1">+WORLDCUP!BD61</f>
        <v>Paraguay</v>
      </c>
      <c r="G199" s="9" t="str">
        <f ca="1">+WORLDCUP!BD58</f>
        <v>República Checa</v>
      </c>
      <c r="H199" s="9" t="str">
        <f ca="1">+WORLDCUP!BD63</f>
        <v>Suecia</v>
      </c>
      <c r="I199" s="9" t="str">
        <f ca="1">+WORLDCUP!BD62</f>
        <v>Ecuador</v>
      </c>
      <c r="J199" s="9" t="str">
        <f ca="1">+WORLDCUP!BD68</f>
        <v>RD Congo</v>
      </c>
      <c r="N199" s="16" t="s">
        <v>601</v>
      </c>
      <c r="O199" s="16">
        <v>198</v>
      </c>
      <c r="P199" s="16" t="s">
        <v>446</v>
      </c>
      <c r="Q199" s="16" t="s">
        <v>445</v>
      </c>
      <c r="R199" s="16" t="s">
        <v>451</v>
      </c>
      <c r="S199" s="16" t="s">
        <v>93</v>
      </c>
      <c r="T199" s="16" t="s">
        <v>90</v>
      </c>
      <c r="U199" s="16" t="s">
        <v>95</v>
      </c>
      <c r="V199" s="16" t="s">
        <v>94</v>
      </c>
      <c r="W199" s="16" t="s">
        <v>452</v>
      </c>
    </row>
    <row r="200" spans="1:23">
      <c r="A200" s="9" t="s">
        <v>600</v>
      </c>
      <c r="B200" s="9">
        <f ca="1">+IF(A200=WORLDCUP!$BI$112,1,0)</f>
        <v>0</v>
      </c>
      <c r="C200" s="9" t="str">
        <f ca="1">+WORLDCUP!BD65</f>
        <v>Arabia Saudita</v>
      </c>
      <c r="D200" s="9" t="str">
        <f ca="1">+WORLDCUP!BD64</f>
        <v>Irán</v>
      </c>
      <c r="E200" s="9" t="str">
        <f ca="1">+WORLDCUP!BD62</f>
        <v>Ecuador</v>
      </c>
      <c r="F200" s="9" t="str">
        <f ca="1">+WORLDCUP!BD61</f>
        <v>Paraguay</v>
      </c>
      <c r="G200" s="9" t="str">
        <f ca="1">+WORLDCUP!BD58</f>
        <v>República Checa</v>
      </c>
      <c r="H200" s="9" t="str">
        <f ca="1">+WORLDCUP!BD63</f>
        <v>Suecia</v>
      </c>
      <c r="I200" s="9" t="str">
        <f ca="1">+WORLDCUP!BD69</f>
        <v>Ghana</v>
      </c>
      <c r="J200" s="9" t="str">
        <f ca="1">+WORLDCUP!BD66</f>
        <v>Senegal</v>
      </c>
      <c r="N200" s="16" t="s">
        <v>600</v>
      </c>
      <c r="O200" s="16">
        <v>199</v>
      </c>
      <c r="P200" s="16" t="s">
        <v>446</v>
      </c>
      <c r="Q200" s="16" t="s">
        <v>445</v>
      </c>
      <c r="R200" s="16" t="s">
        <v>94</v>
      </c>
      <c r="S200" s="16" t="s">
        <v>93</v>
      </c>
      <c r="T200" s="16" t="s">
        <v>90</v>
      </c>
      <c r="U200" s="16" t="s">
        <v>95</v>
      </c>
      <c r="V200" s="16" t="s">
        <v>453</v>
      </c>
      <c r="W200" s="16" t="s">
        <v>450</v>
      </c>
    </row>
    <row r="201" spans="1:23">
      <c r="A201" s="9" t="s">
        <v>599</v>
      </c>
      <c r="B201" s="9">
        <f ca="1">+IF(A201=WORLDCUP!$BI$112,1,0)</f>
        <v>0</v>
      </c>
      <c r="C201" s="9" t="str">
        <f ca="1">+WORLDCUP!BD65</f>
        <v>Arabia Saudita</v>
      </c>
      <c r="D201" s="9" t="str">
        <f ca="1">+WORLDCUP!BD64</f>
        <v>Irán</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599</v>
      </c>
      <c r="O201" s="16">
        <v>200</v>
      </c>
      <c r="P201" s="16" t="s">
        <v>446</v>
      </c>
      <c r="Q201" s="16" t="s">
        <v>445</v>
      </c>
      <c r="R201" s="16" t="s">
        <v>94</v>
      </c>
      <c r="S201" s="16" t="s">
        <v>93</v>
      </c>
      <c r="T201" s="16" t="s">
        <v>90</v>
      </c>
      <c r="U201" s="16" t="s">
        <v>95</v>
      </c>
      <c r="V201" s="16" t="s">
        <v>450</v>
      </c>
      <c r="W201" s="16" t="s">
        <v>452</v>
      </c>
    </row>
    <row r="202" spans="1:23">
      <c r="A202" s="9" t="s">
        <v>598</v>
      </c>
      <c r="B202" s="9">
        <f ca="1">+IF(A202=WORLDCUP!$BI$112,1,0)</f>
        <v>0</v>
      </c>
      <c r="C202" s="9" t="str">
        <f ca="1">+WORLDCUP!BD65</f>
        <v>Arabia Saudita</v>
      </c>
      <c r="D202" s="9" t="str">
        <f ca="1">+WORLDCUP!BD64</f>
        <v>Irán</v>
      </c>
      <c r="E202" s="9" t="str">
        <f ca="1">+WORLDCUP!BD67</f>
        <v>Austria</v>
      </c>
      <c r="F202" s="9" t="str">
        <f ca="1">+WORLDCUP!BD61</f>
        <v>Paraguay</v>
      </c>
      <c r="G202" s="9" t="str">
        <f ca="1">+WORLDCUP!BD58</f>
        <v>República Checa</v>
      </c>
      <c r="H202" s="9" t="str">
        <f ca="1">+WORLDCUP!BD63</f>
        <v>Suecia</v>
      </c>
      <c r="I202" s="9" t="str">
        <f ca="1">+WORLDCUP!BD62</f>
        <v>Ecuador</v>
      </c>
      <c r="J202" s="9" t="str">
        <f ca="1">+WORLDCUP!BD66</f>
        <v>Senegal</v>
      </c>
      <c r="N202" s="16" t="s">
        <v>598</v>
      </c>
      <c r="O202" s="16">
        <v>201</v>
      </c>
      <c r="P202" s="16" t="s">
        <v>446</v>
      </c>
      <c r="Q202" s="16" t="s">
        <v>445</v>
      </c>
      <c r="R202" s="16" t="s">
        <v>451</v>
      </c>
      <c r="S202" s="16" t="s">
        <v>93</v>
      </c>
      <c r="T202" s="16" t="s">
        <v>90</v>
      </c>
      <c r="U202" s="16" t="s">
        <v>95</v>
      </c>
      <c r="V202" s="16" t="s">
        <v>94</v>
      </c>
      <c r="W202" s="16" t="s">
        <v>450</v>
      </c>
    </row>
    <row r="203" spans="1:23">
      <c r="A203" s="9" t="s">
        <v>1045</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Ghana</v>
      </c>
      <c r="J203" s="9" t="str">
        <f ca="1">+WORLDCUP!BD68</f>
        <v>RD Congo</v>
      </c>
      <c r="N203" s="16" t="s">
        <v>1045</v>
      </c>
      <c r="O203" s="16">
        <v>202</v>
      </c>
      <c r="P203" s="16" t="s">
        <v>446</v>
      </c>
      <c r="Q203" s="16" t="s">
        <v>451</v>
      </c>
      <c r="R203" s="16" t="s">
        <v>450</v>
      </c>
      <c r="S203" s="16" t="s">
        <v>92</v>
      </c>
      <c r="T203" s="16" t="s">
        <v>90</v>
      </c>
      <c r="U203" s="16" t="s">
        <v>445</v>
      </c>
      <c r="V203" s="16" t="s">
        <v>453</v>
      </c>
      <c r="W203" s="16" t="s">
        <v>452</v>
      </c>
    </row>
    <row r="204" spans="1:23">
      <c r="A204" s="9" t="s">
        <v>1044</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1044</v>
      </c>
      <c r="O204" s="16">
        <v>203</v>
      </c>
      <c r="P204" s="16" t="s">
        <v>446</v>
      </c>
      <c r="Q204" s="16" t="s">
        <v>451</v>
      </c>
      <c r="R204" s="16" t="s">
        <v>450</v>
      </c>
      <c r="S204" s="16" t="s">
        <v>92</v>
      </c>
      <c r="T204" s="16" t="s">
        <v>90</v>
      </c>
      <c r="U204" s="16" t="s">
        <v>95</v>
      </c>
      <c r="V204" s="16" t="s">
        <v>453</v>
      </c>
      <c r="W204" s="16" t="s">
        <v>452</v>
      </c>
    </row>
    <row r="205" spans="1:23">
      <c r="A205" s="9" t="s">
        <v>1043</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Ghana</v>
      </c>
      <c r="J205" s="9" t="str">
        <f ca="1">+WORLDCUP!BD68</f>
        <v>RD Congo</v>
      </c>
      <c r="N205" s="16" t="s">
        <v>1043</v>
      </c>
      <c r="O205" s="16">
        <v>204</v>
      </c>
      <c r="P205" s="16" t="s">
        <v>450</v>
      </c>
      <c r="Q205" s="16" t="s">
        <v>445</v>
      </c>
      <c r="R205" s="16" t="s">
        <v>451</v>
      </c>
      <c r="S205" s="16" t="s">
        <v>92</v>
      </c>
      <c r="T205" s="16" t="s">
        <v>90</v>
      </c>
      <c r="U205" s="16" t="s">
        <v>95</v>
      </c>
      <c r="V205" s="16" t="s">
        <v>453</v>
      </c>
      <c r="W205" s="16" t="s">
        <v>452</v>
      </c>
    </row>
    <row r="206" spans="1:23">
      <c r="A206" s="9" t="s">
        <v>1042</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Ghana</v>
      </c>
      <c r="J206" s="9" t="str">
        <f ca="1">+WORLDCUP!BD68</f>
        <v>RD Congo</v>
      </c>
      <c r="N206" s="16" t="s">
        <v>1042</v>
      </c>
      <c r="O206" s="16">
        <v>205</v>
      </c>
      <c r="P206" s="16" t="s">
        <v>446</v>
      </c>
      <c r="Q206" s="16" t="s">
        <v>445</v>
      </c>
      <c r="R206" s="16" t="s">
        <v>451</v>
      </c>
      <c r="S206" s="16" t="s">
        <v>92</v>
      </c>
      <c r="T206" s="16" t="s">
        <v>90</v>
      </c>
      <c r="U206" s="16" t="s">
        <v>95</v>
      </c>
      <c r="V206" s="16" t="s">
        <v>453</v>
      </c>
      <c r="W206" s="16" t="s">
        <v>452</v>
      </c>
    </row>
    <row r="207" spans="1:23">
      <c r="A207" s="9" t="s">
        <v>1041</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1041</v>
      </c>
      <c r="O207" s="16">
        <v>206</v>
      </c>
      <c r="P207" s="16" t="s">
        <v>446</v>
      </c>
      <c r="Q207" s="16" t="s">
        <v>445</v>
      </c>
      <c r="R207" s="16" t="s">
        <v>450</v>
      </c>
      <c r="S207" s="16" t="s">
        <v>92</v>
      </c>
      <c r="T207" s="16" t="s">
        <v>90</v>
      </c>
      <c r="U207" s="16" t="s">
        <v>95</v>
      </c>
      <c r="V207" s="16" t="s">
        <v>453</v>
      </c>
      <c r="W207" s="16" t="s">
        <v>452</v>
      </c>
    </row>
    <row r="208" spans="1:23">
      <c r="A208" s="9" t="s">
        <v>1040</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Ghana</v>
      </c>
      <c r="J208" s="9" t="str">
        <f ca="1">+WORLDCUP!BD66</f>
        <v>Senegal</v>
      </c>
      <c r="N208" s="16" t="s">
        <v>1040</v>
      </c>
      <c r="O208" s="16">
        <v>207</v>
      </c>
      <c r="P208" s="16" t="s">
        <v>446</v>
      </c>
      <c r="Q208" s="16" t="s">
        <v>445</v>
      </c>
      <c r="R208" s="16" t="s">
        <v>451</v>
      </c>
      <c r="S208" s="16" t="s">
        <v>92</v>
      </c>
      <c r="T208" s="16" t="s">
        <v>90</v>
      </c>
      <c r="U208" s="16" t="s">
        <v>95</v>
      </c>
      <c r="V208" s="16" t="s">
        <v>453</v>
      </c>
      <c r="W208" s="16" t="s">
        <v>450</v>
      </c>
    </row>
    <row r="209" spans="1:23">
      <c r="A209" s="9" t="s">
        <v>1039</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1039</v>
      </c>
      <c r="O209" s="16">
        <v>208</v>
      </c>
      <c r="P209" s="16" t="s">
        <v>446</v>
      </c>
      <c r="Q209" s="16" t="s">
        <v>445</v>
      </c>
      <c r="R209" s="16" t="s">
        <v>451</v>
      </c>
      <c r="S209" s="16" t="s">
        <v>92</v>
      </c>
      <c r="T209" s="16" t="s">
        <v>90</v>
      </c>
      <c r="U209" s="16" t="s">
        <v>95</v>
      </c>
      <c r="V209" s="16" t="s">
        <v>450</v>
      </c>
      <c r="W209" s="16" t="s">
        <v>452</v>
      </c>
    </row>
    <row r="210" spans="1:23">
      <c r="A210" s="9" t="s">
        <v>1038</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1038</v>
      </c>
      <c r="O210" s="16">
        <v>209</v>
      </c>
      <c r="P210" s="16" t="s">
        <v>94</v>
      </c>
      <c r="Q210" s="16" t="s">
        <v>451</v>
      </c>
      <c r="R210" s="16" t="s">
        <v>450</v>
      </c>
      <c r="S210" s="16" t="s">
        <v>92</v>
      </c>
      <c r="T210" s="16" t="s">
        <v>90</v>
      </c>
      <c r="U210" s="16" t="s">
        <v>446</v>
      </c>
      <c r="V210" s="16" t="s">
        <v>453</v>
      </c>
      <c r="W210" s="16" t="s">
        <v>452</v>
      </c>
    </row>
    <row r="211" spans="1:23">
      <c r="A211" s="9" t="s">
        <v>1037</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Ghana</v>
      </c>
      <c r="J211" s="9" t="str">
        <f ca="1">+WORLDCUP!BD68</f>
        <v>RD Congo</v>
      </c>
      <c r="N211" s="16" t="s">
        <v>1037</v>
      </c>
      <c r="O211" s="16">
        <v>210</v>
      </c>
      <c r="P211" s="16" t="s">
        <v>94</v>
      </c>
      <c r="Q211" s="16" t="s">
        <v>451</v>
      </c>
      <c r="R211" s="16" t="s">
        <v>450</v>
      </c>
      <c r="S211" s="16" t="s">
        <v>92</v>
      </c>
      <c r="T211" s="16" t="s">
        <v>90</v>
      </c>
      <c r="U211" s="16" t="s">
        <v>445</v>
      </c>
      <c r="V211" s="16" t="s">
        <v>453</v>
      </c>
      <c r="W211" s="16" t="s">
        <v>452</v>
      </c>
    </row>
    <row r="212" spans="1:23">
      <c r="A212" s="9" t="s">
        <v>1036</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Ghana</v>
      </c>
      <c r="J212" s="9" t="str">
        <f ca="1">+WORLDCUP!BD68</f>
        <v>RD Congo</v>
      </c>
      <c r="N212" s="16" t="s">
        <v>1036</v>
      </c>
      <c r="O212" s="16">
        <v>211</v>
      </c>
      <c r="P212" s="16" t="s">
        <v>94</v>
      </c>
      <c r="Q212" s="16" t="s">
        <v>445</v>
      </c>
      <c r="R212" s="16" t="s">
        <v>451</v>
      </c>
      <c r="S212" s="16" t="s">
        <v>92</v>
      </c>
      <c r="T212" s="16" t="s">
        <v>90</v>
      </c>
      <c r="U212" s="16" t="s">
        <v>446</v>
      </c>
      <c r="V212" s="16" t="s">
        <v>453</v>
      </c>
      <c r="W212" s="16" t="s">
        <v>452</v>
      </c>
    </row>
    <row r="213" spans="1:23">
      <c r="A213" s="9" t="s">
        <v>1035</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1035</v>
      </c>
      <c r="O213" s="16">
        <v>212</v>
      </c>
      <c r="P213" s="16" t="s">
        <v>94</v>
      </c>
      <c r="Q213" s="16" t="s">
        <v>445</v>
      </c>
      <c r="R213" s="16" t="s">
        <v>450</v>
      </c>
      <c r="S213" s="16" t="s">
        <v>92</v>
      </c>
      <c r="T213" s="16" t="s">
        <v>90</v>
      </c>
      <c r="U213" s="16" t="s">
        <v>446</v>
      </c>
      <c r="V213" s="16" t="s">
        <v>453</v>
      </c>
      <c r="W213" s="16" t="s">
        <v>452</v>
      </c>
    </row>
    <row r="214" spans="1:23">
      <c r="A214" s="9" t="s">
        <v>1034</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Ghana</v>
      </c>
      <c r="J214" s="9" t="str">
        <f ca="1">+WORLDCUP!BD66</f>
        <v>Senegal</v>
      </c>
      <c r="N214" s="16" t="s">
        <v>1034</v>
      </c>
      <c r="O214" s="16">
        <v>213</v>
      </c>
      <c r="P214" s="16" t="s">
        <v>94</v>
      </c>
      <c r="Q214" s="16" t="s">
        <v>445</v>
      </c>
      <c r="R214" s="16" t="s">
        <v>451</v>
      </c>
      <c r="S214" s="16" t="s">
        <v>92</v>
      </c>
      <c r="T214" s="16" t="s">
        <v>90</v>
      </c>
      <c r="U214" s="16" t="s">
        <v>446</v>
      </c>
      <c r="V214" s="16" t="s">
        <v>453</v>
      </c>
      <c r="W214" s="16" t="s">
        <v>450</v>
      </c>
    </row>
    <row r="215" spans="1:23">
      <c r="A215" s="9" t="s">
        <v>1033</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1033</v>
      </c>
      <c r="O215" s="16">
        <v>214</v>
      </c>
      <c r="P215" s="16" t="s">
        <v>94</v>
      </c>
      <c r="Q215" s="16" t="s">
        <v>445</v>
      </c>
      <c r="R215" s="16" t="s">
        <v>451</v>
      </c>
      <c r="S215" s="16" t="s">
        <v>92</v>
      </c>
      <c r="T215" s="16" t="s">
        <v>90</v>
      </c>
      <c r="U215" s="16" t="s">
        <v>446</v>
      </c>
      <c r="V215" s="16" t="s">
        <v>450</v>
      </c>
      <c r="W215" s="16" t="s">
        <v>452</v>
      </c>
    </row>
    <row r="216" spans="1:23">
      <c r="A216" s="9" t="s">
        <v>1032</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1032</v>
      </c>
      <c r="O216" s="16">
        <v>215</v>
      </c>
      <c r="P216" s="16" t="s">
        <v>94</v>
      </c>
      <c r="Q216" s="16" t="s">
        <v>451</v>
      </c>
      <c r="R216" s="16" t="s">
        <v>450</v>
      </c>
      <c r="S216" s="16" t="s">
        <v>92</v>
      </c>
      <c r="T216" s="16" t="s">
        <v>90</v>
      </c>
      <c r="U216" s="16" t="s">
        <v>95</v>
      </c>
      <c r="V216" s="16" t="s">
        <v>453</v>
      </c>
      <c r="W216" s="16" t="s">
        <v>452</v>
      </c>
    </row>
    <row r="217" spans="1:23">
      <c r="A217" s="9" t="s">
        <v>1031</v>
      </c>
      <c r="B217" s="9">
        <f ca="1">+IF(A217=WORLDCUP!$BI$112,1,0)</f>
        <v>0</v>
      </c>
      <c r="C217" s="9" t="str">
        <f ca="1">+WORLDCUP!BD65</f>
        <v>Arabia Saudita</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Ghana</v>
      </c>
      <c r="J217" s="9" t="str">
        <f ca="1">+WORLDCUP!BD68</f>
        <v>RD Congo</v>
      </c>
      <c r="N217" s="16" t="s">
        <v>1031</v>
      </c>
      <c r="O217" s="16">
        <v>216</v>
      </c>
      <c r="P217" s="16" t="s">
        <v>446</v>
      </c>
      <c r="Q217" s="16" t="s">
        <v>451</v>
      </c>
      <c r="R217" s="16" t="s">
        <v>94</v>
      </c>
      <c r="S217" s="16" t="s">
        <v>92</v>
      </c>
      <c r="T217" s="16" t="s">
        <v>90</v>
      </c>
      <c r="U217" s="16" t="s">
        <v>95</v>
      </c>
      <c r="V217" s="16" t="s">
        <v>453</v>
      </c>
      <c r="W217" s="16" t="s">
        <v>452</v>
      </c>
    </row>
    <row r="218" spans="1:23">
      <c r="A218" s="9" t="s">
        <v>1030</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1030</v>
      </c>
      <c r="O218" s="16">
        <v>217</v>
      </c>
      <c r="P218" s="16" t="s">
        <v>446</v>
      </c>
      <c r="Q218" s="16" t="s">
        <v>94</v>
      </c>
      <c r="R218" s="16" t="s">
        <v>450</v>
      </c>
      <c r="S218" s="16" t="s">
        <v>92</v>
      </c>
      <c r="T218" s="16" t="s">
        <v>90</v>
      </c>
      <c r="U218" s="16" t="s">
        <v>95</v>
      </c>
      <c r="V218" s="16" t="s">
        <v>453</v>
      </c>
      <c r="W218" s="16" t="s">
        <v>452</v>
      </c>
    </row>
    <row r="219" spans="1:23">
      <c r="A219" s="9" t="s">
        <v>1029</v>
      </c>
      <c r="B219" s="9">
        <f ca="1">+IF(A219=WORLDCUP!$BI$112,1,0)</f>
        <v>0</v>
      </c>
      <c r="C219" s="9" t="str">
        <f ca="1">+WORLDCUP!BD65</f>
        <v>Arabia Saudita</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Ghana</v>
      </c>
      <c r="J219" s="9" t="str">
        <f ca="1">+WORLDCUP!BD66</f>
        <v>Senegal</v>
      </c>
      <c r="N219" s="16" t="s">
        <v>1029</v>
      </c>
      <c r="O219" s="16">
        <v>218</v>
      </c>
      <c r="P219" s="16" t="s">
        <v>446</v>
      </c>
      <c r="Q219" s="16" t="s">
        <v>451</v>
      </c>
      <c r="R219" s="16" t="s">
        <v>94</v>
      </c>
      <c r="S219" s="16" t="s">
        <v>92</v>
      </c>
      <c r="T219" s="16" t="s">
        <v>90</v>
      </c>
      <c r="U219" s="16" t="s">
        <v>95</v>
      </c>
      <c r="V219" s="16" t="s">
        <v>453</v>
      </c>
      <c r="W219" s="16" t="s">
        <v>450</v>
      </c>
    </row>
    <row r="220" spans="1:23">
      <c r="A220" s="9" t="s">
        <v>1028</v>
      </c>
      <c r="B220" s="9">
        <f ca="1">+IF(A220=WORLDCUP!$BI$112,1,0)</f>
        <v>0</v>
      </c>
      <c r="C220" s="9" t="str">
        <f ca="1">+WORLDCUP!BD65</f>
        <v>Arabia Saudita</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1028</v>
      </c>
      <c r="O220" s="16">
        <v>219</v>
      </c>
      <c r="P220" s="16" t="s">
        <v>446</v>
      </c>
      <c r="Q220" s="16" t="s">
        <v>451</v>
      </c>
      <c r="R220" s="16" t="s">
        <v>94</v>
      </c>
      <c r="S220" s="16" t="s">
        <v>92</v>
      </c>
      <c r="T220" s="16" t="s">
        <v>90</v>
      </c>
      <c r="U220" s="16" t="s">
        <v>95</v>
      </c>
      <c r="V220" s="16" t="s">
        <v>450</v>
      </c>
      <c r="W220" s="16" t="s">
        <v>452</v>
      </c>
    </row>
    <row r="221" spans="1:23">
      <c r="A221" s="9" t="s">
        <v>1027</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Ghana</v>
      </c>
      <c r="J221" s="9" t="str">
        <f ca="1">+WORLDCUP!BD68</f>
        <v>RD Congo</v>
      </c>
      <c r="N221" s="16" t="s">
        <v>1027</v>
      </c>
      <c r="O221" s="16">
        <v>220</v>
      </c>
      <c r="P221" s="16" t="s">
        <v>94</v>
      </c>
      <c r="Q221" s="16" t="s">
        <v>445</v>
      </c>
      <c r="R221" s="16" t="s">
        <v>451</v>
      </c>
      <c r="S221" s="16" t="s">
        <v>92</v>
      </c>
      <c r="T221" s="16" t="s">
        <v>90</v>
      </c>
      <c r="U221" s="16" t="s">
        <v>95</v>
      </c>
      <c r="V221" s="16" t="s">
        <v>453</v>
      </c>
      <c r="W221" s="16" t="s">
        <v>452</v>
      </c>
    </row>
    <row r="222" spans="1:23">
      <c r="A222" s="9" t="s">
        <v>1026</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1026</v>
      </c>
      <c r="O222" s="16">
        <v>221</v>
      </c>
      <c r="P222" s="16" t="s">
        <v>94</v>
      </c>
      <c r="Q222" s="16" t="s">
        <v>445</v>
      </c>
      <c r="R222" s="16" t="s">
        <v>450</v>
      </c>
      <c r="S222" s="16" t="s">
        <v>92</v>
      </c>
      <c r="T222" s="16" t="s">
        <v>90</v>
      </c>
      <c r="U222" s="16" t="s">
        <v>95</v>
      </c>
      <c r="V222" s="16" t="s">
        <v>453</v>
      </c>
      <c r="W222" s="16" t="s">
        <v>452</v>
      </c>
    </row>
    <row r="223" spans="1:23">
      <c r="A223" s="9" t="s">
        <v>1025</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Ghana</v>
      </c>
      <c r="J223" s="9" t="str">
        <f ca="1">+WORLDCUP!BD66</f>
        <v>Senegal</v>
      </c>
      <c r="N223" s="16" t="s">
        <v>1025</v>
      </c>
      <c r="O223" s="16">
        <v>222</v>
      </c>
      <c r="P223" s="16" t="s">
        <v>94</v>
      </c>
      <c r="Q223" s="16" t="s">
        <v>445</v>
      </c>
      <c r="R223" s="16" t="s">
        <v>451</v>
      </c>
      <c r="S223" s="16" t="s">
        <v>92</v>
      </c>
      <c r="T223" s="16" t="s">
        <v>90</v>
      </c>
      <c r="U223" s="16" t="s">
        <v>95</v>
      </c>
      <c r="V223" s="16" t="s">
        <v>453</v>
      </c>
      <c r="W223" s="16" t="s">
        <v>450</v>
      </c>
    </row>
    <row r="224" spans="1:23">
      <c r="A224" s="9" t="s">
        <v>1024</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1024</v>
      </c>
      <c r="O224" s="16">
        <v>223</v>
      </c>
      <c r="P224" s="16" t="s">
        <v>94</v>
      </c>
      <c r="Q224" s="16" t="s">
        <v>445</v>
      </c>
      <c r="R224" s="16" t="s">
        <v>451</v>
      </c>
      <c r="S224" s="16" t="s">
        <v>92</v>
      </c>
      <c r="T224" s="16" t="s">
        <v>90</v>
      </c>
      <c r="U224" s="16" t="s">
        <v>95</v>
      </c>
      <c r="V224" s="16" t="s">
        <v>450</v>
      </c>
      <c r="W224" s="16" t="s">
        <v>452</v>
      </c>
    </row>
    <row r="225" spans="1:23">
      <c r="A225" s="9" t="s">
        <v>1023</v>
      </c>
      <c r="B225" s="9">
        <f ca="1">+IF(A225=WORLDCUP!$BI$112,1,0)</f>
        <v>0</v>
      </c>
      <c r="C225" s="9" t="str">
        <f ca="1">+WORLDCUP!BD65</f>
        <v>Arabia Saudita</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Ghana</v>
      </c>
      <c r="J225" s="9" t="str">
        <f ca="1">+WORLDCUP!BD68</f>
        <v>RD Congo</v>
      </c>
      <c r="N225" s="16" t="s">
        <v>1023</v>
      </c>
      <c r="O225" s="16">
        <v>224</v>
      </c>
      <c r="P225" s="16" t="s">
        <v>446</v>
      </c>
      <c r="Q225" s="16" t="s">
        <v>445</v>
      </c>
      <c r="R225" s="16" t="s">
        <v>94</v>
      </c>
      <c r="S225" s="16" t="s">
        <v>92</v>
      </c>
      <c r="T225" s="16" t="s">
        <v>90</v>
      </c>
      <c r="U225" s="16" t="s">
        <v>95</v>
      </c>
      <c r="V225" s="16" t="s">
        <v>453</v>
      </c>
      <c r="W225" s="16" t="s">
        <v>452</v>
      </c>
    </row>
    <row r="226" spans="1:23">
      <c r="A226" s="9" t="s">
        <v>1022</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Ghana</v>
      </c>
      <c r="J226" s="9" t="str">
        <f ca="1">+WORLDCUP!BD62</f>
        <v>Ecuador</v>
      </c>
      <c r="N226" s="16" t="s">
        <v>1022</v>
      </c>
      <c r="O226" s="16">
        <v>225</v>
      </c>
      <c r="P226" s="16" t="s">
        <v>446</v>
      </c>
      <c r="Q226" s="16" t="s">
        <v>445</v>
      </c>
      <c r="R226" s="16" t="s">
        <v>451</v>
      </c>
      <c r="S226" s="16" t="s">
        <v>92</v>
      </c>
      <c r="T226" s="16" t="s">
        <v>90</v>
      </c>
      <c r="U226" s="16" t="s">
        <v>95</v>
      </c>
      <c r="V226" s="16" t="s">
        <v>453</v>
      </c>
      <c r="W226" s="16" t="s">
        <v>94</v>
      </c>
    </row>
    <row r="227" spans="1:23">
      <c r="A227" s="9" t="s">
        <v>1021</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RD Congo</v>
      </c>
      <c r="N227" s="16" t="s">
        <v>1021</v>
      </c>
      <c r="O227" s="16">
        <v>226</v>
      </c>
      <c r="P227" s="16" t="s">
        <v>446</v>
      </c>
      <c r="Q227" s="16" t="s">
        <v>445</v>
      </c>
      <c r="R227" s="16" t="s">
        <v>451</v>
      </c>
      <c r="S227" s="16" t="s">
        <v>92</v>
      </c>
      <c r="T227" s="16" t="s">
        <v>90</v>
      </c>
      <c r="U227" s="16" t="s">
        <v>95</v>
      </c>
      <c r="V227" s="16" t="s">
        <v>94</v>
      </c>
      <c r="W227" s="16" t="s">
        <v>452</v>
      </c>
    </row>
    <row r="228" spans="1:23">
      <c r="A228" s="9" t="s">
        <v>1020</v>
      </c>
      <c r="B228" s="9">
        <f ca="1">+IF(A228=WORLDCUP!$BI$112,1,0)</f>
        <v>0</v>
      </c>
      <c r="C228" s="9" t="str">
        <f ca="1">+WORLDCUP!BD65</f>
        <v>Arabia Saudita</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Ghana</v>
      </c>
      <c r="J228" s="9" t="str">
        <f ca="1">+WORLDCUP!BD66</f>
        <v>Senegal</v>
      </c>
      <c r="N228" s="16" t="s">
        <v>1020</v>
      </c>
      <c r="O228" s="16">
        <v>227</v>
      </c>
      <c r="P228" s="16" t="s">
        <v>446</v>
      </c>
      <c r="Q228" s="16" t="s">
        <v>445</v>
      </c>
      <c r="R228" s="16" t="s">
        <v>94</v>
      </c>
      <c r="S228" s="16" t="s">
        <v>92</v>
      </c>
      <c r="T228" s="16" t="s">
        <v>90</v>
      </c>
      <c r="U228" s="16" t="s">
        <v>95</v>
      </c>
      <c r="V228" s="16" t="s">
        <v>453</v>
      </c>
      <c r="W228" s="16" t="s">
        <v>450</v>
      </c>
    </row>
    <row r="229" spans="1:23">
      <c r="A229" s="9" t="s">
        <v>1019</v>
      </c>
      <c r="B229" s="9">
        <f ca="1">+IF(A229=WORLDCUP!$BI$112,1,0)</f>
        <v>0</v>
      </c>
      <c r="C229" s="9" t="str">
        <f ca="1">+WORLDCUP!BD65</f>
        <v>Arabia Saudita</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1019</v>
      </c>
      <c r="O229" s="16">
        <v>228</v>
      </c>
      <c r="P229" s="16" t="s">
        <v>446</v>
      </c>
      <c r="Q229" s="16" t="s">
        <v>445</v>
      </c>
      <c r="R229" s="16" t="s">
        <v>94</v>
      </c>
      <c r="S229" s="16" t="s">
        <v>92</v>
      </c>
      <c r="T229" s="16" t="s">
        <v>90</v>
      </c>
      <c r="U229" s="16" t="s">
        <v>95</v>
      </c>
      <c r="V229" s="16" t="s">
        <v>450</v>
      </c>
      <c r="W229" s="16" t="s">
        <v>452</v>
      </c>
    </row>
    <row r="230" spans="1:23">
      <c r="A230" s="9" t="s">
        <v>1018</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1018</v>
      </c>
      <c r="O230" s="16">
        <v>229</v>
      </c>
      <c r="P230" s="16" t="s">
        <v>446</v>
      </c>
      <c r="Q230" s="16" t="s">
        <v>445</v>
      </c>
      <c r="R230" s="16" t="s">
        <v>451</v>
      </c>
      <c r="S230" s="16" t="s">
        <v>92</v>
      </c>
      <c r="T230" s="16" t="s">
        <v>90</v>
      </c>
      <c r="U230" s="16" t="s">
        <v>95</v>
      </c>
      <c r="V230" s="16" t="s">
        <v>94</v>
      </c>
      <c r="W230" s="16" t="s">
        <v>450</v>
      </c>
    </row>
    <row r="231" spans="1:23">
      <c r="A231" s="9" t="s">
        <v>1017</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Paraguay</v>
      </c>
      <c r="I231" s="9" t="str">
        <f ca="1">+WORLDCUP!BD69</f>
        <v>Ghana</v>
      </c>
      <c r="J231" s="9" t="str">
        <f ca="1">+WORLDCUP!BD68</f>
        <v>RD Congo</v>
      </c>
      <c r="N231" s="16" t="s">
        <v>1017</v>
      </c>
      <c r="O231" s="16">
        <v>230</v>
      </c>
      <c r="P231" s="16" t="s">
        <v>446</v>
      </c>
      <c r="Q231" s="16" t="s">
        <v>451</v>
      </c>
      <c r="R231" s="16" t="s">
        <v>450</v>
      </c>
      <c r="S231" s="16" t="s">
        <v>92</v>
      </c>
      <c r="T231" s="16" t="s">
        <v>90</v>
      </c>
      <c r="U231" s="16" t="s">
        <v>93</v>
      </c>
      <c r="V231" s="16" t="s">
        <v>453</v>
      </c>
      <c r="W231" s="16" t="s">
        <v>452</v>
      </c>
    </row>
    <row r="232" spans="1:23">
      <c r="A232" s="9" t="s">
        <v>1016</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Paraguay</v>
      </c>
      <c r="I232" s="9" t="str">
        <f ca="1">+WORLDCUP!BD69</f>
        <v>Ghana</v>
      </c>
      <c r="J232" s="9" t="str">
        <f ca="1">+WORLDCUP!BD68</f>
        <v>RD Congo</v>
      </c>
      <c r="N232" s="16" t="s">
        <v>1016</v>
      </c>
      <c r="O232" s="16">
        <v>231</v>
      </c>
      <c r="P232" s="16" t="s">
        <v>450</v>
      </c>
      <c r="Q232" s="16" t="s">
        <v>445</v>
      </c>
      <c r="R232" s="16" t="s">
        <v>451</v>
      </c>
      <c r="S232" s="16" t="s">
        <v>92</v>
      </c>
      <c r="T232" s="16" t="s">
        <v>90</v>
      </c>
      <c r="U232" s="16" t="s">
        <v>93</v>
      </c>
      <c r="V232" s="16" t="s">
        <v>453</v>
      </c>
      <c r="W232" s="16" t="s">
        <v>452</v>
      </c>
    </row>
    <row r="233" spans="1:23">
      <c r="A233" s="9" t="s">
        <v>1015</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Paraguay</v>
      </c>
      <c r="I233" s="9" t="str">
        <f ca="1">+WORLDCUP!BD69</f>
        <v>Ghana</v>
      </c>
      <c r="J233" s="9" t="str">
        <f ca="1">+WORLDCUP!BD68</f>
        <v>RD Congo</v>
      </c>
      <c r="N233" s="16" t="s">
        <v>1015</v>
      </c>
      <c r="O233" s="16">
        <v>232</v>
      </c>
      <c r="P233" s="16" t="s">
        <v>446</v>
      </c>
      <c r="Q233" s="16" t="s">
        <v>445</v>
      </c>
      <c r="R233" s="16" t="s">
        <v>451</v>
      </c>
      <c r="S233" s="16" t="s">
        <v>92</v>
      </c>
      <c r="T233" s="16" t="s">
        <v>90</v>
      </c>
      <c r="U233" s="16" t="s">
        <v>93</v>
      </c>
      <c r="V233" s="16" t="s">
        <v>453</v>
      </c>
      <c r="W233" s="16" t="s">
        <v>452</v>
      </c>
    </row>
    <row r="234" spans="1:23">
      <c r="A234" s="9" t="s">
        <v>1014</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Ghana</v>
      </c>
      <c r="J234" s="9" t="str">
        <f ca="1">+WORLDCUP!BD68</f>
        <v>RD Congo</v>
      </c>
      <c r="N234" s="16" t="s">
        <v>1014</v>
      </c>
      <c r="O234" s="16">
        <v>233</v>
      </c>
      <c r="P234" s="16" t="s">
        <v>446</v>
      </c>
      <c r="Q234" s="16" t="s">
        <v>445</v>
      </c>
      <c r="R234" s="16" t="s">
        <v>450</v>
      </c>
      <c r="S234" s="16" t="s">
        <v>92</v>
      </c>
      <c r="T234" s="16" t="s">
        <v>90</v>
      </c>
      <c r="U234" s="16" t="s">
        <v>93</v>
      </c>
      <c r="V234" s="16" t="s">
        <v>453</v>
      </c>
      <c r="W234" s="16" t="s">
        <v>452</v>
      </c>
    </row>
    <row r="235" spans="1:23">
      <c r="A235" s="9" t="s">
        <v>1013</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Paraguay</v>
      </c>
      <c r="I235" s="9" t="str">
        <f ca="1">+WORLDCUP!BD69</f>
        <v>Ghana</v>
      </c>
      <c r="J235" s="9" t="str">
        <f ca="1">+WORLDCUP!BD66</f>
        <v>Senegal</v>
      </c>
      <c r="N235" s="16" t="s">
        <v>1013</v>
      </c>
      <c r="O235" s="16">
        <v>234</v>
      </c>
      <c r="P235" s="16" t="s">
        <v>446</v>
      </c>
      <c r="Q235" s="16" t="s">
        <v>445</v>
      </c>
      <c r="R235" s="16" t="s">
        <v>451</v>
      </c>
      <c r="S235" s="16" t="s">
        <v>92</v>
      </c>
      <c r="T235" s="16" t="s">
        <v>90</v>
      </c>
      <c r="U235" s="16" t="s">
        <v>93</v>
      </c>
      <c r="V235" s="16" t="s">
        <v>453</v>
      </c>
      <c r="W235" s="16" t="s">
        <v>450</v>
      </c>
    </row>
    <row r="236" spans="1:23">
      <c r="A236" s="9" t="s">
        <v>1012</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Paraguay</v>
      </c>
      <c r="I236" s="9" t="str">
        <f ca="1">+WORLDCUP!BD66</f>
        <v>Senegal</v>
      </c>
      <c r="J236" s="9" t="str">
        <f ca="1">+WORLDCUP!BD68</f>
        <v>RD Congo</v>
      </c>
      <c r="N236" s="16" t="s">
        <v>1012</v>
      </c>
      <c r="O236" s="16">
        <v>235</v>
      </c>
      <c r="P236" s="16" t="s">
        <v>446</v>
      </c>
      <c r="Q236" s="16" t="s">
        <v>445</v>
      </c>
      <c r="R236" s="16" t="s">
        <v>451</v>
      </c>
      <c r="S236" s="16" t="s">
        <v>92</v>
      </c>
      <c r="T236" s="16" t="s">
        <v>90</v>
      </c>
      <c r="U236" s="16" t="s">
        <v>93</v>
      </c>
      <c r="V236" s="16" t="s">
        <v>450</v>
      </c>
      <c r="W236" s="16" t="s">
        <v>452</v>
      </c>
    </row>
    <row r="237" spans="1:23">
      <c r="A237" s="9" t="s">
        <v>1011</v>
      </c>
      <c r="B237" s="9">
        <f ca="1">+IF(A237=WORLDCUP!$BI$112,1,0)</f>
        <v>0</v>
      </c>
      <c r="C237" s="9" t="str">
        <f ca="1">+WORLDCUP!BD60</f>
        <v>Escocia</v>
      </c>
      <c r="D237" s="9" t="str">
        <f ca="1">+WORLDCUP!BD67</f>
        <v>Austria</v>
      </c>
      <c r="E237" s="9" t="str">
        <f ca="1">+WORLDCUP!BD66</f>
        <v>Senegal</v>
      </c>
      <c r="F237" s="9" t="str">
        <f ca="1">+WORLDCUP!BD61</f>
        <v>Paraguay</v>
      </c>
      <c r="G237" s="9" t="str">
        <f ca="1">+WORLDCUP!BD58</f>
        <v>República Checa</v>
      </c>
      <c r="H237" s="9" t="str">
        <f ca="1">+WORLDCUP!BD63</f>
        <v>Suecia</v>
      </c>
      <c r="I237" s="9" t="str">
        <f ca="1">+WORLDCUP!BD69</f>
        <v>Ghana</v>
      </c>
      <c r="J237" s="9" t="str">
        <f ca="1">+WORLDCUP!BD68</f>
        <v>RD Congo</v>
      </c>
      <c r="N237" s="16" t="s">
        <v>1011</v>
      </c>
      <c r="O237" s="16">
        <v>236</v>
      </c>
      <c r="P237" s="16" t="s">
        <v>92</v>
      </c>
      <c r="Q237" s="16" t="s">
        <v>451</v>
      </c>
      <c r="R237" s="16" t="s">
        <v>450</v>
      </c>
      <c r="S237" s="16" t="s">
        <v>93</v>
      </c>
      <c r="T237" s="16" t="s">
        <v>90</v>
      </c>
      <c r="U237" s="16" t="s">
        <v>95</v>
      </c>
      <c r="V237" s="16" t="s">
        <v>453</v>
      </c>
      <c r="W237" s="16" t="s">
        <v>452</v>
      </c>
    </row>
    <row r="238" spans="1:23">
      <c r="A238" s="9" t="s">
        <v>1010</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Paraguay</v>
      </c>
      <c r="I238" s="9" t="str">
        <f ca="1">+WORLDCUP!BD69</f>
        <v>Ghana</v>
      </c>
      <c r="J238" s="9" t="str">
        <f ca="1">+WORLDCUP!BD68</f>
        <v>RD Congo</v>
      </c>
      <c r="N238" s="16" t="s">
        <v>1010</v>
      </c>
      <c r="O238" s="16">
        <v>237</v>
      </c>
      <c r="P238" s="16" t="s">
        <v>446</v>
      </c>
      <c r="Q238" s="16" t="s">
        <v>451</v>
      </c>
      <c r="R238" s="16" t="s">
        <v>95</v>
      </c>
      <c r="S238" s="16" t="s">
        <v>92</v>
      </c>
      <c r="T238" s="16" t="s">
        <v>90</v>
      </c>
      <c r="U238" s="16" t="s">
        <v>93</v>
      </c>
      <c r="V238" s="16" t="s">
        <v>453</v>
      </c>
      <c r="W238" s="16" t="s">
        <v>452</v>
      </c>
    </row>
    <row r="239" spans="1:23">
      <c r="A239" s="9" t="s">
        <v>1009</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Ghana</v>
      </c>
      <c r="J239" s="9" t="str">
        <f ca="1">+WORLDCUP!BD68</f>
        <v>RD Congo</v>
      </c>
      <c r="N239" s="16" t="s">
        <v>1009</v>
      </c>
      <c r="O239" s="16">
        <v>238</v>
      </c>
      <c r="P239" s="16" t="s">
        <v>446</v>
      </c>
      <c r="Q239" s="16" t="s">
        <v>95</v>
      </c>
      <c r="R239" s="16" t="s">
        <v>450</v>
      </c>
      <c r="S239" s="16" t="s">
        <v>92</v>
      </c>
      <c r="T239" s="16" t="s">
        <v>90</v>
      </c>
      <c r="U239" s="16" t="s">
        <v>93</v>
      </c>
      <c r="V239" s="16" t="s">
        <v>453</v>
      </c>
      <c r="W239" s="16" t="s">
        <v>452</v>
      </c>
    </row>
    <row r="240" spans="1:23">
      <c r="A240" s="9" t="s">
        <v>1008</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Paraguay</v>
      </c>
      <c r="I240" s="9" t="str">
        <f ca="1">+WORLDCUP!BD69</f>
        <v>Ghana</v>
      </c>
      <c r="J240" s="9" t="str">
        <f ca="1">+WORLDCUP!BD66</f>
        <v>Senegal</v>
      </c>
      <c r="N240" s="16" t="s">
        <v>1008</v>
      </c>
      <c r="O240" s="16">
        <v>239</v>
      </c>
      <c r="P240" s="16" t="s">
        <v>446</v>
      </c>
      <c r="Q240" s="16" t="s">
        <v>451</v>
      </c>
      <c r="R240" s="16" t="s">
        <v>95</v>
      </c>
      <c r="S240" s="16" t="s">
        <v>92</v>
      </c>
      <c r="T240" s="16" t="s">
        <v>90</v>
      </c>
      <c r="U240" s="16" t="s">
        <v>93</v>
      </c>
      <c r="V240" s="16" t="s">
        <v>453</v>
      </c>
      <c r="W240" s="16" t="s">
        <v>450</v>
      </c>
    </row>
    <row r="241" spans="1:23">
      <c r="A241" s="9" t="s">
        <v>1007</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1007</v>
      </c>
      <c r="O241" s="16">
        <v>240</v>
      </c>
      <c r="P241" s="16" t="s">
        <v>446</v>
      </c>
      <c r="Q241" s="16" t="s">
        <v>451</v>
      </c>
      <c r="R241" s="16" t="s">
        <v>95</v>
      </c>
      <c r="S241" s="16" t="s">
        <v>92</v>
      </c>
      <c r="T241" s="16" t="s">
        <v>90</v>
      </c>
      <c r="U241" s="16" t="s">
        <v>93</v>
      </c>
      <c r="V241" s="16" t="s">
        <v>450</v>
      </c>
      <c r="W241" s="16" t="s">
        <v>452</v>
      </c>
    </row>
    <row r="242" spans="1:23">
      <c r="A242" s="9" t="s">
        <v>1006</v>
      </c>
      <c r="B242" s="9">
        <f ca="1">+IF(A242=WORLDCUP!$BI$112,1,0)</f>
        <v>0</v>
      </c>
      <c r="C242" s="9" t="str">
        <f ca="1">+WORLDCUP!BD60</f>
        <v>Escocia</v>
      </c>
      <c r="D242" s="9" t="str">
        <f ca="1">+WORLDCUP!BD64</f>
        <v>Irán</v>
      </c>
      <c r="E242" s="9" t="str">
        <f ca="1">+WORLDCUP!BD67</f>
        <v>Austria</v>
      </c>
      <c r="F242" s="9" t="str">
        <f ca="1">+WORLDCUP!BD61</f>
        <v>Paraguay</v>
      </c>
      <c r="G242" s="9" t="str">
        <f ca="1">+WORLDCUP!BD58</f>
        <v>República Checa</v>
      </c>
      <c r="H242" s="9" t="str">
        <f ca="1">+WORLDCUP!BD63</f>
        <v>Suecia</v>
      </c>
      <c r="I242" s="9" t="str">
        <f ca="1">+WORLDCUP!BD69</f>
        <v>Ghana</v>
      </c>
      <c r="J242" s="9" t="str">
        <f ca="1">+WORLDCUP!BD68</f>
        <v>RD Congo</v>
      </c>
      <c r="N242" s="16" t="s">
        <v>1006</v>
      </c>
      <c r="O242" s="16">
        <v>241</v>
      </c>
      <c r="P242" s="16" t="s">
        <v>92</v>
      </c>
      <c r="Q242" s="16" t="s">
        <v>445</v>
      </c>
      <c r="R242" s="16" t="s">
        <v>451</v>
      </c>
      <c r="S242" s="16" t="s">
        <v>93</v>
      </c>
      <c r="T242" s="16" t="s">
        <v>90</v>
      </c>
      <c r="U242" s="16" t="s">
        <v>95</v>
      </c>
      <c r="V242" s="16" t="s">
        <v>453</v>
      </c>
      <c r="W242" s="16" t="s">
        <v>452</v>
      </c>
    </row>
    <row r="243" spans="1:23">
      <c r="A243" s="9" t="s">
        <v>1005</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Suecia</v>
      </c>
      <c r="I243" s="9" t="str">
        <f ca="1">+WORLDCUP!BD69</f>
        <v>Ghana</v>
      </c>
      <c r="J243" s="9" t="str">
        <f ca="1">+WORLDCUP!BD68</f>
        <v>RD Congo</v>
      </c>
      <c r="N243" s="16" t="s">
        <v>1005</v>
      </c>
      <c r="O243" s="16">
        <v>242</v>
      </c>
      <c r="P243" s="16" t="s">
        <v>92</v>
      </c>
      <c r="Q243" s="16" t="s">
        <v>445</v>
      </c>
      <c r="R243" s="16" t="s">
        <v>450</v>
      </c>
      <c r="S243" s="16" t="s">
        <v>93</v>
      </c>
      <c r="T243" s="16" t="s">
        <v>90</v>
      </c>
      <c r="U243" s="16" t="s">
        <v>95</v>
      </c>
      <c r="V243" s="16" t="s">
        <v>453</v>
      </c>
      <c r="W243" s="16" t="s">
        <v>452</v>
      </c>
    </row>
    <row r="244" spans="1:23">
      <c r="A244" s="9" t="s">
        <v>1004</v>
      </c>
      <c r="B244" s="9">
        <f ca="1">+IF(A244=WORLDCUP!$BI$112,1,0)</f>
        <v>0</v>
      </c>
      <c r="C244" s="9" t="str">
        <f ca="1">+WORLDCUP!BD60</f>
        <v>Escocia</v>
      </c>
      <c r="D244" s="9" t="str">
        <f ca="1">+WORLDCUP!BD64</f>
        <v>Irán</v>
      </c>
      <c r="E244" s="9" t="str">
        <f ca="1">+WORLDCUP!BD67</f>
        <v>Austria</v>
      </c>
      <c r="F244" s="9" t="str">
        <f ca="1">+WORLDCUP!BD61</f>
        <v>Paraguay</v>
      </c>
      <c r="G244" s="9" t="str">
        <f ca="1">+WORLDCUP!BD58</f>
        <v>República Checa</v>
      </c>
      <c r="H244" s="9" t="str">
        <f ca="1">+WORLDCUP!BD63</f>
        <v>Suecia</v>
      </c>
      <c r="I244" s="9" t="str">
        <f ca="1">+WORLDCUP!BD69</f>
        <v>Ghana</v>
      </c>
      <c r="J244" s="9" t="str">
        <f ca="1">+WORLDCUP!BD66</f>
        <v>Senegal</v>
      </c>
      <c r="N244" s="16" t="s">
        <v>1004</v>
      </c>
      <c r="O244" s="16">
        <v>243</v>
      </c>
      <c r="P244" s="16" t="s">
        <v>92</v>
      </c>
      <c r="Q244" s="16" t="s">
        <v>445</v>
      </c>
      <c r="R244" s="16" t="s">
        <v>451</v>
      </c>
      <c r="S244" s="16" t="s">
        <v>93</v>
      </c>
      <c r="T244" s="16" t="s">
        <v>90</v>
      </c>
      <c r="U244" s="16" t="s">
        <v>95</v>
      </c>
      <c r="V244" s="16" t="s">
        <v>453</v>
      </c>
      <c r="W244" s="16" t="s">
        <v>450</v>
      </c>
    </row>
    <row r="245" spans="1:23">
      <c r="A245" s="9" t="s">
        <v>1003</v>
      </c>
      <c r="B245" s="9">
        <f ca="1">+IF(A245=WORLDCUP!$BI$112,1,0)</f>
        <v>0</v>
      </c>
      <c r="C245" s="9" t="str">
        <f ca="1">+WORLDCUP!BD60</f>
        <v>Escocia</v>
      </c>
      <c r="D245" s="9" t="str">
        <f ca="1">+WORLDCUP!BD64</f>
        <v>Irán</v>
      </c>
      <c r="E245" s="9" t="str">
        <f ca="1">+WORLDCUP!BD67</f>
        <v>Austria</v>
      </c>
      <c r="F245" s="9" t="str">
        <f ca="1">+WORLDCUP!BD61</f>
        <v>Paraguay</v>
      </c>
      <c r="G245" s="9" t="str">
        <f ca="1">+WORLDCUP!BD58</f>
        <v>República Checa</v>
      </c>
      <c r="H245" s="9" t="str">
        <f ca="1">+WORLDCUP!BD63</f>
        <v>Suecia</v>
      </c>
      <c r="I245" s="9" t="str">
        <f ca="1">+WORLDCUP!BD66</f>
        <v>Senegal</v>
      </c>
      <c r="J245" s="9" t="str">
        <f ca="1">+WORLDCUP!BD68</f>
        <v>RD Congo</v>
      </c>
      <c r="N245" s="16" t="s">
        <v>1003</v>
      </c>
      <c r="O245" s="16">
        <v>244</v>
      </c>
      <c r="P245" s="16" t="s">
        <v>92</v>
      </c>
      <c r="Q245" s="16" t="s">
        <v>445</v>
      </c>
      <c r="R245" s="16" t="s">
        <v>451</v>
      </c>
      <c r="S245" s="16" t="s">
        <v>93</v>
      </c>
      <c r="T245" s="16" t="s">
        <v>90</v>
      </c>
      <c r="U245" s="16" t="s">
        <v>95</v>
      </c>
      <c r="V245" s="16" t="s">
        <v>450</v>
      </c>
      <c r="W245" s="16" t="s">
        <v>452</v>
      </c>
    </row>
    <row r="246" spans="1:23">
      <c r="A246" s="9" t="s">
        <v>1002</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Paraguay</v>
      </c>
      <c r="I246" s="9" t="str">
        <f ca="1">+WORLDCUP!BD69</f>
        <v>Ghana</v>
      </c>
      <c r="J246" s="9" t="str">
        <f ca="1">+WORLDCUP!BD68</f>
        <v>RD Congo</v>
      </c>
      <c r="N246" s="16" t="s">
        <v>1002</v>
      </c>
      <c r="O246" s="16">
        <v>245</v>
      </c>
      <c r="P246" s="16" t="s">
        <v>446</v>
      </c>
      <c r="Q246" s="16" t="s">
        <v>445</v>
      </c>
      <c r="R246" s="16" t="s">
        <v>95</v>
      </c>
      <c r="S246" s="16" t="s">
        <v>92</v>
      </c>
      <c r="T246" s="16" t="s">
        <v>90</v>
      </c>
      <c r="U246" s="16" t="s">
        <v>93</v>
      </c>
      <c r="V246" s="16" t="s">
        <v>453</v>
      </c>
      <c r="W246" s="16" t="s">
        <v>452</v>
      </c>
    </row>
    <row r="247" spans="1:23">
      <c r="A247" s="9" t="s">
        <v>1001</v>
      </c>
      <c r="B247" s="9">
        <f ca="1">+IF(A247=WORLDCUP!$BI$112,1,0)</f>
        <v>0</v>
      </c>
      <c r="C247" s="9" t="str">
        <f ca="1">+WORLDCUP!BD60</f>
        <v>Escocia</v>
      </c>
      <c r="D247" s="9" t="str">
        <f ca="1">+WORLDCUP!BD64</f>
        <v>Irán</v>
      </c>
      <c r="E247" s="9" t="str">
        <f ca="1">+WORLDCUP!BD67</f>
        <v>Austria</v>
      </c>
      <c r="F247" s="9" t="str">
        <f ca="1">+WORLDCUP!BD61</f>
        <v>Paraguay</v>
      </c>
      <c r="G247" s="9" t="str">
        <f ca="1">+WORLDCUP!BD58</f>
        <v>República Checa</v>
      </c>
      <c r="H247" s="9" t="str">
        <f ca="1">+WORLDCUP!BD63</f>
        <v>Suecia</v>
      </c>
      <c r="I247" s="9" t="str">
        <f ca="1">+WORLDCUP!BD69</f>
        <v>Ghana</v>
      </c>
      <c r="J247" s="9" t="str">
        <f ca="1">+WORLDCUP!BD65</f>
        <v>Arabia Saudita</v>
      </c>
      <c r="N247" s="16" t="s">
        <v>1001</v>
      </c>
      <c r="O247" s="16">
        <v>246</v>
      </c>
      <c r="P247" s="16" t="s">
        <v>92</v>
      </c>
      <c r="Q247" s="16" t="s">
        <v>445</v>
      </c>
      <c r="R247" s="16" t="s">
        <v>451</v>
      </c>
      <c r="S247" s="16" t="s">
        <v>93</v>
      </c>
      <c r="T247" s="16" t="s">
        <v>90</v>
      </c>
      <c r="U247" s="16" t="s">
        <v>95</v>
      </c>
      <c r="V247" s="16" t="s">
        <v>453</v>
      </c>
      <c r="W247" s="16" t="s">
        <v>446</v>
      </c>
    </row>
    <row r="248" spans="1:23">
      <c r="A248" s="9" t="s">
        <v>1000</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Paraguay</v>
      </c>
      <c r="J248" s="9" t="str">
        <f ca="1">+WORLDCUP!BD68</f>
        <v>RD Congo</v>
      </c>
      <c r="N248" s="16" t="s">
        <v>1000</v>
      </c>
      <c r="O248" s="16">
        <v>247</v>
      </c>
      <c r="P248" s="16" t="s">
        <v>446</v>
      </c>
      <c r="Q248" s="16" t="s">
        <v>445</v>
      </c>
      <c r="R248" s="16" t="s">
        <v>451</v>
      </c>
      <c r="S248" s="16" t="s">
        <v>92</v>
      </c>
      <c r="T248" s="16" t="s">
        <v>90</v>
      </c>
      <c r="U248" s="16" t="s">
        <v>95</v>
      </c>
      <c r="V248" s="16" t="s">
        <v>93</v>
      </c>
      <c r="W248" s="16" t="s">
        <v>452</v>
      </c>
    </row>
    <row r="249" spans="1:23">
      <c r="A249" s="9" t="s">
        <v>999</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Paraguay</v>
      </c>
      <c r="I249" s="9" t="str">
        <f ca="1">+WORLDCUP!BD69</f>
        <v>Ghana</v>
      </c>
      <c r="J249" s="9" t="str">
        <f ca="1">+WORLDCUP!BD66</f>
        <v>Senegal</v>
      </c>
      <c r="N249" s="16" t="s">
        <v>999</v>
      </c>
      <c r="O249" s="16">
        <v>248</v>
      </c>
      <c r="P249" s="16" t="s">
        <v>446</v>
      </c>
      <c r="Q249" s="16" t="s">
        <v>445</v>
      </c>
      <c r="R249" s="16" t="s">
        <v>95</v>
      </c>
      <c r="S249" s="16" t="s">
        <v>92</v>
      </c>
      <c r="T249" s="16" t="s">
        <v>90</v>
      </c>
      <c r="U249" s="16" t="s">
        <v>93</v>
      </c>
      <c r="V249" s="16" t="s">
        <v>453</v>
      </c>
      <c r="W249" s="16" t="s">
        <v>450</v>
      </c>
    </row>
    <row r="250" spans="1:23">
      <c r="A250" s="9" t="s">
        <v>998</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998</v>
      </c>
      <c r="O250" s="16">
        <v>249</v>
      </c>
      <c r="P250" s="16" t="s">
        <v>446</v>
      </c>
      <c r="Q250" s="16" t="s">
        <v>445</v>
      </c>
      <c r="R250" s="16" t="s">
        <v>95</v>
      </c>
      <c r="S250" s="16" t="s">
        <v>92</v>
      </c>
      <c r="T250" s="16" t="s">
        <v>90</v>
      </c>
      <c r="U250" s="16" t="s">
        <v>93</v>
      </c>
      <c r="V250" s="16" t="s">
        <v>450</v>
      </c>
      <c r="W250" s="16" t="s">
        <v>452</v>
      </c>
    </row>
    <row r="251" spans="1:23">
      <c r="A251" s="9" t="s">
        <v>997</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Paraguay</v>
      </c>
      <c r="J251" s="9" t="str">
        <f ca="1">+WORLDCUP!BD66</f>
        <v>Senegal</v>
      </c>
      <c r="N251" s="16" t="s">
        <v>997</v>
      </c>
      <c r="O251" s="16">
        <v>250</v>
      </c>
      <c r="P251" s="16" t="s">
        <v>446</v>
      </c>
      <c r="Q251" s="16" t="s">
        <v>445</v>
      </c>
      <c r="R251" s="16" t="s">
        <v>451</v>
      </c>
      <c r="S251" s="16" t="s">
        <v>92</v>
      </c>
      <c r="T251" s="16" t="s">
        <v>90</v>
      </c>
      <c r="U251" s="16" t="s">
        <v>95</v>
      </c>
      <c r="V251" s="16" t="s">
        <v>93</v>
      </c>
      <c r="W251" s="16" t="s">
        <v>450</v>
      </c>
    </row>
    <row r="252" spans="1:23">
      <c r="A252" s="9" t="s">
        <v>996</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Paraguay</v>
      </c>
      <c r="I252" s="9" t="str">
        <f ca="1">+WORLDCUP!BD69</f>
        <v>Ghana</v>
      </c>
      <c r="J252" s="9" t="str">
        <f ca="1">+WORLDCUP!BD68</f>
        <v>RD Congo</v>
      </c>
      <c r="N252" s="16" t="s">
        <v>996</v>
      </c>
      <c r="O252" s="16">
        <v>251</v>
      </c>
      <c r="P252" s="16" t="s">
        <v>94</v>
      </c>
      <c r="Q252" s="16" t="s">
        <v>451</v>
      </c>
      <c r="R252" s="16" t="s">
        <v>450</v>
      </c>
      <c r="S252" s="16" t="s">
        <v>92</v>
      </c>
      <c r="T252" s="16" t="s">
        <v>90</v>
      </c>
      <c r="U252" s="16" t="s">
        <v>93</v>
      </c>
      <c r="V252" s="16" t="s">
        <v>453</v>
      </c>
      <c r="W252" s="16" t="s">
        <v>452</v>
      </c>
    </row>
    <row r="253" spans="1:23">
      <c r="A253" s="9" t="s">
        <v>995</v>
      </c>
      <c r="B253" s="9">
        <f ca="1">+IF(A253=WORLDCUP!$BI$112,1,0)</f>
        <v>0</v>
      </c>
      <c r="C253" s="9" t="str">
        <f ca="1">+WORLDCUP!BD65</f>
        <v>Arabia Saudita</v>
      </c>
      <c r="D253" s="9" t="str">
        <f ca="1">+WORLDCUP!BD67</f>
        <v>Austria</v>
      </c>
      <c r="E253" s="9" t="str">
        <f ca="1">+WORLDCUP!BD62</f>
        <v>Ecuador</v>
      </c>
      <c r="F253" s="9" t="str">
        <f ca="1">+WORLDCUP!BD60</f>
        <v>Escocia</v>
      </c>
      <c r="G253" s="9" t="str">
        <f ca="1">+WORLDCUP!BD58</f>
        <v>República Checa</v>
      </c>
      <c r="H253" s="9" t="str">
        <f ca="1">+WORLDCUP!BD61</f>
        <v>Paraguay</v>
      </c>
      <c r="I253" s="9" t="str">
        <f ca="1">+WORLDCUP!BD69</f>
        <v>Ghana</v>
      </c>
      <c r="J253" s="9" t="str">
        <f ca="1">+WORLDCUP!BD68</f>
        <v>RD Congo</v>
      </c>
      <c r="N253" s="16" t="s">
        <v>995</v>
      </c>
      <c r="O253" s="16">
        <v>252</v>
      </c>
      <c r="P253" s="16" t="s">
        <v>446</v>
      </c>
      <c r="Q253" s="16" t="s">
        <v>451</v>
      </c>
      <c r="R253" s="16" t="s">
        <v>94</v>
      </c>
      <c r="S253" s="16" t="s">
        <v>92</v>
      </c>
      <c r="T253" s="16" t="s">
        <v>90</v>
      </c>
      <c r="U253" s="16" t="s">
        <v>93</v>
      </c>
      <c r="V253" s="16" t="s">
        <v>453</v>
      </c>
      <c r="W253" s="16" t="s">
        <v>452</v>
      </c>
    </row>
    <row r="254" spans="1:23">
      <c r="A254" s="9" t="s">
        <v>994</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Ghana</v>
      </c>
      <c r="J254" s="9" t="str">
        <f ca="1">+WORLDCUP!BD68</f>
        <v>RD Congo</v>
      </c>
      <c r="N254" s="16" t="s">
        <v>994</v>
      </c>
      <c r="O254" s="16">
        <v>253</v>
      </c>
      <c r="P254" s="16" t="s">
        <v>446</v>
      </c>
      <c r="Q254" s="16" t="s">
        <v>94</v>
      </c>
      <c r="R254" s="16" t="s">
        <v>450</v>
      </c>
      <c r="S254" s="16" t="s">
        <v>92</v>
      </c>
      <c r="T254" s="16" t="s">
        <v>90</v>
      </c>
      <c r="U254" s="16" t="s">
        <v>93</v>
      </c>
      <c r="V254" s="16" t="s">
        <v>453</v>
      </c>
      <c r="W254" s="16" t="s">
        <v>452</v>
      </c>
    </row>
    <row r="255" spans="1:23">
      <c r="A255" s="9" t="s">
        <v>993</v>
      </c>
      <c r="B255" s="9">
        <f ca="1">+IF(A255=WORLDCUP!$BI$112,1,0)</f>
        <v>0</v>
      </c>
      <c r="C255" s="9" t="str">
        <f ca="1">+WORLDCUP!BD65</f>
        <v>Arabia Saudita</v>
      </c>
      <c r="D255" s="9" t="str">
        <f ca="1">+WORLDCUP!BD67</f>
        <v>Austria</v>
      </c>
      <c r="E255" s="9" t="str">
        <f ca="1">+WORLDCUP!BD62</f>
        <v>Ecuador</v>
      </c>
      <c r="F255" s="9" t="str">
        <f ca="1">+WORLDCUP!BD60</f>
        <v>Escocia</v>
      </c>
      <c r="G255" s="9" t="str">
        <f ca="1">+WORLDCUP!BD58</f>
        <v>República Checa</v>
      </c>
      <c r="H255" s="9" t="str">
        <f ca="1">+WORLDCUP!BD61</f>
        <v>Paraguay</v>
      </c>
      <c r="I255" s="9" t="str">
        <f ca="1">+WORLDCUP!BD69</f>
        <v>Ghana</v>
      </c>
      <c r="J255" s="9" t="str">
        <f ca="1">+WORLDCUP!BD66</f>
        <v>Senegal</v>
      </c>
      <c r="N255" s="16" t="s">
        <v>993</v>
      </c>
      <c r="O255" s="16">
        <v>254</v>
      </c>
      <c r="P255" s="16" t="s">
        <v>446</v>
      </c>
      <c r="Q255" s="16" t="s">
        <v>451</v>
      </c>
      <c r="R255" s="16" t="s">
        <v>94</v>
      </c>
      <c r="S255" s="16" t="s">
        <v>92</v>
      </c>
      <c r="T255" s="16" t="s">
        <v>90</v>
      </c>
      <c r="U255" s="16" t="s">
        <v>93</v>
      </c>
      <c r="V255" s="16" t="s">
        <v>453</v>
      </c>
      <c r="W255" s="16" t="s">
        <v>450</v>
      </c>
    </row>
    <row r="256" spans="1:23">
      <c r="A256" s="9" t="s">
        <v>992</v>
      </c>
      <c r="B256" s="9">
        <f ca="1">+IF(A256=WORLDCUP!$BI$112,1,0)</f>
        <v>0</v>
      </c>
      <c r="C256" s="9" t="str">
        <f ca="1">+WORLDCUP!BD65</f>
        <v>Arabia Saudita</v>
      </c>
      <c r="D256" s="9" t="str">
        <f ca="1">+WORLDCUP!BD67</f>
        <v>Austria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992</v>
      </c>
      <c r="O256" s="16">
        <v>255</v>
      </c>
      <c r="P256" s="16" t="s">
        <v>446</v>
      </c>
      <c r="Q256" s="16" t="s">
        <v>451</v>
      </c>
      <c r="R256" s="16" t="s">
        <v>94</v>
      </c>
      <c r="S256" s="16" t="s">
        <v>92</v>
      </c>
      <c r="T256" s="16" t="s">
        <v>90</v>
      </c>
      <c r="U256" s="16" t="s">
        <v>93</v>
      </c>
      <c r="V256" s="16" t="s">
        <v>450</v>
      </c>
      <c r="W256" s="16" t="s">
        <v>452</v>
      </c>
    </row>
    <row r="257" spans="1:23">
      <c r="A257" s="9" t="s">
        <v>991</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Paraguay</v>
      </c>
      <c r="I257" s="9" t="str">
        <f ca="1">+WORLDCUP!BD69</f>
        <v>Ghana</v>
      </c>
      <c r="J257" s="9" t="str">
        <f ca="1">+WORLDCUP!BD68</f>
        <v>RD Congo</v>
      </c>
      <c r="N257" s="16" t="s">
        <v>991</v>
      </c>
      <c r="O257" s="16">
        <v>256</v>
      </c>
      <c r="P257" s="16" t="s">
        <v>94</v>
      </c>
      <c r="Q257" s="16" t="s">
        <v>445</v>
      </c>
      <c r="R257" s="16" t="s">
        <v>451</v>
      </c>
      <c r="S257" s="16" t="s">
        <v>92</v>
      </c>
      <c r="T257" s="16" t="s">
        <v>90</v>
      </c>
      <c r="U257" s="16" t="s">
        <v>93</v>
      </c>
      <c r="V257" s="16" t="s">
        <v>453</v>
      </c>
      <c r="W257" s="16" t="s">
        <v>452</v>
      </c>
    </row>
    <row r="258" spans="1:23">
      <c r="A258" s="9" t="s">
        <v>990</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Ghana</v>
      </c>
      <c r="J258" s="9" t="str">
        <f ca="1">+WORLDCUP!BD68</f>
        <v>RD Congo</v>
      </c>
      <c r="N258" s="16" t="s">
        <v>990</v>
      </c>
      <c r="O258" s="16">
        <v>257</v>
      </c>
      <c r="P258" s="16" t="s">
        <v>94</v>
      </c>
      <c r="Q258" s="16" t="s">
        <v>445</v>
      </c>
      <c r="R258" s="16" t="s">
        <v>450</v>
      </c>
      <c r="S258" s="16" t="s">
        <v>92</v>
      </c>
      <c r="T258" s="16" t="s">
        <v>90</v>
      </c>
      <c r="U258" s="16" t="s">
        <v>93</v>
      </c>
      <c r="V258" s="16" t="s">
        <v>453</v>
      </c>
      <c r="W258" s="16" t="s">
        <v>452</v>
      </c>
    </row>
    <row r="259" spans="1:23">
      <c r="A259" s="9" t="s">
        <v>989</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Paraguay</v>
      </c>
      <c r="I259" s="9" t="str">
        <f ca="1">+WORLDCUP!BD69</f>
        <v>Ghana</v>
      </c>
      <c r="J259" s="9" t="str">
        <f ca="1">+WORLDCUP!BD66</f>
        <v>Senegal</v>
      </c>
      <c r="N259" s="16" t="s">
        <v>989</v>
      </c>
      <c r="O259" s="16">
        <v>258</v>
      </c>
      <c r="P259" s="16" t="s">
        <v>94</v>
      </c>
      <c r="Q259" s="16" t="s">
        <v>445</v>
      </c>
      <c r="R259" s="16" t="s">
        <v>451</v>
      </c>
      <c r="S259" s="16" t="s">
        <v>92</v>
      </c>
      <c r="T259" s="16" t="s">
        <v>90</v>
      </c>
      <c r="U259" s="16" t="s">
        <v>93</v>
      </c>
      <c r="V259" s="16" t="s">
        <v>453</v>
      </c>
      <c r="W259" s="16" t="s">
        <v>450</v>
      </c>
    </row>
    <row r="260" spans="1:23">
      <c r="A260" s="9" t="s">
        <v>988</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Paraguay</v>
      </c>
      <c r="I260" s="9" t="str">
        <f ca="1">+WORLDCUP!BD66</f>
        <v>Senegal</v>
      </c>
      <c r="J260" s="9" t="str">
        <f ca="1">+WORLDCUP!BD68</f>
        <v>RD Congo</v>
      </c>
      <c r="N260" s="16" t="s">
        <v>988</v>
      </c>
      <c r="O260" s="16">
        <v>259</v>
      </c>
      <c r="P260" s="16" t="s">
        <v>94</v>
      </c>
      <c r="Q260" s="16" t="s">
        <v>445</v>
      </c>
      <c r="R260" s="16" t="s">
        <v>451</v>
      </c>
      <c r="S260" s="16" t="s">
        <v>92</v>
      </c>
      <c r="T260" s="16" t="s">
        <v>90</v>
      </c>
      <c r="U260" s="16" t="s">
        <v>93</v>
      </c>
      <c r="V260" s="16" t="s">
        <v>450</v>
      </c>
      <c r="W260" s="16" t="s">
        <v>452</v>
      </c>
    </row>
    <row r="261" spans="1:23">
      <c r="A261" s="9" t="s">
        <v>987</v>
      </c>
      <c r="B261" s="9">
        <f ca="1">+IF(A261=WORLDCUP!$BI$112,1,0)</f>
        <v>0</v>
      </c>
      <c r="C261" s="9" t="str">
        <f ca="1">+WORLDCUP!BD65</f>
        <v>Arabia Saudita</v>
      </c>
      <c r="D261" s="9" t="str">
        <f ca="1">+WORLDCUP!BD64</f>
        <v>Irán</v>
      </c>
      <c r="E261" s="9" t="str">
        <f ca="1">+WORLDCUP!BD62</f>
        <v>Ecuador</v>
      </c>
      <c r="F261" s="9" t="str">
        <f ca="1">+WORLDCUP!BD60</f>
        <v>Escocia</v>
      </c>
      <c r="G261" s="9" t="str">
        <f ca="1">+WORLDCUP!BD58</f>
        <v>República Checa</v>
      </c>
      <c r="H261" s="9" t="str">
        <f ca="1">+WORLDCUP!BD61</f>
        <v>Paraguay</v>
      </c>
      <c r="I261" s="9" t="str">
        <f ca="1">+WORLDCUP!BD69</f>
        <v>Ghana</v>
      </c>
      <c r="J261" s="9" t="str">
        <f ca="1">+WORLDCUP!BD68</f>
        <v>RD Congo</v>
      </c>
      <c r="N261" s="16" t="s">
        <v>987</v>
      </c>
      <c r="O261" s="16">
        <v>260</v>
      </c>
      <c r="P261" s="16" t="s">
        <v>446</v>
      </c>
      <c r="Q261" s="16" t="s">
        <v>445</v>
      </c>
      <c r="R261" s="16" t="s">
        <v>94</v>
      </c>
      <c r="S261" s="16" t="s">
        <v>92</v>
      </c>
      <c r="T261" s="16" t="s">
        <v>90</v>
      </c>
      <c r="U261" s="16" t="s">
        <v>93</v>
      </c>
      <c r="V261" s="16" t="s">
        <v>453</v>
      </c>
      <c r="W261" s="16" t="s">
        <v>452</v>
      </c>
    </row>
    <row r="262" spans="1:23">
      <c r="A262" s="9" t="s">
        <v>986</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Paraguay</v>
      </c>
      <c r="I262" s="9" t="str">
        <f ca="1">+WORLDCUP!BD69</f>
        <v>Ghana</v>
      </c>
      <c r="J262" s="9" t="str">
        <f ca="1">+WORLDCUP!BD62</f>
        <v>Ecuador</v>
      </c>
      <c r="N262" s="16" t="s">
        <v>986</v>
      </c>
      <c r="O262" s="16">
        <v>261</v>
      </c>
      <c r="P262" s="16" t="s">
        <v>446</v>
      </c>
      <c r="Q262" s="16" t="s">
        <v>445</v>
      </c>
      <c r="R262" s="16" t="s">
        <v>451</v>
      </c>
      <c r="S262" s="16" t="s">
        <v>92</v>
      </c>
      <c r="T262" s="16" t="s">
        <v>90</v>
      </c>
      <c r="U262" s="16" t="s">
        <v>93</v>
      </c>
      <c r="V262" s="16" t="s">
        <v>453</v>
      </c>
      <c r="W262" s="16" t="s">
        <v>94</v>
      </c>
    </row>
    <row r="263" spans="1:23">
      <c r="A263" s="9" t="s">
        <v>985</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Paraguay</v>
      </c>
      <c r="I263" s="9" t="str">
        <f ca="1">+WORLDCUP!BD62</f>
        <v>Ecuador</v>
      </c>
      <c r="J263" s="9" t="str">
        <f ca="1">+WORLDCUP!BD68</f>
        <v>RD Congo</v>
      </c>
      <c r="N263" s="16" t="s">
        <v>985</v>
      </c>
      <c r="O263" s="16">
        <v>262</v>
      </c>
      <c r="P263" s="16" t="s">
        <v>446</v>
      </c>
      <c r="Q263" s="16" t="s">
        <v>445</v>
      </c>
      <c r="R263" s="16" t="s">
        <v>451</v>
      </c>
      <c r="S263" s="16" t="s">
        <v>92</v>
      </c>
      <c r="T263" s="16" t="s">
        <v>90</v>
      </c>
      <c r="U263" s="16" t="s">
        <v>93</v>
      </c>
      <c r="V263" s="16" t="s">
        <v>94</v>
      </c>
      <c r="W263" s="16" t="s">
        <v>452</v>
      </c>
    </row>
    <row r="264" spans="1:23">
      <c r="A264" s="9" t="s">
        <v>984</v>
      </c>
      <c r="B264" s="9">
        <f ca="1">+IF(A264=WORLDCUP!$BI$112,1,0)</f>
        <v>0</v>
      </c>
      <c r="C264" s="9" t="str">
        <f ca="1">+WORLDCUP!BD65</f>
        <v>Arabia Saudita</v>
      </c>
      <c r="D264" s="9" t="str">
        <f ca="1">+WORLDCUP!BD64</f>
        <v>Irán</v>
      </c>
      <c r="E264" s="9" t="str">
        <f ca="1">+WORLDCUP!BD62</f>
        <v>Ecuador</v>
      </c>
      <c r="F264" s="9" t="str">
        <f ca="1">+WORLDCUP!BD60</f>
        <v>Escocia</v>
      </c>
      <c r="G264" s="9" t="str">
        <f ca="1">+WORLDCUP!BD58</f>
        <v>República Checa</v>
      </c>
      <c r="H264" s="9" t="str">
        <f ca="1">+WORLDCUP!BD61</f>
        <v>Paraguay</v>
      </c>
      <c r="I264" s="9" t="str">
        <f ca="1">+WORLDCUP!BD69</f>
        <v>Ghana</v>
      </c>
      <c r="J264" s="9" t="str">
        <f ca="1">+WORLDCUP!BD66</f>
        <v>Senegal</v>
      </c>
      <c r="N264" s="16" t="s">
        <v>984</v>
      </c>
      <c r="O264" s="16">
        <v>263</v>
      </c>
      <c r="P264" s="16" t="s">
        <v>446</v>
      </c>
      <c r="Q264" s="16" t="s">
        <v>445</v>
      </c>
      <c r="R264" s="16" t="s">
        <v>94</v>
      </c>
      <c r="S264" s="16" t="s">
        <v>92</v>
      </c>
      <c r="T264" s="16" t="s">
        <v>90</v>
      </c>
      <c r="U264" s="16" t="s">
        <v>93</v>
      </c>
      <c r="V264" s="16" t="s">
        <v>453</v>
      </c>
      <c r="W264" s="16" t="s">
        <v>450</v>
      </c>
    </row>
    <row r="265" spans="1:23">
      <c r="A265" s="9" t="s">
        <v>983</v>
      </c>
      <c r="B265" s="9">
        <f ca="1">+IF(A265=WORLDCUP!$BI$112,1,0)</f>
        <v>0</v>
      </c>
      <c r="C265" s="9" t="str">
        <f ca="1">+WORLDCUP!BD65</f>
        <v>Arabia Saudita</v>
      </c>
      <c r="D265" s="9" t="str">
        <f ca="1">+WORLDCUP!BD64</f>
        <v>Irán</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983</v>
      </c>
      <c r="O265" s="16">
        <v>264</v>
      </c>
      <c r="P265" s="16" t="s">
        <v>446</v>
      </c>
      <c r="Q265" s="16" t="s">
        <v>445</v>
      </c>
      <c r="R265" s="16" t="s">
        <v>94</v>
      </c>
      <c r="S265" s="16" t="s">
        <v>92</v>
      </c>
      <c r="T265" s="16" t="s">
        <v>90</v>
      </c>
      <c r="U265" s="16" t="s">
        <v>93</v>
      </c>
      <c r="V265" s="16" t="s">
        <v>450</v>
      </c>
      <c r="W265" s="16" t="s">
        <v>452</v>
      </c>
    </row>
    <row r="266" spans="1:23">
      <c r="A266" s="9" t="s">
        <v>982</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Paraguay</v>
      </c>
      <c r="I266" s="9" t="str">
        <f ca="1">+WORLDCUP!BD62</f>
        <v>Ecuador</v>
      </c>
      <c r="J266" s="9" t="str">
        <f ca="1">+WORLDCUP!BD66</f>
        <v>Senegal</v>
      </c>
      <c r="N266" s="16" t="s">
        <v>982</v>
      </c>
      <c r="O266" s="16">
        <v>265</v>
      </c>
      <c r="P266" s="16" t="s">
        <v>446</v>
      </c>
      <c r="Q266" s="16" t="s">
        <v>445</v>
      </c>
      <c r="R266" s="16" t="s">
        <v>451</v>
      </c>
      <c r="S266" s="16" t="s">
        <v>92</v>
      </c>
      <c r="T266" s="16" t="s">
        <v>90</v>
      </c>
      <c r="U266" s="16" t="s">
        <v>93</v>
      </c>
      <c r="V266" s="16" t="s">
        <v>94</v>
      </c>
      <c r="W266" s="16" t="s">
        <v>450</v>
      </c>
    </row>
    <row r="267" spans="1:23">
      <c r="A267" s="9" t="s">
        <v>981</v>
      </c>
      <c r="B267" s="9">
        <f ca="1">+IF(A267=WORLDCUP!$BI$112,1,0)</f>
        <v>0</v>
      </c>
      <c r="C267" s="9" t="str">
        <f ca="1">+WORLDCUP!BD60</f>
        <v>Escocia</v>
      </c>
      <c r="D267" s="9" t="str">
        <f ca="1">+WORLDCUP!BD67</f>
        <v>Austria</v>
      </c>
      <c r="E267" s="9" t="str">
        <f ca="1">+WORLDCUP!BD62</f>
        <v>Ecuador</v>
      </c>
      <c r="F267" s="9" t="str">
        <f ca="1">+WORLDCUP!BD61</f>
        <v>Paraguay</v>
      </c>
      <c r="G267" s="9" t="str">
        <f ca="1">+WORLDCUP!BD58</f>
        <v>República Checa</v>
      </c>
      <c r="H267" s="9" t="str">
        <f ca="1">+WORLDCUP!BD63</f>
        <v>Suecia</v>
      </c>
      <c r="I267" s="9" t="str">
        <f ca="1">+WORLDCUP!BD69</f>
        <v>Ghana</v>
      </c>
      <c r="J267" s="9" t="str">
        <f ca="1">+WORLDCUP!BD68</f>
        <v>RD Congo</v>
      </c>
      <c r="N267" s="16" t="s">
        <v>981</v>
      </c>
      <c r="O267" s="16">
        <v>266</v>
      </c>
      <c r="P267" s="16" t="s">
        <v>92</v>
      </c>
      <c r="Q267" s="16" t="s">
        <v>451</v>
      </c>
      <c r="R267" s="16" t="s">
        <v>94</v>
      </c>
      <c r="S267" s="16" t="s">
        <v>93</v>
      </c>
      <c r="T267" s="16" t="s">
        <v>90</v>
      </c>
      <c r="U267" s="16" t="s">
        <v>95</v>
      </c>
      <c r="V267" s="16" t="s">
        <v>453</v>
      </c>
      <c r="W267" s="16" t="s">
        <v>452</v>
      </c>
    </row>
    <row r="268" spans="1:23">
      <c r="A268" s="9" t="s">
        <v>980</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Ghana</v>
      </c>
      <c r="J268" s="9" t="str">
        <f ca="1">+WORLDCUP!BD68</f>
        <v>RD Congo</v>
      </c>
      <c r="N268" s="16" t="s">
        <v>980</v>
      </c>
      <c r="O268" s="16">
        <v>267</v>
      </c>
      <c r="P268" s="16" t="s">
        <v>92</v>
      </c>
      <c r="Q268" s="16" t="s">
        <v>94</v>
      </c>
      <c r="R268" s="16" t="s">
        <v>450</v>
      </c>
      <c r="S268" s="16" t="s">
        <v>93</v>
      </c>
      <c r="T268" s="16" t="s">
        <v>90</v>
      </c>
      <c r="U268" s="16" t="s">
        <v>95</v>
      </c>
      <c r="V268" s="16" t="s">
        <v>453</v>
      </c>
      <c r="W268" s="16" t="s">
        <v>452</v>
      </c>
    </row>
    <row r="269" spans="1:23">
      <c r="A269" s="9" t="s">
        <v>979</v>
      </c>
      <c r="B269" s="9">
        <f ca="1">+IF(A269=WORLDCUP!$BI$112,1,0)</f>
        <v>0</v>
      </c>
      <c r="C269" s="9" t="str">
        <f ca="1">+WORLDCUP!BD60</f>
        <v>Escocia</v>
      </c>
      <c r="D269" s="9" t="str">
        <f ca="1">+WORLDCUP!BD67</f>
        <v>Austria</v>
      </c>
      <c r="E269" s="9" t="str">
        <f ca="1">+WORLDCUP!BD62</f>
        <v>Ecuador</v>
      </c>
      <c r="F269" s="9" t="str">
        <f ca="1">+WORLDCUP!BD61</f>
        <v>Paraguay</v>
      </c>
      <c r="G269" s="9" t="str">
        <f ca="1">+WORLDCUP!BD58</f>
        <v>República Checa</v>
      </c>
      <c r="H269" s="9" t="str">
        <f ca="1">+WORLDCUP!BD63</f>
        <v>Suecia</v>
      </c>
      <c r="I269" s="9" t="str">
        <f ca="1">+WORLDCUP!BD69</f>
        <v>Ghana</v>
      </c>
      <c r="J269" s="9" t="str">
        <f ca="1">+WORLDCUP!BD66</f>
        <v>Senegal</v>
      </c>
      <c r="N269" s="16" t="s">
        <v>979</v>
      </c>
      <c r="O269" s="16">
        <v>268</v>
      </c>
      <c r="P269" s="16" t="s">
        <v>92</v>
      </c>
      <c r="Q269" s="16" t="s">
        <v>451</v>
      </c>
      <c r="R269" s="16" t="s">
        <v>94</v>
      </c>
      <c r="S269" s="16" t="s">
        <v>93</v>
      </c>
      <c r="T269" s="16" t="s">
        <v>90</v>
      </c>
      <c r="U269" s="16" t="s">
        <v>95</v>
      </c>
      <c r="V269" s="16" t="s">
        <v>453</v>
      </c>
      <c r="W269" s="16" t="s">
        <v>450</v>
      </c>
    </row>
    <row r="270" spans="1:23">
      <c r="A270" s="9" t="s">
        <v>978</v>
      </c>
      <c r="B270" s="9">
        <f ca="1">+IF(A270=WORLDCUP!$BI$112,1,0)</f>
        <v>0</v>
      </c>
      <c r="C270" s="9" t="str">
        <f ca="1">+WORLDCUP!BD60</f>
        <v>Escocia</v>
      </c>
      <c r="D270" s="9" t="str">
        <f ca="1">+WORLDCUP!BD67</f>
        <v>Austria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978</v>
      </c>
      <c r="O270" s="16">
        <v>269</v>
      </c>
      <c r="P270" s="16" t="s">
        <v>92</v>
      </c>
      <c r="Q270" s="16" t="s">
        <v>451</v>
      </c>
      <c r="R270" s="16" t="s">
        <v>94</v>
      </c>
      <c r="S270" s="16" t="s">
        <v>93</v>
      </c>
      <c r="T270" s="16" t="s">
        <v>90</v>
      </c>
      <c r="U270" s="16" t="s">
        <v>95</v>
      </c>
      <c r="V270" s="16" t="s">
        <v>450</v>
      </c>
      <c r="W270" s="16" t="s">
        <v>452</v>
      </c>
    </row>
    <row r="271" spans="1:23">
      <c r="A271" s="9" t="s">
        <v>977</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Ghana</v>
      </c>
      <c r="J271" s="9" t="str">
        <f ca="1">+WORLDCUP!BD68</f>
        <v>RD Congo</v>
      </c>
      <c r="N271" s="16" t="s">
        <v>977</v>
      </c>
      <c r="O271" s="16">
        <v>270</v>
      </c>
      <c r="P271" s="16" t="s">
        <v>446</v>
      </c>
      <c r="Q271" s="16" t="s">
        <v>94</v>
      </c>
      <c r="R271" s="16" t="s">
        <v>95</v>
      </c>
      <c r="S271" s="16" t="s">
        <v>92</v>
      </c>
      <c r="T271" s="16" t="s">
        <v>90</v>
      </c>
      <c r="U271" s="16" t="s">
        <v>93</v>
      </c>
      <c r="V271" s="16" t="s">
        <v>453</v>
      </c>
      <c r="W271" s="16" t="s">
        <v>452</v>
      </c>
    </row>
    <row r="272" spans="1:23">
      <c r="A272" s="9" t="s">
        <v>976</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Paraguay</v>
      </c>
      <c r="I272" s="9" t="str">
        <f ca="1">+WORLDCUP!BD69</f>
        <v>Ghana</v>
      </c>
      <c r="J272" s="9" t="str">
        <f ca="1">+WORLDCUP!BD62</f>
        <v>Ecuador</v>
      </c>
      <c r="N272" s="16" t="s">
        <v>976</v>
      </c>
      <c r="O272" s="16">
        <v>271</v>
      </c>
      <c r="P272" s="16" t="s">
        <v>446</v>
      </c>
      <c r="Q272" s="16" t="s">
        <v>451</v>
      </c>
      <c r="R272" s="16" t="s">
        <v>95</v>
      </c>
      <c r="S272" s="16" t="s">
        <v>92</v>
      </c>
      <c r="T272" s="16" t="s">
        <v>90</v>
      </c>
      <c r="U272" s="16" t="s">
        <v>93</v>
      </c>
      <c r="V272" s="16" t="s">
        <v>453</v>
      </c>
      <c r="W272" s="16" t="s">
        <v>94</v>
      </c>
    </row>
    <row r="273" spans="1:23">
      <c r="A273" s="9" t="s">
        <v>975</v>
      </c>
      <c r="B273" s="9">
        <f ca="1">+IF(A273=WORLDCUP!$BI$112,1,0)</f>
        <v>0</v>
      </c>
      <c r="C273" s="9" t="str">
        <f ca="1">+WORLDCUP!BD65</f>
        <v>Arabia Saudita</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975</v>
      </c>
      <c r="O273" s="16">
        <v>272</v>
      </c>
      <c r="P273" s="16" t="s">
        <v>446</v>
      </c>
      <c r="Q273" s="16" t="s">
        <v>451</v>
      </c>
      <c r="R273" s="16" t="s">
        <v>94</v>
      </c>
      <c r="S273" s="16" t="s">
        <v>92</v>
      </c>
      <c r="T273" s="16" t="s">
        <v>90</v>
      </c>
      <c r="U273" s="16" t="s">
        <v>95</v>
      </c>
      <c r="V273" s="16" t="s">
        <v>93</v>
      </c>
      <c r="W273" s="16" t="s">
        <v>452</v>
      </c>
    </row>
    <row r="274" spans="1:23">
      <c r="A274" s="9" t="s">
        <v>974</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Ghana</v>
      </c>
      <c r="J274" s="9" t="str">
        <f ca="1">+WORLDCUP!BD66</f>
        <v>Senegal</v>
      </c>
      <c r="N274" s="16" t="s">
        <v>974</v>
      </c>
      <c r="O274" s="16">
        <v>273</v>
      </c>
      <c r="P274" s="16" t="s">
        <v>446</v>
      </c>
      <c r="Q274" s="16" t="s">
        <v>94</v>
      </c>
      <c r="R274" s="16" t="s">
        <v>95</v>
      </c>
      <c r="S274" s="16" t="s">
        <v>92</v>
      </c>
      <c r="T274" s="16" t="s">
        <v>90</v>
      </c>
      <c r="U274" s="16" t="s">
        <v>93</v>
      </c>
      <c r="V274" s="16" t="s">
        <v>453</v>
      </c>
      <c r="W274" s="16" t="s">
        <v>450</v>
      </c>
    </row>
    <row r="275" spans="1:23">
      <c r="A275" s="9" t="s">
        <v>973</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973</v>
      </c>
      <c r="O275" s="16">
        <v>274</v>
      </c>
      <c r="P275" s="16" t="s">
        <v>446</v>
      </c>
      <c r="Q275" s="16" t="s">
        <v>94</v>
      </c>
      <c r="R275" s="16" t="s">
        <v>95</v>
      </c>
      <c r="S275" s="16" t="s">
        <v>92</v>
      </c>
      <c r="T275" s="16" t="s">
        <v>90</v>
      </c>
      <c r="U275" s="16" t="s">
        <v>93</v>
      </c>
      <c r="V275" s="16" t="s">
        <v>450</v>
      </c>
      <c r="W275" s="16" t="s">
        <v>452</v>
      </c>
    </row>
    <row r="276" spans="1:23">
      <c r="A276" s="9" t="s">
        <v>972</v>
      </c>
      <c r="B276" s="9">
        <f ca="1">+IF(A276=WORLDCUP!$BI$112,1,0)</f>
        <v>0</v>
      </c>
      <c r="C276" s="9" t="str">
        <f ca="1">+WORLDCUP!BD65</f>
        <v>Arabia Saudita</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972</v>
      </c>
      <c r="O276" s="16">
        <v>275</v>
      </c>
      <c r="P276" s="16" t="s">
        <v>446</v>
      </c>
      <c r="Q276" s="16" t="s">
        <v>451</v>
      </c>
      <c r="R276" s="16" t="s">
        <v>94</v>
      </c>
      <c r="S276" s="16" t="s">
        <v>92</v>
      </c>
      <c r="T276" s="16" t="s">
        <v>90</v>
      </c>
      <c r="U276" s="16" t="s">
        <v>95</v>
      </c>
      <c r="V276" s="16" t="s">
        <v>93</v>
      </c>
      <c r="W276" s="16" t="s">
        <v>450</v>
      </c>
    </row>
    <row r="277" spans="1:23">
      <c r="A277" s="9" t="s">
        <v>971</v>
      </c>
      <c r="B277" s="9">
        <f ca="1">+IF(A277=WORLDCUP!$BI$112,1,0)</f>
        <v>0</v>
      </c>
      <c r="C277" s="9" t="str">
        <f ca="1">+WORLDCUP!BD60</f>
        <v>Escocia</v>
      </c>
      <c r="D277" s="9" t="str">
        <f ca="1">+WORLDCUP!BD64</f>
        <v>Irán</v>
      </c>
      <c r="E277" s="9" t="str">
        <f ca="1">+WORLDCUP!BD62</f>
        <v>Ecuador</v>
      </c>
      <c r="F277" s="9" t="str">
        <f ca="1">+WORLDCUP!BD61</f>
        <v>Paraguay</v>
      </c>
      <c r="G277" s="9" t="str">
        <f ca="1">+WORLDCUP!BD58</f>
        <v>República Checa</v>
      </c>
      <c r="H277" s="9" t="str">
        <f ca="1">+WORLDCUP!BD63</f>
        <v>Suecia</v>
      </c>
      <c r="I277" s="9" t="str">
        <f ca="1">+WORLDCUP!BD69</f>
        <v>Ghana</v>
      </c>
      <c r="J277" s="9" t="str">
        <f ca="1">+WORLDCUP!BD68</f>
        <v>RD Congo</v>
      </c>
      <c r="N277" s="16" t="s">
        <v>971</v>
      </c>
      <c r="O277" s="16">
        <v>276</v>
      </c>
      <c r="P277" s="16" t="s">
        <v>92</v>
      </c>
      <c r="Q277" s="16" t="s">
        <v>445</v>
      </c>
      <c r="R277" s="16" t="s">
        <v>94</v>
      </c>
      <c r="S277" s="16" t="s">
        <v>93</v>
      </c>
      <c r="T277" s="16" t="s">
        <v>90</v>
      </c>
      <c r="U277" s="16" t="s">
        <v>95</v>
      </c>
      <c r="V277" s="16" t="s">
        <v>453</v>
      </c>
      <c r="W277" s="16" t="s">
        <v>452</v>
      </c>
    </row>
    <row r="278" spans="1:23">
      <c r="A278" s="9" t="s">
        <v>597</v>
      </c>
      <c r="B278" s="9">
        <f ca="1">+IF(A278=WORLDCUP!$BI$112,1,0)</f>
        <v>0</v>
      </c>
      <c r="C278" s="9" t="str">
        <f ca="1">+WORLDCUP!BD60</f>
        <v>Escocia</v>
      </c>
      <c r="D278" s="9" t="str">
        <f ca="1">+WORLDCUP!BD64</f>
        <v>Irán</v>
      </c>
      <c r="E278" s="9" t="str">
        <f ca="1">+WORLDCUP!BD67</f>
        <v>Austria</v>
      </c>
      <c r="F278" s="9" t="str">
        <f ca="1">+WORLDCUP!BD61</f>
        <v>Paraguay</v>
      </c>
      <c r="G278" s="9" t="str">
        <f ca="1">+WORLDCUP!BD58</f>
        <v>República Checa</v>
      </c>
      <c r="H278" s="9" t="str">
        <f ca="1">+WORLDCUP!BD63</f>
        <v>Suecia</v>
      </c>
      <c r="I278" s="9" t="str">
        <f ca="1">+WORLDCUP!BD69</f>
        <v>Ghana</v>
      </c>
      <c r="J278" s="9" t="str">
        <f ca="1">+WORLDCUP!BD62</f>
        <v>Ecuador</v>
      </c>
      <c r="N278" s="16" t="s">
        <v>597</v>
      </c>
      <c r="O278" s="16">
        <v>277</v>
      </c>
      <c r="P278" s="16" t="s">
        <v>92</v>
      </c>
      <c r="Q278" s="16" t="s">
        <v>445</v>
      </c>
      <c r="R278" s="16" t="s">
        <v>451</v>
      </c>
      <c r="S278" s="16" t="s">
        <v>93</v>
      </c>
      <c r="T278" s="16" t="s">
        <v>90</v>
      </c>
      <c r="U278" s="16" t="s">
        <v>95</v>
      </c>
      <c r="V278" s="16" t="s">
        <v>453</v>
      </c>
      <c r="W278" s="16" t="s">
        <v>94</v>
      </c>
    </row>
    <row r="279" spans="1:23">
      <c r="A279" s="9" t="s">
        <v>596</v>
      </c>
      <c r="B279" s="9">
        <f ca="1">+IF(A279=WORLDCUP!$BI$112,1,0)</f>
        <v>0</v>
      </c>
      <c r="C279" s="9" t="str">
        <f ca="1">+WORLDCUP!BD60</f>
        <v>Escocia</v>
      </c>
      <c r="D279" s="9" t="str">
        <f ca="1">+WORLDCUP!BD64</f>
        <v>Irán</v>
      </c>
      <c r="E279" s="9" t="str">
        <f ca="1">+WORLDCUP!BD67</f>
        <v>Austria</v>
      </c>
      <c r="F279" s="9" t="str">
        <f ca="1">+WORLDCUP!BD61</f>
        <v>Paraguay</v>
      </c>
      <c r="G279" s="9" t="str">
        <f ca="1">+WORLDCUP!BD58</f>
        <v>República Checa</v>
      </c>
      <c r="H279" s="9" t="str">
        <f ca="1">+WORLDCUP!BD63</f>
        <v>Suecia</v>
      </c>
      <c r="I279" s="9" t="str">
        <f ca="1">+WORLDCUP!BD62</f>
        <v>Ecuador</v>
      </c>
      <c r="J279" s="9" t="str">
        <f ca="1">+WORLDCUP!BD68</f>
        <v>RD Congo</v>
      </c>
      <c r="N279" s="16" t="s">
        <v>596</v>
      </c>
      <c r="O279" s="16">
        <v>278</v>
      </c>
      <c r="P279" s="16" t="s">
        <v>92</v>
      </c>
      <c r="Q279" s="16" t="s">
        <v>445</v>
      </c>
      <c r="R279" s="16" t="s">
        <v>451</v>
      </c>
      <c r="S279" s="16" t="s">
        <v>93</v>
      </c>
      <c r="T279" s="16" t="s">
        <v>90</v>
      </c>
      <c r="U279" s="16" t="s">
        <v>95</v>
      </c>
      <c r="V279" s="16" t="s">
        <v>94</v>
      </c>
      <c r="W279" s="16" t="s">
        <v>452</v>
      </c>
    </row>
    <row r="280" spans="1:23">
      <c r="A280" s="9" t="s">
        <v>595</v>
      </c>
      <c r="B280" s="9">
        <f ca="1">+IF(A280=WORLDCUP!$BI$112,1,0)</f>
        <v>0</v>
      </c>
      <c r="C280" s="9" t="str">
        <f ca="1">+WORLDCUP!BD60</f>
        <v>Escocia</v>
      </c>
      <c r="D280" s="9" t="str">
        <f ca="1">+WORLDCUP!BD64</f>
        <v>Irán</v>
      </c>
      <c r="E280" s="9" t="str">
        <f ca="1">+WORLDCUP!BD62</f>
        <v>Ecuador</v>
      </c>
      <c r="F280" s="9" t="str">
        <f ca="1">+WORLDCUP!BD61</f>
        <v>Paraguay</v>
      </c>
      <c r="G280" s="9" t="str">
        <f ca="1">+WORLDCUP!BD58</f>
        <v>República Checa</v>
      </c>
      <c r="H280" s="9" t="str">
        <f ca="1">+WORLDCUP!BD63</f>
        <v>Suecia</v>
      </c>
      <c r="I280" s="9" t="str">
        <f ca="1">+WORLDCUP!BD69</f>
        <v>Ghana</v>
      </c>
      <c r="J280" s="9" t="str">
        <f ca="1">+WORLDCUP!BD66</f>
        <v>Senegal</v>
      </c>
      <c r="N280" s="16" t="s">
        <v>595</v>
      </c>
      <c r="O280" s="16">
        <v>279</v>
      </c>
      <c r="P280" s="16" t="s">
        <v>92</v>
      </c>
      <c r="Q280" s="16" t="s">
        <v>445</v>
      </c>
      <c r="R280" s="16" t="s">
        <v>94</v>
      </c>
      <c r="S280" s="16" t="s">
        <v>93</v>
      </c>
      <c r="T280" s="16" t="s">
        <v>90</v>
      </c>
      <c r="U280" s="16" t="s">
        <v>95</v>
      </c>
      <c r="V280" s="16" t="s">
        <v>453</v>
      </c>
      <c r="W280" s="16" t="s">
        <v>450</v>
      </c>
    </row>
    <row r="281" spans="1:23">
      <c r="A281" s="9" t="s">
        <v>594</v>
      </c>
      <c r="B281" s="9">
        <f ca="1">+IF(A281=WORLDCUP!$BI$112,1,0)</f>
        <v>0</v>
      </c>
      <c r="C281" s="9" t="str">
        <f ca="1">+WORLDCUP!BD60</f>
        <v>Escocia</v>
      </c>
      <c r="D281" s="9" t="str">
        <f ca="1">+WORLDCUP!BD64</f>
        <v>Irán</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594</v>
      </c>
      <c r="O281" s="16">
        <v>280</v>
      </c>
      <c r="P281" s="16" t="s">
        <v>92</v>
      </c>
      <c r="Q281" s="16" t="s">
        <v>445</v>
      </c>
      <c r="R281" s="16" t="s">
        <v>94</v>
      </c>
      <c r="S281" s="16" t="s">
        <v>93</v>
      </c>
      <c r="T281" s="16" t="s">
        <v>90</v>
      </c>
      <c r="U281" s="16" t="s">
        <v>95</v>
      </c>
      <c r="V281" s="16" t="s">
        <v>450</v>
      </c>
      <c r="W281" s="16" t="s">
        <v>452</v>
      </c>
    </row>
    <row r="282" spans="1:23">
      <c r="A282" s="9" t="s">
        <v>593</v>
      </c>
      <c r="B282" s="9">
        <f ca="1">+IF(A282=WORLDCUP!$BI$112,1,0)</f>
        <v>0</v>
      </c>
      <c r="C282" s="9" t="str">
        <f ca="1">+WORLDCUP!BD60</f>
        <v>Escocia</v>
      </c>
      <c r="D282" s="9" t="str">
        <f ca="1">+WORLDCUP!BD64</f>
        <v>Irán</v>
      </c>
      <c r="E282" s="9" t="str">
        <f ca="1">+WORLDCUP!BD67</f>
        <v>Austria</v>
      </c>
      <c r="F282" s="9" t="str">
        <f ca="1">+WORLDCUP!BD61</f>
        <v>Paraguay</v>
      </c>
      <c r="G282" s="9" t="str">
        <f ca="1">+WORLDCUP!BD58</f>
        <v>República Checa</v>
      </c>
      <c r="H282" s="9" t="str">
        <f ca="1">+WORLDCUP!BD63</f>
        <v>Suecia</v>
      </c>
      <c r="I282" s="9" t="str">
        <f ca="1">+WORLDCUP!BD62</f>
        <v>Ecuador</v>
      </c>
      <c r="J282" s="9" t="str">
        <f ca="1">+WORLDCUP!BD66</f>
        <v>Senegal</v>
      </c>
      <c r="N282" s="16" t="s">
        <v>593</v>
      </c>
      <c r="O282" s="16">
        <v>281</v>
      </c>
      <c r="P282" s="16" t="s">
        <v>92</v>
      </c>
      <c r="Q282" s="16" t="s">
        <v>445</v>
      </c>
      <c r="R282" s="16" t="s">
        <v>451</v>
      </c>
      <c r="S282" s="16" t="s">
        <v>93</v>
      </c>
      <c r="T282" s="16" t="s">
        <v>90</v>
      </c>
      <c r="U282" s="16" t="s">
        <v>95</v>
      </c>
      <c r="V282" s="16" t="s">
        <v>94</v>
      </c>
      <c r="W282" s="16" t="s">
        <v>450</v>
      </c>
    </row>
    <row r="283" spans="1:23">
      <c r="A283" s="9" t="s">
        <v>592</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Paraguay</v>
      </c>
      <c r="I283" s="9" t="str">
        <f ca="1">+WORLDCUP!BD69</f>
        <v>Ghana</v>
      </c>
      <c r="J283" s="9" t="str">
        <f ca="1">+WORLDCUP!BD62</f>
        <v>Ecuador</v>
      </c>
      <c r="N283" s="16" t="s">
        <v>592</v>
      </c>
      <c r="O283" s="16">
        <v>282</v>
      </c>
      <c r="P283" s="16" t="s">
        <v>446</v>
      </c>
      <c r="Q283" s="16" t="s">
        <v>445</v>
      </c>
      <c r="R283" s="16" t="s">
        <v>95</v>
      </c>
      <c r="S283" s="16" t="s">
        <v>92</v>
      </c>
      <c r="T283" s="16" t="s">
        <v>90</v>
      </c>
      <c r="U283" s="16" t="s">
        <v>93</v>
      </c>
      <c r="V283" s="16" t="s">
        <v>453</v>
      </c>
      <c r="W283" s="16" t="s">
        <v>94</v>
      </c>
    </row>
    <row r="284" spans="1:23">
      <c r="A284" s="9" t="s">
        <v>591</v>
      </c>
      <c r="B284" s="9">
        <f ca="1">+IF(A284=WORLDCUP!$BI$112,1,0)</f>
        <v>0</v>
      </c>
      <c r="C284" s="9" t="str">
        <f ca="1">+WORLDCUP!BD65</f>
        <v>Arabia Saudita</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591</v>
      </c>
      <c r="O284" s="16">
        <v>283</v>
      </c>
      <c r="P284" s="16" t="s">
        <v>446</v>
      </c>
      <c r="Q284" s="16" t="s">
        <v>445</v>
      </c>
      <c r="R284" s="16" t="s">
        <v>94</v>
      </c>
      <c r="S284" s="16" t="s">
        <v>92</v>
      </c>
      <c r="T284" s="16" t="s">
        <v>90</v>
      </c>
      <c r="U284" s="16" t="s">
        <v>95</v>
      </c>
      <c r="V284" s="16" t="s">
        <v>93</v>
      </c>
      <c r="W284" s="16" t="s">
        <v>452</v>
      </c>
    </row>
    <row r="285" spans="1:23">
      <c r="A285" s="9" t="s">
        <v>590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Paraguay</v>
      </c>
      <c r="J285" s="9" t="str">
        <f ca="1">+WORLDCUP!BD62</f>
        <v>Ecuador</v>
      </c>
      <c r="N285" s="16" t="s">
        <v>590</v>
      </c>
      <c r="O285" s="16">
        <v>284</v>
      </c>
      <c r="P285" s="16" t="s">
        <v>446</v>
      </c>
      <c r="Q285" s="16" t="s">
        <v>445</v>
      </c>
      <c r="R285" s="16" t="s">
        <v>451</v>
      </c>
      <c r="S285" s="16" t="s">
        <v>92</v>
      </c>
      <c r="T285" s="16" t="s">
        <v>90</v>
      </c>
      <c r="U285" s="16" t="s">
        <v>95</v>
      </c>
      <c r="V285" s="16" t="s">
        <v>93</v>
      </c>
      <c r="W285" s="16" t="s">
        <v>94</v>
      </c>
    </row>
    <row r="286" spans="1:23">
      <c r="A286" s="9" t="s">
        <v>589</v>
      </c>
      <c r="B286" s="9">
        <f ca="1">+IF(A286=WORLDCUP!$BI$112,1,0)</f>
        <v>0</v>
      </c>
      <c r="C286" s="9" t="str">
        <f ca="1">+WORLDCUP!BD65</f>
        <v>Arabia Saudita</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589</v>
      </c>
      <c r="O286" s="16">
        <v>285</v>
      </c>
      <c r="P286" s="16" t="s">
        <v>446</v>
      </c>
      <c r="Q286" s="16" t="s">
        <v>445</v>
      </c>
      <c r="R286" s="16" t="s">
        <v>94</v>
      </c>
      <c r="S286" s="16" t="s">
        <v>92</v>
      </c>
      <c r="T286" s="16" t="s">
        <v>90</v>
      </c>
      <c r="U286" s="16" t="s">
        <v>95</v>
      </c>
      <c r="V286" s="16" t="s">
        <v>93</v>
      </c>
      <c r="W286" s="16" t="s">
        <v>450</v>
      </c>
    </row>
    <row r="287" spans="1:23">
      <c r="A287" s="9" t="s">
        <v>970</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Ghana</v>
      </c>
      <c r="J287" s="9" t="str">
        <f ca="1">+WORLDCUP!BD68</f>
        <v>RD Congo</v>
      </c>
      <c r="N287" s="16" t="s">
        <v>970</v>
      </c>
      <c r="O287" s="16">
        <v>286</v>
      </c>
      <c r="P287" s="16" t="s">
        <v>446</v>
      </c>
      <c r="Q287" s="16" t="s">
        <v>451</v>
      </c>
      <c r="R287" s="16" t="s">
        <v>91</v>
      </c>
      <c r="S287" s="16" t="s">
        <v>90</v>
      </c>
      <c r="T287" s="16" t="s">
        <v>450</v>
      </c>
      <c r="U287" s="16" t="s">
        <v>445</v>
      </c>
      <c r="V287" s="16" t="s">
        <v>453</v>
      </c>
      <c r="W287" s="16" t="s">
        <v>452</v>
      </c>
    </row>
    <row r="288" spans="1:23">
      <c r="A288" s="9" t="s">
        <v>969</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969</v>
      </c>
      <c r="O288" s="16">
        <v>287</v>
      </c>
      <c r="P288" s="16" t="s">
        <v>446</v>
      </c>
      <c r="Q288" s="16" t="s">
        <v>451</v>
      </c>
      <c r="R288" s="16" t="s">
        <v>91</v>
      </c>
      <c r="S288" s="16" t="s">
        <v>90</v>
      </c>
      <c r="T288" s="16" t="s">
        <v>450</v>
      </c>
      <c r="U288" s="16" t="s">
        <v>95</v>
      </c>
      <c r="V288" s="16" t="s">
        <v>453</v>
      </c>
      <c r="W288" s="16" t="s">
        <v>452</v>
      </c>
    </row>
    <row r="289" spans="1:23">
      <c r="A289" s="9" t="s">
        <v>968</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Ghana</v>
      </c>
      <c r="J289" s="9" t="str">
        <f ca="1">+WORLDCUP!BD68</f>
        <v>RD Congo</v>
      </c>
      <c r="N289" s="16" t="s">
        <v>968</v>
      </c>
      <c r="O289" s="16">
        <v>288</v>
      </c>
      <c r="P289" s="16" t="s">
        <v>450</v>
      </c>
      <c r="Q289" s="16" t="s">
        <v>451</v>
      </c>
      <c r="R289" s="16" t="s">
        <v>91</v>
      </c>
      <c r="S289" s="16" t="s">
        <v>95</v>
      </c>
      <c r="T289" s="16" t="s">
        <v>90</v>
      </c>
      <c r="U289" s="16" t="s">
        <v>445</v>
      </c>
      <c r="V289" s="16" t="s">
        <v>453</v>
      </c>
      <c r="W289" s="16" t="s">
        <v>452</v>
      </c>
    </row>
    <row r="290" spans="1:23">
      <c r="A290" s="9" t="s">
        <v>967</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Ghana</v>
      </c>
      <c r="J290" s="9" t="str">
        <f ca="1">+WORLDCUP!BD68</f>
        <v>RD Congo</v>
      </c>
      <c r="N290" s="16" t="s">
        <v>967</v>
      </c>
      <c r="O290" s="16">
        <v>289</v>
      </c>
      <c r="P290" s="16" t="s">
        <v>446</v>
      </c>
      <c r="Q290" s="16" t="s">
        <v>451</v>
      </c>
      <c r="R290" s="16" t="s">
        <v>91</v>
      </c>
      <c r="S290" s="16" t="s">
        <v>95</v>
      </c>
      <c r="T290" s="16" t="s">
        <v>90</v>
      </c>
      <c r="U290" s="16" t="s">
        <v>445</v>
      </c>
      <c r="V290" s="16" t="s">
        <v>453</v>
      </c>
      <c r="W290" s="16" t="s">
        <v>452</v>
      </c>
    </row>
    <row r="291" spans="1:23">
      <c r="A291" s="9" t="s">
        <v>966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966</v>
      </c>
      <c r="O291" s="16">
        <v>290</v>
      </c>
      <c r="P291" s="16" t="s">
        <v>446</v>
      </c>
      <c r="Q291" s="16" t="s">
        <v>445</v>
      </c>
      <c r="R291" s="16" t="s">
        <v>91</v>
      </c>
      <c r="S291" s="16" t="s">
        <v>90</v>
      </c>
      <c r="T291" s="16" t="s">
        <v>450</v>
      </c>
      <c r="U291" s="16" t="s">
        <v>95</v>
      </c>
      <c r="V291" s="16" t="s">
        <v>453</v>
      </c>
      <c r="W291" s="16" t="s">
        <v>452</v>
      </c>
    </row>
    <row r="292" spans="1:23">
      <c r="A292" s="9" t="s">
        <v>965</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Ghana</v>
      </c>
      <c r="J292" s="9" t="str">
        <f ca="1">+WORLDCUP!BD66</f>
        <v>Senegal</v>
      </c>
      <c r="N292" s="16" t="s">
        <v>965</v>
      </c>
      <c r="O292" s="16">
        <v>291</v>
      </c>
      <c r="P292" s="16" t="s">
        <v>446</v>
      </c>
      <c r="Q292" s="16" t="s">
        <v>451</v>
      </c>
      <c r="R292" s="16" t="s">
        <v>91</v>
      </c>
      <c r="S292" s="16" t="s">
        <v>95</v>
      </c>
      <c r="T292" s="16" t="s">
        <v>90</v>
      </c>
      <c r="U292" s="16" t="s">
        <v>445</v>
      </c>
      <c r="V292" s="16" t="s">
        <v>453</v>
      </c>
      <c r="W292" s="16" t="s">
        <v>450</v>
      </c>
    </row>
    <row r="293" spans="1:23">
      <c r="A293" s="9" t="s">
        <v>964</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964</v>
      </c>
      <c r="O293" s="16">
        <v>292</v>
      </c>
      <c r="P293" s="16" t="s">
        <v>446</v>
      </c>
      <c r="Q293" s="16" t="s">
        <v>451</v>
      </c>
      <c r="R293" s="16" t="s">
        <v>91</v>
      </c>
      <c r="S293" s="16" t="s">
        <v>95</v>
      </c>
      <c r="T293" s="16" t="s">
        <v>90</v>
      </c>
      <c r="U293" s="16" t="s">
        <v>445</v>
      </c>
      <c r="V293" s="16" t="s">
        <v>450</v>
      </c>
      <c r="W293" s="16" t="s">
        <v>452</v>
      </c>
    </row>
    <row r="294" spans="1:23">
      <c r="A294" s="9" t="s">
        <v>963</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963</v>
      </c>
      <c r="O294" s="16">
        <v>293</v>
      </c>
      <c r="P294" s="16" t="s">
        <v>94</v>
      </c>
      <c r="Q294" s="16" t="s">
        <v>451</v>
      </c>
      <c r="R294" s="16" t="s">
        <v>91</v>
      </c>
      <c r="S294" s="16" t="s">
        <v>90</v>
      </c>
      <c r="T294" s="16" t="s">
        <v>450</v>
      </c>
      <c r="U294" s="16" t="s">
        <v>446</v>
      </c>
      <c r="V294" s="16" t="s">
        <v>453</v>
      </c>
      <c r="W294" s="16" t="s">
        <v>452</v>
      </c>
    </row>
    <row r="295" spans="1:23">
      <c r="A295" s="9" t="s">
        <v>962</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Ghana</v>
      </c>
      <c r="J295" s="9" t="str">
        <f ca="1">+WORLDCUP!BD68</f>
        <v>RD Congo</v>
      </c>
      <c r="N295" s="16" t="s">
        <v>962</v>
      </c>
      <c r="O295" s="16">
        <v>294</v>
      </c>
      <c r="P295" s="16" t="s">
        <v>94</v>
      </c>
      <c r="Q295" s="16" t="s">
        <v>451</v>
      </c>
      <c r="R295" s="16" t="s">
        <v>91</v>
      </c>
      <c r="S295" s="16" t="s">
        <v>90</v>
      </c>
      <c r="T295" s="16" t="s">
        <v>450</v>
      </c>
      <c r="U295" s="16" t="s">
        <v>445</v>
      </c>
      <c r="V295" s="16" t="s">
        <v>453</v>
      </c>
      <c r="W295" s="16" t="s">
        <v>452</v>
      </c>
    </row>
    <row r="296" spans="1:23">
      <c r="A296" s="9" t="s">
        <v>961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Ghana</v>
      </c>
      <c r="J296" s="9" t="str">
        <f ca="1">+WORLDCUP!BD68</f>
        <v>RD Congo</v>
      </c>
      <c r="N296" s="16" t="s">
        <v>961</v>
      </c>
      <c r="O296" s="16">
        <v>295</v>
      </c>
      <c r="P296" s="16" t="s">
        <v>94</v>
      </c>
      <c r="Q296" s="16" t="s">
        <v>451</v>
      </c>
      <c r="R296" s="16" t="s">
        <v>91</v>
      </c>
      <c r="S296" s="16" t="s">
        <v>90</v>
      </c>
      <c r="T296" s="16" t="s">
        <v>446</v>
      </c>
      <c r="U296" s="16" t="s">
        <v>445</v>
      </c>
      <c r="V296" s="16" t="s">
        <v>453</v>
      </c>
      <c r="W296" s="16" t="s">
        <v>452</v>
      </c>
    </row>
    <row r="297" spans="1:23">
      <c r="A297" s="9" t="s">
        <v>960</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960</v>
      </c>
      <c r="O297" s="16">
        <v>296</v>
      </c>
      <c r="P297" s="16" t="s">
        <v>94</v>
      </c>
      <c r="Q297" s="16" t="s">
        <v>445</v>
      </c>
      <c r="R297" s="16" t="s">
        <v>91</v>
      </c>
      <c r="S297" s="16" t="s">
        <v>90</v>
      </c>
      <c r="T297" s="16" t="s">
        <v>450</v>
      </c>
      <c r="U297" s="16" t="s">
        <v>446</v>
      </c>
      <c r="V297" s="16" t="s">
        <v>453</v>
      </c>
      <c r="W297" s="16" t="s">
        <v>452</v>
      </c>
    </row>
    <row r="298" spans="1:23">
      <c r="A298" s="9" t="s">
        <v>959</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Ghana</v>
      </c>
      <c r="J298" s="9" t="str">
        <f ca="1">+WORLDCUP!BD66</f>
        <v>Senegal</v>
      </c>
      <c r="N298" s="16" t="s">
        <v>959</v>
      </c>
      <c r="O298" s="16">
        <v>297</v>
      </c>
      <c r="P298" s="16" t="s">
        <v>94</v>
      </c>
      <c r="Q298" s="16" t="s">
        <v>451</v>
      </c>
      <c r="R298" s="16" t="s">
        <v>91</v>
      </c>
      <c r="S298" s="16" t="s">
        <v>90</v>
      </c>
      <c r="T298" s="16" t="s">
        <v>446</v>
      </c>
      <c r="U298" s="16" t="s">
        <v>445</v>
      </c>
      <c r="V298" s="16" t="s">
        <v>453</v>
      </c>
      <c r="W298" s="16" t="s">
        <v>450</v>
      </c>
    </row>
    <row r="299" spans="1:23">
      <c r="A299" s="9" t="s">
        <v>958</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958</v>
      </c>
      <c r="O299" s="16">
        <v>298</v>
      </c>
      <c r="P299" s="16" t="s">
        <v>94</v>
      </c>
      <c r="Q299" s="16" t="s">
        <v>451</v>
      </c>
      <c r="R299" s="16" t="s">
        <v>91</v>
      </c>
      <c r="S299" s="16" t="s">
        <v>90</v>
      </c>
      <c r="T299" s="16" t="s">
        <v>446</v>
      </c>
      <c r="U299" s="16" t="s">
        <v>445</v>
      </c>
      <c r="V299" s="16" t="s">
        <v>450</v>
      </c>
      <c r="W299" s="16" t="s">
        <v>452</v>
      </c>
    </row>
    <row r="300" spans="1:23">
      <c r="A300" s="9" t="s">
        <v>957</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957</v>
      </c>
      <c r="O300" s="16">
        <v>299</v>
      </c>
      <c r="P300" s="16" t="s">
        <v>94</v>
      </c>
      <c r="Q300" s="16" t="s">
        <v>451</v>
      </c>
      <c r="R300" s="16" t="s">
        <v>91</v>
      </c>
      <c r="S300" s="16" t="s">
        <v>90</v>
      </c>
      <c r="T300" s="16" t="s">
        <v>450</v>
      </c>
      <c r="U300" s="16" t="s">
        <v>95</v>
      </c>
      <c r="V300" s="16" t="s">
        <v>453</v>
      </c>
      <c r="W300" s="16" t="s">
        <v>452</v>
      </c>
    </row>
    <row r="301" spans="1:23">
      <c r="A301" s="9" t="s">
        <v>956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956</v>
      </c>
      <c r="O301" s="16">
        <v>300</v>
      </c>
      <c r="P301" s="16" t="s">
        <v>94</v>
      </c>
      <c r="Q301" s="16" t="s">
        <v>451</v>
      </c>
      <c r="R301" s="16" t="s">
        <v>91</v>
      </c>
      <c r="S301" s="16" t="s">
        <v>95</v>
      </c>
      <c r="T301" s="16" t="s">
        <v>90</v>
      </c>
      <c r="U301" s="16" t="s">
        <v>446</v>
      </c>
      <c r="V301" s="16" t="s">
        <v>453</v>
      </c>
      <c r="W301" s="16" t="s">
        <v>452</v>
      </c>
    </row>
    <row r="302" spans="1:23">
      <c r="A302" s="9" t="s">
        <v>955</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955</v>
      </c>
      <c r="O302" s="16">
        <v>301</v>
      </c>
      <c r="P302" s="16" t="s">
        <v>94</v>
      </c>
      <c r="Q302" s="16" t="s">
        <v>450</v>
      </c>
      <c r="R302" s="16" t="s">
        <v>91</v>
      </c>
      <c r="S302" s="16" t="s">
        <v>95</v>
      </c>
      <c r="T302" s="16" t="s">
        <v>90</v>
      </c>
      <c r="U302" s="16" t="s">
        <v>446</v>
      </c>
      <c r="V302" s="16" t="s">
        <v>453</v>
      </c>
      <c r="W302" s="16" t="s">
        <v>452</v>
      </c>
    </row>
    <row r="303" spans="1:23">
      <c r="A303" s="9" t="s">
        <v>954</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954</v>
      </c>
      <c r="O303" s="16">
        <v>302</v>
      </c>
      <c r="P303" s="16" t="s">
        <v>94</v>
      </c>
      <c r="Q303" s="16" t="s">
        <v>451</v>
      </c>
      <c r="R303" s="16" t="s">
        <v>91</v>
      </c>
      <c r="S303" s="16" t="s">
        <v>95</v>
      </c>
      <c r="T303" s="16" t="s">
        <v>90</v>
      </c>
      <c r="U303" s="16" t="s">
        <v>446</v>
      </c>
      <c r="V303" s="16" t="s">
        <v>453</v>
      </c>
      <c r="W303" s="16" t="s">
        <v>450</v>
      </c>
    </row>
    <row r="304" spans="1:23">
      <c r="A304" s="9" t="s">
        <v>953</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953</v>
      </c>
      <c r="O304" s="16">
        <v>303</v>
      </c>
      <c r="P304" s="16" t="s">
        <v>94</v>
      </c>
      <c r="Q304" s="16" t="s">
        <v>451</v>
      </c>
      <c r="R304" s="16" t="s">
        <v>91</v>
      </c>
      <c r="S304" s="16" t="s">
        <v>95</v>
      </c>
      <c r="T304" s="16" t="s">
        <v>90</v>
      </c>
      <c r="U304" s="16" t="s">
        <v>446</v>
      </c>
      <c r="V304" s="16" t="s">
        <v>450</v>
      </c>
      <c r="W304" s="16" t="s">
        <v>452</v>
      </c>
    </row>
    <row r="305" spans="1:23">
      <c r="A305" s="9" t="s">
        <v>952</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Ghana</v>
      </c>
      <c r="J305" s="9" t="str">
        <f ca="1">+WORLDCUP!BD68</f>
        <v>RD Congo</v>
      </c>
      <c r="N305" s="16" t="s">
        <v>952</v>
      </c>
      <c r="O305" s="16">
        <v>304</v>
      </c>
      <c r="P305" s="16" t="s">
        <v>94</v>
      </c>
      <c r="Q305" s="16" t="s">
        <v>451</v>
      </c>
      <c r="R305" s="16" t="s">
        <v>91</v>
      </c>
      <c r="S305" s="16" t="s">
        <v>95</v>
      </c>
      <c r="T305" s="16" t="s">
        <v>90</v>
      </c>
      <c r="U305" s="16" t="s">
        <v>445</v>
      </c>
      <c r="V305" s="16" t="s">
        <v>453</v>
      </c>
      <c r="W305" s="16" t="s">
        <v>452</v>
      </c>
    </row>
    <row r="306" spans="1:23">
      <c r="A306" s="9" t="s">
        <v>951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951</v>
      </c>
      <c r="O306" s="16">
        <v>305</v>
      </c>
      <c r="P306" s="16" t="s">
        <v>94</v>
      </c>
      <c r="Q306" s="16" t="s">
        <v>445</v>
      </c>
      <c r="R306" s="16" t="s">
        <v>91</v>
      </c>
      <c r="S306" s="16" t="s">
        <v>90</v>
      </c>
      <c r="T306" s="16" t="s">
        <v>450</v>
      </c>
      <c r="U306" s="16" t="s">
        <v>95</v>
      </c>
      <c r="V306" s="16" t="s">
        <v>453</v>
      </c>
      <c r="W306" s="16" t="s">
        <v>452</v>
      </c>
    </row>
    <row r="307" spans="1:23">
      <c r="A307" s="9" t="s">
        <v>950</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Ghana</v>
      </c>
      <c r="J307" s="9" t="str">
        <f ca="1">+WORLDCUP!BD66</f>
        <v>Senegal</v>
      </c>
      <c r="N307" s="16" t="s">
        <v>950</v>
      </c>
      <c r="O307" s="16">
        <v>306</v>
      </c>
      <c r="P307" s="16" t="s">
        <v>94</v>
      </c>
      <c r="Q307" s="16" t="s">
        <v>451</v>
      </c>
      <c r="R307" s="16" t="s">
        <v>91</v>
      </c>
      <c r="S307" s="16" t="s">
        <v>95</v>
      </c>
      <c r="T307" s="16" t="s">
        <v>90</v>
      </c>
      <c r="U307" s="16" t="s">
        <v>445</v>
      </c>
      <c r="V307" s="16" t="s">
        <v>453</v>
      </c>
      <c r="W307" s="16" t="s">
        <v>450</v>
      </c>
    </row>
    <row r="308" spans="1:23">
      <c r="A308" s="9" t="s">
        <v>949</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949</v>
      </c>
      <c r="O308" s="16">
        <v>307</v>
      </c>
      <c r="P308" s="16" t="s">
        <v>94</v>
      </c>
      <c r="Q308" s="16" t="s">
        <v>451</v>
      </c>
      <c r="R308" s="16" t="s">
        <v>91</v>
      </c>
      <c r="S308" s="16" t="s">
        <v>95</v>
      </c>
      <c r="T308" s="16" t="s">
        <v>90</v>
      </c>
      <c r="U308" s="16" t="s">
        <v>445</v>
      </c>
      <c r="V308" s="16" t="s">
        <v>450</v>
      </c>
      <c r="W308" s="16" t="s">
        <v>452</v>
      </c>
    </row>
    <row r="309" spans="1:23">
      <c r="A309" s="9" t="s">
        <v>948</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948</v>
      </c>
      <c r="O309" s="16">
        <v>308</v>
      </c>
      <c r="P309" s="16" t="s">
        <v>94</v>
      </c>
      <c r="Q309" s="16" t="s">
        <v>445</v>
      </c>
      <c r="R309" s="16" t="s">
        <v>91</v>
      </c>
      <c r="S309" s="16" t="s">
        <v>95</v>
      </c>
      <c r="T309" s="16" t="s">
        <v>90</v>
      </c>
      <c r="U309" s="16" t="s">
        <v>446</v>
      </c>
      <c r="V309" s="16" t="s">
        <v>453</v>
      </c>
      <c r="W309" s="16" t="s">
        <v>452</v>
      </c>
    </row>
    <row r="310" spans="1:23">
      <c r="A310" s="9" t="s">
        <v>947</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Ghana</v>
      </c>
      <c r="J310" s="9" t="str">
        <f ca="1">+WORLDCUP!BD62</f>
        <v>Ecuador</v>
      </c>
      <c r="N310" s="16" t="s">
        <v>947</v>
      </c>
      <c r="O310" s="16">
        <v>309</v>
      </c>
      <c r="P310" s="16" t="s">
        <v>446</v>
      </c>
      <c r="Q310" s="16" t="s">
        <v>451</v>
      </c>
      <c r="R310" s="16" t="s">
        <v>91</v>
      </c>
      <c r="S310" s="16" t="s">
        <v>95</v>
      </c>
      <c r="T310" s="16" t="s">
        <v>90</v>
      </c>
      <c r="U310" s="16" t="s">
        <v>445</v>
      </c>
      <c r="V310" s="16" t="s">
        <v>453</v>
      </c>
      <c r="W310" s="16" t="s">
        <v>94</v>
      </c>
    </row>
    <row r="311" spans="1:23">
      <c r="A311" s="9" t="s">
        <v>946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RD Congo</v>
      </c>
      <c r="N311" s="16" t="s">
        <v>946</v>
      </c>
      <c r="O311" s="16">
        <v>310</v>
      </c>
      <c r="P311" s="16" t="s">
        <v>446</v>
      </c>
      <c r="Q311" s="16" t="s">
        <v>451</v>
      </c>
      <c r="R311" s="16" t="s">
        <v>91</v>
      </c>
      <c r="S311" s="16" t="s">
        <v>95</v>
      </c>
      <c r="T311" s="16" t="s">
        <v>90</v>
      </c>
      <c r="U311" s="16" t="s">
        <v>445</v>
      </c>
      <c r="V311" s="16" t="s">
        <v>94</v>
      </c>
      <c r="W311" s="16" t="s">
        <v>452</v>
      </c>
    </row>
    <row r="312" spans="1:23">
      <c r="A312" s="9" t="s">
        <v>945</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945</v>
      </c>
      <c r="O312" s="16">
        <v>311</v>
      </c>
      <c r="P312" s="16" t="s">
        <v>94</v>
      </c>
      <c r="Q312" s="16" t="s">
        <v>445</v>
      </c>
      <c r="R312" s="16" t="s">
        <v>91</v>
      </c>
      <c r="S312" s="16" t="s">
        <v>95</v>
      </c>
      <c r="T312" s="16" t="s">
        <v>90</v>
      </c>
      <c r="U312" s="16" t="s">
        <v>446</v>
      </c>
      <c r="V312" s="16" t="s">
        <v>453</v>
      </c>
      <c r="W312" s="16" t="s">
        <v>450</v>
      </c>
    </row>
    <row r="313" spans="1:23">
      <c r="A313" s="9" t="s">
        <v>944</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944</v>
      </c>
      <c r="O313" s="16">
        <v>312</v>
      </c>
      <c r="P313" s="16" t="s">
        <v>94</v>
      </c>
      <c r="Q313" s="16" t="s">
        <v>445</v>
      </c>
      <c r="R313" s="16" t="s">
        <v>91</v>
      </c>
      <c r="S313" s="16" t="s">
        <v>95</v>
      </c>
      <c r="T313" s="16" t="s">
        <v>90</v>
      </c>
      <c r="U313" s="16" t="s">
        <v>446</v>
      </c>
      <c r="V313" s="16" t="s">
        <v>450</v>
      </c>
      <c r="W313" s="16" t="s">
        <v>452</v>
      </c>
    </row>
    <row r="314" spans="1:23">
      <c r="A314" s="9" t="s">
        <v>943</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943</v>
      </c>
      <c r="O314" s="16">
        <v>313</v>
      </c>
      <c r="P314" s="16" t="s">
        <v>446</v>
      </c>
      <c r="Q314" s="16" t="s">
        <v>451</v>
      </c>
      <c r="R314" s="16" t="s">
        <v>91</v>
      </c>
      <c r="S314" s="16" t="s">
        <v>95</v>
      </c>
      <c r="T314" s="16" t="s">
        <v>90</v>
      </c>
      <c r="U314" s="16" t="s">
        <v>445</v>
      </c>
      <c r="V314" s="16" t="s">
        <v>94</v>
      </c>
      <c r="W314" s="16" t="s">
        <v>450</v>
      </c>
    </row>
    <row r="315" spans="1:23">
      <c r="A315" s="9" t="s">
        <v>942</v>
      </c>
      <c r="B315" s="9">
        <f ca="1">+IF(A315=WORLDCUP!$BI$112,1,0)</f>
        <v>0</v>
      </c>
      <c r="C315" s="9" t="str">
        <f ca="1">+WORLDCUP!BD66</f>
        <v>Senegal</v>
      </c>
      <c r="D315" s="9" t="str">
        <f ca="1">+WORLDCUP!BD67</f>
        <v>Austria</v>
      </c>
      <c r="E315" s="9" t="str">
        <f ca="1">+WORLDCUP!BD59</f>
        <v>Bosnia y Herzegovina</v>
      </c>
      <c r="F315" s="9" t="str">
        <f ca="1">+WORLDCUP!BD61</f>
        <v>Paraguay</v>
      </c>
      <c r="G315" s="9" t="str">
        <f ca="1">+WORLDCUP!BD58</f>
        <v>República Checa</v>
      </c>
      <c r="H315" s="9" t="str">
        <f ca="1">+WORLDCUP!BD65</f>
        <v>Arabia Saudita</v>
      </c>
      <c r="I315" s="9" t="str">
        <f ca="1">+WORLDCUP!BD69</f>
        <v>Ghana</v>
      </c>
      <c r="J315" s="9" t="str">
        <f ca="1">+WORLDCUP!BD68</f>
        <v>RD Congo</v>
      </c>
      <c r="N315" s="16" t="s">
        <v>942</v>
      </c>
      <c r="O315" s="16">
        <v>314</v>
      </c>
      <c r="P315" s="16" t="s">
        <v>450</v>
      </c>
      <c r="Q315" s="16" t="s">
        <v>451</v>
      </c>
      <c r="R315" s="16" t="s">
        <v>91</v>
      </c>
      <c r="S315" s="16" t="s">
        <v>93</v>
      </c>
      <c r="T315" s="16" t="s">
        <v>90</v>
      </c>
      <c r="U315" s="16" t="s">
        <v>446</v>
      </c>
      <c r="V315" s="16" t="s">
        <v>453</v>
      </c>
      <c r="W315" s="16" t="s">
        <v>452</v>
      </c>
    </row>
    <row r="316" spans="1:23">
      <c r="A316" s="9" t="s">
        <v>941</v>
      </c>
      <c r="B316" s="9">
        <f ca="1">+IF(A316=WORLDCUP!$BI$112,1,0)</f>
        <v>0</v>
      </c>
      <c r="C316" s="9" t="str">
        <f ca="1">+WORLDCUP!BD66</f>
        <v>Senegal</v>
      </c>
      <c r="D316" s="9" t="str">
        <f ca="1">+WORLDCUP!BD67</f>
        <v>Austria</v>
      </c>
      <c r="E316" s="9" t="str">
        <f ca="1">+WORLDCUP!BD59</f>
        <v>Bosnia y Herzegovina</v>
      </c>
      <c r="F316" s="9" t="str">
        <f ca="1">+WORLDCUP!BD61</f>
        <v>Paraguay</v>
      </c>
      <c r="G316" s="9" t="str">
        <f ca="1">+WORLDCUP!BD58</f>
        <v>República Checa</v>
      </c>
      <c r="H316" s="9" t="str">
        <f ca="1">+WORLDCUP!BD64</f>
        <v>Irán</v>
      </c>
      <c r="I316" s="9" t="str">
        <f ca="1">+WORLDCUP!BD69</f>
        <v>Ghana</v>
      </c>
      <c r="J316" s="9" t="str">
        <f ca="1">+WORLDCUP!BD68</f>
        <v>RD Congo</v>
      </c>
      <c r="N316" s="16" t="s">
        <v>941</v>
      </c>
      <c r="O316" s="16">
        <v>315</v>
      </c>
      <c r="P316" s="16" t="s">
        <v>450</v>
      </c>
      <c r="Q316" s="16" t="s">
        <v>451</v>
      </c>
      <c r="R316" s="16" t="s">
        <v>91</v>
      </c>
      <c r="S316" s="16" t="s">
        <v>93</v>
      </c>
      <c r="T316" s="16" t="s">
        <v>90</v>
      </c>
      <c r="U316" s="16" t="s">
        <v>445</v>
      </c>
      <c r="V316" s="16" t="s">
        <v>453</v>
      </c>
      <c r="W316" s="16" t="s">
        <v>452</v>
      </c>
    </row>
    <row r="317" spans="1:23">
      <c r="A317" s="9" t="s">
        <v>940</v>
      </c>
      <c r="B317" s="9">
        <f ca="1">+IF(A317=WORLDCUP!$BI$112,1,0)</f>
        <v>0</v>
      </c>
      <c r="C317" s="9" t="str">
        <f ca="1">+WORLDCUP!BD65</f>
        <v>Arabia Saudita</v>
      </c>
      <c r="D317" s="9" t="str">
        <f ca="1">+WORLDCUP!BD67</f>
        <v>Austria</v>
      </c>
      <c r="E317" s="9" t="str">
        <f ca="1">+WORLDCUP!BD59</f>
        <v>Bosnia y Herzegovina</v>
      </c>
      <c r="F317" s="9" t="str">
        <f ca="1">+WORLDCUP!BD61</f>
        <v>Paraguay</v>
      </c>
      <c r="G317" s="9" t="str">
        <f ca="1">+WORLDCUP!BD58</f>
        <v>República Checa</v>
      </c>
      <c r="H317" s="9" t="str">
        <f ca="1">+WORLDCUP!BD64</f>
        <v>Irán</v>
      </c>
      <c r="I317" s="9" t="str">
        <f ca="1">+WORLDCUP!BD69</f>
        <v>Ghana</v>
      </c>
      <c r="J317" s="9" t="str">
        <f ca="1">+WORLDCUP!BD68</f>
        <v>RD Congo</v>
      </c>
      <c r="N317" s="16" t="s">
        <v>940</v>
      </c>
      <c r="O317" s="16">
        <v>316</v>
      </c>
      <c r="P317" s="16" t="s">
        <v>446</v>
      </c>
      <c r="Q317" s="16" t="s">
        <v>451</v>
      </c>
      <c r="R317" s="16" t="s">
        <v>91</v>
      </c>
      <c r="S317" s="16" t="s">
        <v>93</v>
      </c>
      <c r="T317" s="16" t="s">
        <v>90</v>
      </c>
      <c r="U317" s="16" t="s">
        <v>445</v>
      </c>
      <c r="V317" s="16" t="s">
        <v>453</v>
      </c>
      <c r="W317" s="16" t="s">
        <v>452</v>
      </c>
    </row>
    <row r="318" spans="1:23">
      <c r="A318" s="9" t="s">
        <v>939</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Ghana</v>
      </c>
      <c r="J318" s="9" t="str">
        <f ca="1">+WORLDCUP!BD68</f>
        <v>RD Congo</v>
      </c>
      <c r="N318" s="16" t="s">
        <v>939</v>
      </c>
      <c r="O318" s="16">
        <v>317</v>
      </c>
      <c r="P318" s="16" t="s">
        <v>450</v>
      </c>
      <c r="Q318" s="16" t="s">
        <v>445</v>
      </c>
      <c r="R318" s="16" t="s">
        <v>91</v>
      </c>
      <c r="S318" s="16" t="s">
        <v>93</v>
      </c>
      <c r="T318" s="16" t="s">
        <v>90</v>
      </c>
      <c r="U318" s="16" t="s">
        <v>446</v>
      </c>
      <c r="V318" s="16" t="s">
        <v>453</v>
      </c>
      <c r="W318" s="16" t="s">
        <v>452</v>
      </c>
    </row>
    <row r="319" spans="1:23">
      <c r="A319" s="9" t="s">
        <v>938</v>
      </c>
      <c r="B319" s="9">
        <f ca="1">+IF(A319=WORLDCUP!$BI$112,1,0)</f>
        <v>0</v>
      </c>
      <c r="C319" s="9" t="str">
        <f ca="1">+WORLDCUP!BD65</f>
        <v>Arabia Saudita</v>
      </c>
      <c r="D319" s="9" t="str">
        <f ca="1">+WORLDCUP!BD67</f>
        <v>Austria</v>
      </c>
      <c r="E319" s="9" t="str">
        <f ca="1">+WORLDCUP!BD59</f>
        <v>Bosnia y Herzegovina</v>
      </c>
      <c r="F319" s="9" t="str">
        <f ca="1">+WORLDCUP!BD61</f>
        <v>Paraguay</v>
      </c>
      <c r="G319" s="9" t="str">
        <f ca="1">+WORLDCUP!BD58</f>
        <v>República Checa</v>
      </c>
      <c r="H319" s="9" t="str">
        <f ca="1">+WORLDCUP!BD64</f>
        <v>Irán</v>
      </c>
      <c r="I319" s="9" t="str">
        <f ca="1">+WORLDCUP!BD69</f>
        <v>Ghana</v>
      </c>
      <c r="J319" s="9" t="str">
        <f ca="1">+WORLDCUP!BD66</f>
        <v>Senegal</v>
      </c>
      <c r="N319" s="16" t="s">
        <v>938</v>
      </c>
      <c r="O319" s="16">
        <v>318</v>
      </c>
      <c r="P319" s="16" t="s">
        <v>446</v>
      </c>
      <c r="Q319" s="16" t="s">
        <v>451</v>
      </c>
      <c r="R319" s="16" t="s">
        <v>91</v>
      </c>
      <c r="S319" s="16" t="s">
        <v>93</v>
      </c>
      <c r="T319" s="16" t="s">
        <v>90</v>
      </c>
      <c r="U319" s="16" t="s">
        <v>445</v>
      </c>
      <c r="V319" s="16" t="s">
        <v>453</v>
      </c>
      <c r="W319" s="16" t="s">
        <v>450</v>
      </c>
    </row>
    <row r="320" spans="1:23">
      <c r="A320" s="9" t="s">
        <v>937</v>
      </c>
      <c r="B320" s="9">
        <f ca="1">+IF(A320=WORLDCUP!$BI$112,1,0)</f>
        <v>0</v>
      </c>
      <c r="C320" s="9" t="str">
        <f ca="1">+WORLDCUP!BD65</f>
        <v>Arabia Saudita</v>
      </c>
      <c r="D320" s="9" t="str">
        <f ca="1">+WORLDCUP!BD67</f>
        <v>Austria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937</v>
      </c>
      <c r="O320" s="16">
        <v>319</v>
      </c>
      <c r="P320" s="16" t="s">
        <v>446</v>
      </c>
      <c r="Q320" s="16" t="s">
        <v>451</v>
      </c>
      <c r="R320" s="16" t="s">
        <v>91</v>
      </c>
      <c r="S320" s="16" t="s">
        <v>93</v>
      </c>
      <c r="T320" s="16" t="s">
        <v>90</v>
      </c>
      <c r="U320" s="16" t="s">
        <v>445</v>
      </c>
      <c r="V320" s="16" t="s">
        <v>450</v>
      </c>
      <c r="W320" s="16" t="s">
        <v>452</v>
      </c>
    </row>
    <row r="321" spans="1:23">
      <c r="A321" s="9" t="s">
        <v>936</v>
      </c>
      <c r="B321" s="9">
        <f ca="1">+IF(A321=WORLDCUP!$BI$112,1,0)</f>
        <v>0</v>
      </c>
      <c r="C321" s="9" t="str">
        <f ca="1">+WORLDCUP!BD66</f>
        <v>Senegal</v>
      </c>
      <c r="D321" s="9" t="str">
        <f ca="1">+WORLDCUP!BD67</f>
        <v>Austria</v>
      </c>
      <c r="E321" s="9" t="str">
        <f ca="1">+WORLDCUP!BD59</f>
        <v>Bosnia y Herzegovina</v>
      </c>
      <c r="F321" s="9" t="str">
        <f ca="1">+WORLDCUP!BD61</f>
        <v>Paraguay</v>
      </c>
      <c r="G321" s="9" t="str">
        <f ca="1">+WORLDCUP!BD58</f>
        <v>República Checa</v>
      </c>
      <c r="H321" s="9" t="str">
        <f ca="1">+WORLDCUP!BD63</f>
        <v>Suecia</v>
      </c>
      <c r="I321" s="9" t="str">
        <f ca="1">+WORLDCUP!BD69</f>
        <v>Ghana</v>
      </c>
      <c r="J321" s="9" t="str">
        <f ca="1">+WORLDCUP!BD68</f>
        <v>RD Congo</v>
      </c>
      <c r="N321" s="16" t="s">
        <v>936</v>
      </c>
      <c r="O321" s="16">
        <v>320</v>
      </c>
      <c r="P321" s="16" t="s">
        <v>450</v>
      </c>
      <c r="Q321" s="16" t="s">
        <v>451</v>
      </c>
      <c r="R321" s="16" t="s">
        <v>91</v>
      </c>
      <c r="S321" s="16" t="s">
        <v>93</v>
      </c>
      <c r="T321" s="16" t="s">
        <v>90</v>
      </c>
      <c r="U321" s="16" t="s">
        <v>95</v>
      </c>
      <c r="V321" s="16" t="s">
        <v>453</v>
      </c>
      <c r="W321" s="16" t="s">
        <v>452</v>
      </c>
    </row>
    <row r="322" spans="1:23">
      <c r="A322" s="9" t="s">
        <v>935</v>
      </c>
      <c r="B322" s="9">
        <f ca="1">+IF(A322=WORLDCUP!$BI$112,1,0)</f>
        <v>0</v>
      </c>
      <c r="C322" s="9" t="str">
        <f ca="1">+WORLDCUP!BD65</f>
        <v>Arabia Saudita</v>
      </c>
      <c r="D322" s="9" t="str">
        <f ca="1">+WORLDCUP!BD67</f>
        <v>Austria</v>
      </c>
      <c r="E322" s="9" t="str">
        <f ca="1">+WORLDCUP!BD59</f>
        <v>Bosnia y Herzegovina</v>
      </c>
      <c r="F322" s="9" t="str">
        <f ca="1">+WORLDCUP!BD61</f>
        <v>Paraguay</v>
      </c>
      <c r="G322" s="9" t="str">
        <f ca="1">+WORLDCUP!BD58</f>
        <v>República Checa</v>
      </c>
      <c r="H322" s="9" t="str">
        <f ca="1">+WORLDCUP!BD63</f>
        <v>Suecia</v>
      </c>
      <c r="I322" s="9" t="str">
        <f ca="1">+WORLDCUP!BD69</f>
        <v>Ghana</v>
      </c>
      <c r="J322" s="9" t="str">
        <f ca="1">+WORLDCUP!BD68</f>
        <v>RD Congo</v>
      </c>
      <c r="N322" s="16" t="s">
        <v>935</v>
      </c>
      <c r="O322" s="16">
        <v>321</v>
      </c>
      <c r="P322" s="16" t="s">
        <v>446</v>
      </c>
      <c r="Q322" s="16" t="s">
        <v>451</v>
      </c>
      <c r="R322" s="16" t="s">
        <v>91</v>
      </c>
      <c r="S322" s="16" t="s">
        <v>93</v>
      </c>
      <c r="T322" s="16" t="s">
        <v>90</v>
      </c>
      <c r="U322" s="16" t="s">
        <v>95</v>
      </c>
      <c r="V322" s="16" t="s">
        <v>453</v>
      </c>
      <c r="W322" s="16" t="s">
        <v>452</v>
      </c>
    </row>
    <row r="323" spans="1:23">
      <c r="A323" s="9" t="s">
        <v>934</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Ghana</v>
      </c>
      <c r="J323" s="9" t="str">
        <f ca="1">+WORLDCUP!BD68</f>
        <v>RD Congo</v>
      </c>
      <c r="N323" s="16" t="s">
        <v>934</v>
      </c>
      <c r="O323" s="16">
        <v>322</v>
      </c>
      <c r="P323" s="16" t="s">
        <v>446</v>
      </c>
      <c r="Q323" s="16" t="s">
        <v>450</v>
      </c>
      <c r="R323" s="16" t="s">
        <v>91</v>
      </c>
      <c r="S323" s="16" t="s">
        <v>93</v>
      </c>
      <c r="T323" s="16" t="s">
        <v>90</v>
      </c>
      <c r="U323" s="16" t="s">
        <v>95</v>
      </c>
      <c r="V323" s="16" t="s">
        <v>453</v>
      </c>
      <c r="W323" s="16" t="s">
        <v>452</v>
      </c>
    </row>
    <row r="324" spans="1:23">
      <c r="A324" s="9" t="s">
        <v>933</v>
      </c>
      <c r="B324" s="9">
        <f ca="1">+IF(A324=WORLDCUP!$BI$112,1,0)</f>
        <v>0</v>
      </c>
      <c r="C324" s="9" t="str">
        <f ca="1">+WORLDCUP!BD65</f>
        <v>Arabia Saudita</v>
      </c>
      <c r="D324" s="9" t="str">
        <f ca="1">+WORLDCUP!BD67</f>
        <v>Austria</v>
      </c>
      <c r="E324" s="9" t="str">
        <f ca="1">+WORLDCUP!BD59</f>
        <v>Bosnia y Herzegovina</v>
      </c>
      <c r="F324" s="9" t="str">
        <f ca="1">+WORLDCUP!BD61</f>
        <v>Paraguay</v>
      </c>
      <c r="G324" s="9" t="str">
        <f ca="1">+WORLDCUP!BD58</f>
        <v>República Checa</v>
      </c>
      <c r="H324" s="9" t="str">
        <f ca="1">+WORLDCUP!BD63</f>
        <v>Suecia</v>
      </c>
      <c r="I324" s="9" t="str">
        <f ca="1">+WORLDCUP!BD69</f>
        <v>Ghana</v>
      </c>
      <c r="J324" s="9" t="str">
        <f ca="1">+WORLDCUP!BD66</f>
        <v>Senegal</v>
      </c>
      <c r="N324" s="16" t="s">
        <v>933</v>
      </c>
      <c r="O324" s="16">
        <v>323</v>
      </c>
      <c r="P324" s="16" t="s">
        <v>446</v>
      </c>
      <c r="Q324" s="16" t="s">
        <v>451</v>
      </c>
      <c r="R324" s="16" t="s">
        <v>91</v>
      </c>
      <c r="S324" s="16" t="s">
        <v>93</v>
      </c>
      <c r="T324" s="16" t="s">
        <v>90</v>
      </c>
      <c r="U324" s="16" t="s">
        <v>95</v>
      </c>
      <c r="V324" s="16" t="s">
        <v>453</v>
      </c>
      <c r="W324" s="16" t="s">
        <v>450</v>
      </c>
    </row>
    <row r="325" spans="1:23">
      <c r="A325" s="9" t="s">
        <v>932</v>
      </c>
      <c r="B325" s="9">
        <f ca="1">+IF(A325=WORLDCUP!$BI$112,1,0)</f>
        <v>0</v>
      </c>
      <c r="C325" s="9" t="str">
        <f ca="1">+WORLDCUP!BD65</f>
        <v>Arabia Saudita</v>
      </c>
      <c r="D325" s="9" t="str">
        <f ca="1">+WORLDCUP!BD67</f>
        <v>Austria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932</v>
      </c>
      <c r="O325" s="16">
        <v>324</v>
      </c>
      <c r="P325" s="16" t="s">
        <v>446</v>
      </c>
      <c r="Q325" s="16" t="s">
        <v>451</v>
      </c>
      <c r="R325" s="16" t="s">
        <v>91</v>
      </c>
      <c r="S325" s="16" t="s">
        <v>93</v>
      </c>
      <c r="T325" s="16" t="s">
        <v>90</v>
      </c>
      <c r="U325" s="16" t="s">
        <v>95</v>
      </c>
      <c r="V325" s="16" t="s">
        <v>450</v>
      </c>
      <c r="W325" s="16" t="s">
        <v>452</v>
      </c>
    </row>
    <row r="326" spans="1:23">
      <c r="A326" s="9" t="s">
        <v>931</v>
      </c>
      <c r="B326" s="9">
        <f ca="1">+IF(A326=WORLDCUP!$BI$112,1,0)</f>
        <v>0</v>
      </c>
      <c r="C326" s="9" t="str">
        <f ca="1">+WORLDCUP!BD63</f>
        <v>Suecia</v>
      </c>
      <c r="D326" s="9" t="str">
        <f ca="1">+WORLDCUP!BD67</f>
        <v>Austria</v>
      </c>
      <c r="E326" s="9" t="str">
        <f ca="1">+WORLDCUP!BD59</f>
        <v>Bosnia y Herzegovina</v>
      </c>
      <c r="F326" s="9" t="str">
        <f ca="1">+WORLDCUP!BD61</f>
        <v>Paraguay</v>
      </c>
      <c r="G326" s="9" t="str">
        <f ca="1">+WORLDCUP!BD58</f>
        <v>República Checa</v>
      </c>
      <c r="H326" s="9" t="str">
        <f ca="1">+WORLDCUP!BD64</f>
        <v>Irán</v>
      </c>
      <c r="I326" s="9" t="str">
        <f ca="1">+WORLDCUP!BD69</f>
        <v>Ghana</v>
      </c>
      <c r="J326" s="9" t="str">
        <f ca="1">+WORLDCUP!BD68</f>
        <v>RD Congo</v>
      </c>
      <c r="N326" s="16" t="s">
        <v>931</v>
      </c>
      <c r="O326" s="16">
        <v>325</v>
      </c>
      <c r="P326" s="16" t="s">
        <v>95</v>
      </c>
      <c r="Q326" s="16" t="s">
        <v>451</v>
      </c>
      <c r="R326" s="16" t="s">
        <v>91</v>
      </c>
      <c r="S326" s="16" t="s">
        <v>93</v>
      </c>
      <c r="T326" s="16" t="s">
        <v>90</v>
      </c>
      <c r="U326" s="16" t="s">
        <v>445</v>
      </c>
      <c r="V326" s="16" t="s">
        <v>453</v>
      </c>
      <c r="W326" s="16" t="s">
        <v>452</v>
      </c>
    </row>
    <row r="327" spans="1:23">
      <c r="A327" s="9" t="s">
        <v>930</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Suecia</v>
      </c>
      <c r="I327" s="9" t="str">
        <f ca="1">+WORLDCUP!BD69</f>
        <v>Ghana</v>
      </c>
      <c r="J327" s="9" t="str">
        <f ca="1">+WORLDCUP!BD68</f>
        <v>RD Congo</v>
      </c>
      <c r="N327" s="16" t="s">
        <v>930</v>
      </c>
      <c r="O327" s="16">
        <v>326</v>
      </c>
      <c r="P327" s="16" t="s">
        <v>450</v>
      </c>
      <c r="Q327" s="16" t="s">
        <v>445</v>
      </c>
      <c r="R327" s="16" t="s">
        <v>91</v>
      </c>
      <c r="S327" s="16" t="s">
        <v>93</v>
      </c>
      <c r="T327" s="16" t="s">
        <v>90</v>
      </c>
      <c r="U327" s="16" t="s">
        <v>95</v>
      </c>
      <c r="V327" s="16" t="s">
        <v>453</v>
      </c>
      <c r="W327" s="16" t="s">
        <v>452</v>
      </c>
    </row>
    <row r="328" spans="1:23">
      <c r="A328" s="9" t="s">
        <v>929</v>
      </c>
      <c r="B328" s="9">
        <f ca="1">+IF(A328=WORLDCUP!$BI$112,1,0)</f>
        <v>0</v>
      </c>
      <c r="C328" s="9" t="str">
        <f ca="1">+WORLDCUP!BD63</f>
        <v>Suecia</v>
      </c>
      <c r="D328" s="9" t="str">
        <f ca="1">+WORLDCUP!BD67</f>
        <v>Austria</v>
      </c>
      <c r="E328" s="9" t="str">
        <f ca="1">+WORLDCUP!BD59</f>
        <v>Bosnia y Herzegovina</v>
      </c>
      <c r="F328" s="9" t="str">
        <f ca="1">+WORLDCUP!BD61</f>
        <v>Paraguay</v>
      </c>
      <c r="G328" s="9" t="str">
        <f ca="1">+WORLDCUP!BD58</f>
        <v>República Checa</v>
      </c>
      <c r="H328" s="9" t="str">
        <f ca="1">+WORLDCUP!BD64</f>
        <v>Irán</v>
      </c>
      <c r="I328" s="9" t="str">
        <f ca="1">+WORLDCUP!BD69</f>
        <v>Ghana</v>
      </c>
      <c r="J328" s="9" t="str">
        <f ca="1">+WORLDCUP!BD66</f>
        <v>Senegal</v>
      </c>
      <c r="N328" s="16" t="s">
        <v>929</v>
      </c>
      <c r="O328" s="16">
        <v>327</v>
      </c>
      <c r="P328" s="16" t="s">
        <v>95</v>
      </c>
      <c r="Q328" s="16" t="s">
        <v>451</v>
      </c>
      <c r="R328" s="16" t="s">
        <v>91</v>
      </c>
      <c r="S328" s="16" t="s">
        <v>93</v>
      </c>
      <c r="T328" s="16" t="s">
        <v>90</v>
      </c>
      <c r="U328" s="16" t="s">
        <v>445</v>
      </c>
      <c r="V328" s="16" t="s">
        <v>453</v>
      </c>
      <c r="W328" s="16" t="s">
        <v>450</v>
      </c>
    </row>
    <row r="329" spans="1:23">
      <c r="A329" s="9" t="s">
        <v>928</v>
      </c>
      <c r="B329" s="9">
        <f ca="1">+IF(A329=WORLDCUP!$BI$112,1,0)</f>
        <v>0</v>
      </c>
      <c r="C329" s="9" t="str">
        <f ca="1">+WORLDCUP!BD63</f>
        <v>Suecia</v>
      </c>
      <c r="D329" s="9" t="str">
        <f ca="1">+WORLDCUP!BD67</f>
        <v>Austria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928</v>
      </c>
      <c r="O329" s="16">
        <v>328</v>
      </c>
      <c r="P329" s="16" t="s">
        <v>95</v>
      </c>
      <c r="Q329" s="16" t="s">
        <v>451</v>
      </c>
      <c r="R329" s="16" t="s">
        <v>91</v>
      </c>
      <c r="S329" s="16" t="s">
        <v>93</v>
      </c>
      <c r="T329" s="16" t="s">
        <v>90</v>
      </c>
      <c r="U329" s="16" t="s">
        <v>445</v>
      </c>
      <c r="V329" s="16" t="s">
        <v>450</v>
      </c>
      <c r="W329" s="16" t="s">
        <v>452</v>
      </c>
    </row>
    <row r="330" spans="1:23">
      <c r="A330" s="9" t="s">
        <v>927</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Suecia</v>
      </c>
      <c r="I330" s="9" t="str">
        <f ca="1">+WORLDCUP!BD69</f>
        <v>Ghana</v>
      </c>
      <c r="J330" s="9" t="str">
        <f ca="1">+WORLDCUP!BD68</f>
        <v>RD Congo</v>
      </c>
      <c r="N330" s="16" t="s">
        <v>927</v>
      </c>
      <c r="O330" s="16">
        <v>329</v>
      </c>
      <c r="P330" s="16" t="s">
        <v>446</v>
      </c>
      <c r="Q330" s="16" t="s">
        <v>445</v>
      </c>
      <c r="R330" s="16" t="s">
        <v>91</v>
      </c>
      <c r="S330" s="16" t="s">
        <v>93</v>
      </c>
      <c r="T330" s="16" t="s">
        <v>90</v>
      </c>
      <c r="U330" s="16" t="s">
        <v>95</v>
      </c>
      <c r="V330" s="16" t="s">
        <v>453</v>
      </c>
      <c r="W330" s="16" t="s">
        <v>452</v>
      </c>
    </row>
    <row r="331" spans="1:23">
      <c r="A331" s="9" t="s">
        <v>926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Suecia</v>
      </c>
      <c r="I331" s="9" t="str">
        <f ca="1">+WORLDCUP!BD69</f>
        <v>Ghana</v>
      </c>
      <c r="J331" s="9" t="str">
        <f ca="1">+WORLDCUP!BD67</f>
        <v>Austria</v>
      </c>
      <c r="N331" s="16" t="s">
        <v>926</v>
      </c>
      <c r="O331" s="16">
        <v>330</v>
      </c>
      <c r="P331" s="16" t="s">
        <v>446</v>
      </c>
      <c r="Q331" s="16" t="s">
        <v>445</v>
      </c>
      <c r="R331" s="16" t="s">
        <v>91</v>
      </c>
      <c r="S331" s="16" t="s">
        <v>93</v>
      </c>
      <c r="T331" s="16" t="s">
        <v>90</v>
      </c>
      <c r="U331" s="16" t="s">
        <v>95</v>
      </c>
      <c r="V331" s="16" t="s">
        <v>453</v>
      </c>
      <c r="W331" s="16" t="s">
        <v>451</v>
      </c>
    </row>
    <row r="332" spans="1:23">
      <c r="A332" s="9" t="s">
        <v>925</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Suecia</v>
      </c>
      <c r="I332" s="9" t="str">
        <f ca="1">+WORLDCUP!BD67</f>
        <v>Austria</v>
      </c>
      <c r="J332" s="9" t="str">
        <f ca="1">+WORLDCUP!BD68</f>
        <v>RD Congo</v>
      </c>
      <c r="N332" s="16" t="s">
        <v>925</v>
      </c>
      <c r="O332" s="16">
        <v>331</v>
      </c>
      <c r="P332" s="16" t="s">
        <v>446</v>
      </c>
      <c r="Q332" s="16" t="s">
        <v>445</v>
      </c>
      <c r="R332" s="16" t="s">
        <v>91</v>
      </c>
      <c r="S332" s="16" t="s">
        <v>93</v>
      </c>
      <c r="T332" s="16" t="s">
        <v>90</v>
      </c>
      <c r="U332" s="16" t="s">
        <v>95</v>
      </c>
      <c r="V332" s="16" t="s">
        <v>451</v>
      </c>
      <c r="W332" s="16" t="s">
        <v>452</v>
      </c>
    </row>
    <row r="333" spans="1:23">
      <c r="A333" s="9" t="s">
        <v>924</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Suecia</v>
      </c>
      <c r="I333" s="9" t="str">
        <f ca="1">+WORLDCUP!BD69</f>
        <v>Ghana</v>
      </c>
      <c r="J333" s="9" t="str">
        <f ca="1">+WORLDCUP!BD66</f>
        <v>Senegal</v>
      </c>
      <c r="N333" s="16" t="s">
        <v>924</v>
      </c>
      <c r="O333" s="16">
        <v>332</v>
      </c>
      <c r="P333" s="16" t="s">
        <v>446</v>
      </c>
      <c r="Q333" s="16" t="s">
        <v>445</v>
      </c>
      <c r="R333" s="16" t="s">
        <v>91</v>
      </c>
      <c r="S333" s="16" t="s">
        <v>93</v>
      </c>
      <c r="T333" s="16" t="s">
        <v>90</v>
      </c>
      <c r="U333" s="16" t="s">
        <v>95</v>
      </c>
      <c r="V333" s="16" t="s">
        <v>453</v>
      </c>
      <c r="W333" s="16" t="s">
        <v>450</v>
      </c>
    </row>
    <row r="334" spans="1:23">
      <c r="A334" s="9" t="s">
        <v>923</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923</v>
      </c>
      <c r="O334" s="16">
        <v>333</v>
      </c>
      <c r="P334" s="16" t="s">
        <v>446</v>
      </c>
      <c r="Q334" s="16" t="s">
        <v>445</v>
      </c>
      <c r="R334" s="16" t="s">
        <v>91</v>
      </c>
      <c r="S334" s="16" t="s">
        <v>93</v>
      </c>
      <c r="T334" s="16" t="s">
        <v>90</v>
      </c>
      <c r="U334" s="16" t="s">
        <v>95</v>
      </c>
      <c r="V334" s="16" t="s">
        <v>450</v>
      </c>
      <c r="W334" s="16" t="s">
        <v>452</v>
      </c>
    </row>
    <row r="335" spans="1:23">
      <c r="A335" s="9" t="s">
        <v>922</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Austria</v>
      </c>
      <c r="N335" s="16" t="s">
        <v>922</v>
      </c>
      <c r="O335" s="16">
        <v>334</v>
      </c>
      <c r="P335" s="16" t="s">
        <v>446</v>
      </c>
      <c r="Q335" s="16" t="s">
        <v>445</v>
      </c>
      <c r="R335" s="16" t="s">
        <v>91</v>
      </c>
      <c r="S335" s="16" t="s">
        <v>93</v>
      </c>
      <c r="T335" s="16" t="s">
        <v>90</v>
      </c>
      <c r="U335" s="16" t="s">
        <v>95</v>
      </c>
      <c r="V335" s="16" t="s">
        <v>450</v>
      </c>
      <c r="W335" s="16" t="s">
        <v>451</v>
      </c>
    </row>
    <row r="336" spans="1:23">
      <c r="A336" s="9" t="s">
        <v>921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Paraguay</v>
      </c>
      <c r="I336" s="9" t="str">
        <f ca="1">+WORLDCUP!BD69</f>
        <v>Ghana</v>
      </c>
      <c r="J336" s="9" t="str">
        <f ca="1">+WORLDCUP!BD68</f>
        <v>RD Congo</v>
      </c>
      <c r="N336" s="16" t="s">
        <v>921</v>
      </c>
      <c r="O336" s="16">
        <v>335</v>
      </c>
      <c r="P336" s="16" t="s">
        <v>94</v>
      </c>
      <c r="Q336" s="16" t="s">
        <v>451</v>
      </c>
      <c r="R336" s="16" t="s">
        <v>91</v>
      </c>
      <c r="S336" s="16" t="s">
        <v>90</v>
      </c>
      <c r="T336" s="16" t="s">
        <v>450</v>
      </c>
      <c r="U336" s="16" t="s">
        <v>93</v>
      </c>
      <c r="V336" s="16" t="s">
        <v>453</v>
      </c>
      <c r="W336" s="16" t="s">
        <v>452</v>
      </c>
    </row>
    <row r="337" spans="1:23">
      <c r="A337" s="9" t="s">
        <v>920</v>
      </c>
      <c r="B337" s="9">
        <f ca="1">+IF(A337=WORLDCUP!$BI$112,1,0)</f>
        <v>0</v>
      </c>
      <c r="C337" s="9" t="str">
        <f ca="1">+WORLDCUP!BD62</f>
        <v>Ecuador</v>
      </c>
      <c r="D337" s="9" t="str">
        <f ca="1">+WORLDCUP!BD67</f>
        <v>Austria</v>
      </c>
      <c r="E337" s="9" t="str">
        <f ca="1">+WORLDCUP!BD59</f>
        <v>Bosnia y Herzegovina</v>
      </c>
      <c r="F337" s="9" t="str">
        <f ca="1">+WORLDCUP!BD61</f>
        <v>Paraguay</v>
      </c>
      <c r="G337" s="9" t="str">
        <f ca="1">+WORLDCUP!BD58</f>
        <v>República Checa</v>
      </c>
      <c r="H337" s="9" t="str">
        <f ca="1">+WORLDCUP!BD65</f>
        <v>Arabia Saudita</v>
      </c>
      <c r="I337" s="9" t="str">
        <f ca="1">+WORLDCUP!BD69</f>
        <v>Ghana</v>
      </c>
      <c r="J337" s="9" t="str">
        <f ca="1">+WORLDCUP!BD68</f>
        <v>RD Congo</v>
      </c>
      <c r="N337" s="16" t="s">
        <v>920</v>
      </c>
      <c r="O337" s="16">
        <v>336</v>
      </c>
      <c r="P337" s="16" t="s">
        <v>94</v>
      </c>
      <c r="Q337" s="16" t="s">
        <v>451</v>
      </c>
      <c r="R337" s="16" t="s">
        <v>91</v>
      </c>
      <c r="S337" s="16" t="s">
        <v>93</v>
      </c>
      <c r="T337" s="16" t="s">
        <v>90</v>
      </c>
      <c r="U337" s="16" t="s">
        <v>446</v>
      </c>
      <c r="V337" s="16" t="s">
        <v>453</v>
      </c>
      <c r="W337" s="16" t="s">
        <v>452</v>
      </c>
    </row>
    <row r="338" spans="1:23">
      <c r="A338" s="9" t="s">
        <v>919</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Ghana</v>
      </c>
      <c r="J338" s="9" t="str">
        <f ca="1">+WORLDCUP!BD68</f>
        <v>RD Congo</v>
      </c>
      <c r="N338" s="16" t="s">
        <v>919</v>
      </c>
      <c r="O338" s="16">
        <v>337</v>
      </c>
      <c r="P338" s="16" t="s">
        <v>94</v>
      </c>
      <c r="Q338" s="16" t="s">
        <v>450</v>
      </c>
      <c r="R338" s="16" t="s">
        <v>91</v>
      </c>
      <c r="S338" s="16" t="s">
        <v>93</v>
      </c>
      <c r="T338" s="16" t="s">
        <v>90</v>
      </c>
      <c r="U338" s="16" t="s">
        <v>446</v>
      </c>
      <c r="V338" s="16" t="s">
        <v>453</v>
      </c>
      <c r="W338" s="16" t="s">
        <v>452</v>
      </c>
    </row>
    <row r="339" spans="1:23">
      <c r="A339" s="9" t="s">
        <v>918</v>
      </c>
      <c r="B339" s="9">
        <f ca="1">+IF(A339=WORLDCUP!$BI$112,1,0)</f>
        <v>0</v>
      </c>
      <c r="C339" s="9" t="str">
        <f ca="1">+WORLDCUP!BD62</f>
        <v>Ecuador</v>
      </c>
      <c r="D339" s="9" t="str">
        <f ca="1">+WORLDCUP!BD67</f>
        <v>Austria</v>
      </c>
      <c r="E339" s="9" t="str">
        <f ca="1">+WORLDCUP!BD59</f>
        <v>Bosnia y Herzegovina</v>
      </c>
      <c r="F339" s="9" t="str">
        <f ca="1">+WORLDCUP!BD61</f>
        <v>Paraguay</v>
      </c>
      <c r="G339" s="9" t="str">
        <f ca="1">+WORLDCUP!BD58</f>
        <v>República Checa</v>
      </c>
      <c r="H339" s="9" t="str">
        <f ca="1">+WORLDCUP!BD65</f>
        <v>Arabia Saudita</v>
      </c>
      <c r="I339" s="9" t="str">
        <f ca="1">+WORLDCUP!BD69</f>
        <v>Ghana</v>
      </c>
      <c r="J339" s="9" t="str">
        <f ca="1">+WORLDCUP!BD66</f>
        <v>Senegal</v>
      </c>
      <c r="N339" s="16" t="s">
        <v>918</v>
      </c>
      <c r="O339" s="16">
        <v>338</v>
      </c>
      <c r="P339" s="16" t="s">
        <v>94</v>
      </c>
      <c r="Q339" s="16" t="s">
        <v>451</v>
      </c>
      <c r="R339" s="16" t="s">
        <v>91</v>
      </c>
      <c r="S339" s="16" t="s">
        <v>93</v>
      </c>
      <c r="T339" s="16" t="s">
        <v>90</v>
      </c>
      <c r="U339" s="16" t="s">
        <v>446</v>
      </c>
      <c r="V339" s="16" t="s">
        <v>453</v>
      </c>
      <c r="W339" s="16" t="s">
        <v>450</v>
      </c>
    </row>
    <row r="340" spans="1:23">
      <c r="A340" s="9" t="s">
        <v>917</v>
      </c>
      <c r="B340" s="9">
        <f ca="1">+IF(A340=WORLDCUP!$BI$112,1,0)</f>
        <v>0</v>
      </c>
      <c r="C340" s="9" t="str">
        <f ca="1">+WORLDCUP!BD62</f>
        <v>Ecuador</v>
      </c>
      <c r="D340" s="9" t="str">
        <f ca="1">+WORLDCUP!BD67</f>
        <v>Austria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917</v>
      </c>
      <c r="O340" s="16">
        <v>339</v>
      </c>
      <c r="P340" s="16" t="s">
        <v>94</v>
      </c>
      <c r="Q340" s="16" t="s">
        <v>451</v>
      </c>
      <c r="R340" s="16" t="s">
        <v>91</v>
      </c>
      <c r="S340" s="16" t="s">
        <v>93</v>
      </c>
      <c r="T340" s="16" t="s">
        <v>90</v>
      </c>
      <c r="U340" s="16" t="s">
        <v>446</v>
      </c>
      <c r="V340" s="16" t="s">
        <v>450</v>
      </c>
      <c r="W340" s="16" t="s">
        <v>452</v>
      </c>
    </row>
    <row r="341" spans="1:23">
      <c r="A341" s="9" t="s">
        <v>916</v>
      </c>
      <c r="B341" s="9">
        <f ca="1">+IF(A341=WORLDCUP!$BI$112,1,0)</f>
        <v>0</v>
      </c>
      <c r="C341" s="9" t="str">
        <f ca="1">+WORLDCUP!BD62</f>
        <v>Ecuador</v>
      </c>
      <c r="D341" s="9" t="str">
        <f ca="1">+WORLDCUP!BD67</f>
        <v>Austria</v>
      </c>
      <c r="E341" s="9" t="str">
        <f ca="1">+WORLDCUP!BD59</f>
        <v>Bosnia y Herzegovina</v>
      </c>
      <c r="F341" s="9" t="str">
        <f ca="1">+WORLDCUP!BD61</f>
        <v>Paraguay</v>
      </c>
      <c r="G341" s="9" t="str">
        <f ca="1">+WORLDCUP!BD58</f>
        <v>República Checa</v>
      </c>
      <c r="H341" s="9" t="str">
        <f ca="1">+WORLDCUP!BD64</f>
        <v>Irán</v>
      </c>
      <c r="I341" s="9" t="str">
        <f ca="1">+WORLDCUP!BD69</f>
        <v>Ghana</v>
      </c>
      <c r="J341" s="9" t="str">
        <f ca="1">+WORLDCUP!BD68</f>
        <v>RD Congo</v>
      </c>
      <c r="N341" s="16" t="s">
        <v>916</v>
      </c>
      <c r="O341" s="16">
        <v>340</v>
      </c>
      <c r="P341" s="16" t="s">
        <v>94</v>
      </c>
      <c r="Q341" s="16" t="s">
        <v>451</v>
      </c>
      <c r="R341" s="16" t="s">
        <v>91</v>
      </c>
      <c r="S341" s="16" t="s">
        <v>93</v>
      </c>
      <c r="T341" s="16" t="s">
        <v>90</v>
      </c>
      <c r="U341" s="16" t="s">
        <v>445</v>
      </c>
      <c r="V341" s="16" t="s">
        <v>453</v>
      </c>
      <c r="W341" s="16" t="s">
        <v>452</v>
      </c>
    </row>
    <row r="342" spans="1:23">
      <c r="A342" s="9" t="s">
        <v>915</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Ghana</v>
      </c>
      <c r="J342" s="9" t="str">
        <f ca="1">+WORLDCUP!BD68</f>
        <v>RD Congo</v>
      </c>
      <c r="N342" s="16" t="s">
        <v>915</v>
      </c>
      <c r="O342" s="16">
        <v>341</v>
      </c>
      <c r="P342" s="16" t="s">
        <v>94</v>
      </c>
      <c r="Q342" s="16" t="s">
        <v>445</v>
      </c>
      <c r="R342" s="16" t="s">
        <v>91</v>
      </c>
      <c r="S342" s="16" t="s">
        <v>90</v>
      </c>
      <c r="T342" s="16" t="s">
        <v>450</v>
      </c>
      <c r="U342" s="16" t="s">
        <v>93</v>
      </c>
      <c r="V342" s="16" t="s">
        <v>453</v>
      </c>
      <c r="W342" s="16" t="s">
        <v>452</v>
      </c>
    </row>
    <row r="343" spans="1:23">
      <c r="A343" s="9" t="s">
        <v>914</v>
      </c>
      <c r="B343" s="9">
        <f ca="1">+IF(A343=WORLDCUP!$BI$112,1,0)</f>
        <v>0</v>
      </c>
      <c r="C343" s="9" t="str">
        <f ca="1">+WORLDCUP!BD62</f>
        <v>Ecuador</v>
      </c>
      <c r="D343" s="9" t="str">
        <f ca="1">+WORLDCUP!BD67</f>
        <v>Austria</v>
      </c>
      <c r="E343" s="9" t="str">
        <f ca="1">+WORLDCUP!BD59</f>
        <v>Bosnia y Herzegovina</v>
      </c>
      <c r="F343" s="9" t="str">
        <f ca="1">+WORLDCUP!BD61</f>
        <v>Paraguay</v>
      </c>
      <c r="G343" s="9" t="str">
        <f ca="1">+WORLDCUP!BD58</f>
        <v>República Checa</v>
      </c>
      <c r="H343" s="9" t="str">
        <f ca="1">+WORLDCUP!BD64</f>
        <v>Irán</v>
      </c>
      <c r="I343" s="9" t="str">
        <f ca="1">+WORLDCUP!BD69</f>
        <v>Ghana</v>
      </c>
      <c r="J343" s="9" t="str">
        <f ca="1">+WORLDCUP!BD66</f>
        <v>Senegal</v>
      </c>
      <c r="N343" s="16" t="s">
        <v>914</v>
      </c>
      <c r="O343" s="16">
        <v>342</v>
      </c>
      <c r="P343" s="16" t="s">
        <v>94</v>
      </c>
      <c r="Q343" s="16" t="s">
        <v>451</v>
      </c>
      <c r="R343" s="16" t="s">
        <v>91</v>
      </c>
      <c r="S343" s="16" t="s">
        <v>93</v>
      </c>
      <c r="T343" s="16" t="s">
        <v>90</v>
      </c>
      <c r="U343" s="16" t="s">
        <v>445</v>
      </c>
      <c r="V343" s="16" t="s">
        <v>453</v>
      </c>
      <c r="W343" s="16" t="s">
        <v>450</v>
      </c>
    </row>
    <row r="344" spans="1:23">
      <c r="A344" s="9" t="s">
        <v>913</v>
      </c>
      <c r="B344" s="9">
        <f ca="1">+IF(A344=WORLDCUP!$BI$112,1,0)</f>
        <v>0</v>
      </c>
      <c r="C344" s="9" t="str">
        <f ca="1">+WORLDCUP!BD62</f>
        <v>Ecuador</v>
      </c>
      <c r="D344" s="9" t="str">
        <f ca="1">+WORLDCUP!BD67</f>
        <v>Austria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913</v>
      </c>
      <c r="O344" s="16">
        <v>343</v>
      </c>
      <c r="P344" s="16" t="s">
        <v>94</v>
      </c>
      <c r="Q344" s="16" t="s">
        <v>451</v>
      </c>
      <c r="R344" s="16" t="s">
        <v>91</v>
      </c>
      <c r="S344" s="16" t="s">
        <v>93</v>
      </c>
      <c r="T344" s="16" t="s">
        <v>90</v>
      </c>
      <c r="U344" s="16" t="s">
        <v>445</v>
      </c>
      <c r="V344" s="16" t="s">
        <v>450</v>
      </c>
      <c r="W344" s="16" t="s">
        <v>452</v>
      </c>
    </row>
    <row r="345" spans="1:23">
      <c r="A345" s="9" t="s">
        <v>912</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Ghana</v>
      </c>
      <c r="J345" s="9" t="str">
        <f ca="1">+WORLDCUP!BD68</f>
        <v>RD Congo</v>
      </c>
      <c r="N345" s="16" t="s">
        <v>912</v>
      </c>
      <c r="O345" s="16">
        <v>344</v>
      </c>
      <c r="P345" s="16" t="s">
        <v>94</v>
      </c>
      <c r="Q345" s="16" t="s">
        <v>445</v>
      </c>
      <c r="R345" s="16" t="s">
        <v>91</v>
      </c>
      <c r="S345" s="16" t="s">
        <v>93</v>
      </c>
      <c r="T345" s="16" t="s">
        <v>90</v>
      </c>
      <c r="U345" s="16" t="s">
        <v>446</v>
      </c>
      <c r="V345" s="16" t="s">
        <v>453</v>
      </c>
      <c r="W345" s="16" t="s">
        <v>452</v>
      </c>
    </row>
    <row r="346" spans="1:23">
      <c r="A346" s="9" t="s">
        <v>911</v>
      </c>
      <c r="B346" s="9">
        <f ca="1">+IF(A346=WORLDCUP!$BI$112,1,0)</f>
        <v>0</v>
      </c>
      <c r="C346" s="9" t="str">
        <f ca="1">+WORLDCUP!BD65</f>
        <v>Arabia Saudita</v>
      </c>
      <c r="D346" s="9" t="str">
        <f ca="1">+WORLDCUP!BD67</f>
        <v>Austria</v>
      </c>
      <c r="E346" s="9" t="str">
        <f ca="1">+WORLDCUP!BD59</f>
        <v>Bosnia y Herzegovina</v>
      </c>
      <c r="F346" s="9" t="str">
        <f ca="1">+WORLDCUP!BD61</f>
        <v>Paraguay</v>
      </c>
      <c r="G346" s="9" t="str">
        <f ca="1">+WORLDCUP!BD58</f>
        <v>República Checa</v>
      </c>
      <c r="H346" s="9" t="str">
        <f ca="1">+WORLDCUP!BD64</f>
        <v>Irán</v>
      </c>
      <c r="I346" s="9" t="str">
        <f ca="1">+WORLDCUP!BD69</f>
        <v>Ghana</v>
      </c>
      <c r="J346" s="9" t="str">
        <f ca="1">+WORLDCUP!BD62</f>
        <v>Ecuador</v>
      </c>
      <c r="N346" s="16" t="s">
        <v>911</v>
      </c>
      <c r="O346" s="16">
        <v>345</v>
      </c>
      <c r="P346" s="16" t="s">
        <v>446</v>
      </c>
      <c r="Q346" s="16" t="s">
        <v>451</v>
      </c>
      <c r="R346" s="16" t="s">
        <v>91</v>
      </c>
      <c r="S346" s="16" t="s">
        <v>93</v>
      </c>
      <c r="T346" s="16" t="s">
        <v>90</v>
      </c>
      <c r="U346" s="16" t="s">
        <v>445</v>
      </c>
      <c r="V346" s="16" t="s">
        <v>453</v>
      </c>
      <c r="W346" s="16" t="s">
        <v>94</v>
      </c>
    </row>
    <row r="347" spans="1:23">
      <c r="A347" s="9" t="s">
        <v>910</v>
      </c>
      <c r="B347" s="9">
        <f ca="1">+IF(A347=WORLDCUP!$BI$112,1,0)</f>
        <v>0</v>
      </c>
      <c r="C347" s="9" t="str">
        <f ca="1">+WORLDCUP!BD65</f>
        <v>Arabia Saudita</v>
      </c>
      <c r="D347" s="9" t="str">
        <f ca="1">+WORLDCUP!BD67</f>
        <v>Austria</v>
      </c>
      <c r="E347" s="9" t="str">
        <f ca="1">+WORLDCUP!BD59</f>
        <v>Bosnia y Herzegovina</v>
      </c>
      <c r="F347" s="9" t="str">
        <f ca="1">+WORLDCUP!BD61</f>
        <v>Paraguay</v>
      </c>
      <c r="G347" s="9" t="str">
        <f ca="1">+WORLDCUP!BD58</f>
        <v>República Checa</v>
      </c>
      <c r="H347" s="9" t="str">
        <f ca="1">+WORLDCUP!BD64</f>
        <v>Irán</v>
      </c>
      <c r="I347" s="9" t="str">
        <f ca="1">+WORLDCUP!BD62</f>
        <v>Ecuador</v>
      </c>
      <c r="J347" s="9" t="str">
        <f ca="1">+WORLDCUP!BD68</f>
        <v>RD Congo</v>
      </c>
      <c r="N347" s="16" t="s">
        <v>910</v>
      </c>
      <c r="O347" s="16">
        <v>346</v>
      </c>
      <c r="P347" s="16" t="s">
        <v>446</v>
      </c>
      <c r="Q347" s="16" t="s">
        <v>451</v>
      </c>
      <c r="R347" s="16" t="s">
        <v>91</v>
      </c>
      <c r="S347" s="16" t="s">
        <v>93</v>
      </c>
      <c r="T347" s="16" t="s">
        <v>90</v>
      </c>
      <c r="U347" s="16" t="s">
        <v>445</v>
      </c>
      <c r="V347" s="16" t="s">
        <v>94</v>
      </c>
      <c r="W347" s="16" t="s">
        <v>452</v>
      </c>
    </row>
    <row r="348" spans="1:23">
      <c r="A348" s="9" t="s">
        <v>909</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Ghana</v>
      </c>
      <c r="J348" s="9" t="str">
        <f ca="1">+WORLDCUP!BD66</f>
        <v>Senegal</v>
      </c>
      <c r="N348" s="16" t="s">
        <v>909</v>
      </c>
      <c r="O348" s="16">
        <v>347</v>
      </c>
      <c r="P348" s="16" t="s">
        <v>94</v>
      </c>
      <c r="Q348" s="16" t="s">
        <v>445</v>
      </c>
      <c r="R348" s="16" t="s">
        <v>91</v>
      </c>
      <c r="S348" s="16" t="s">
        <v>93</v>
      </c>
      <c r="T348" s="16" t="s">
        <v>90</v>
      </c>
      <c r="U348" s="16" t="s">
        <v>446</v>
      </c>
      <c r="V348" s="16" t="s">
        <v>453</v>
      </c>
      <c r="W348" s="16" t="s">
        <v>450</v>
      </c>
    </row>
    <row r="349" spans="1:23">
      <c r="A349" s="9" t="s">
        <v>908</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908</v>
      </c>
      <c r="O349" s="16">
        <v>348</v>
      </c>
      <c r="P349" s="16" t="s">
        <v>94</v>
      </c>
      <c r="Q349" s="16" t="s">
        <v>445</v>
      </c>
      <c r="R349" s="16" t="s">
        <v>91</v>
      </c>
      <c r="S349" s="16" t="s">
        <v>93</v>
      </c>
      <c r="T349" s="16" t="s">
        <v>90</v>
      </c>
      <c r="U349" s="16" t="s">
        <v>446</v>
      </c>
      <c r="V349" s="16" t="s">
        <v>450</v>
      </c>
      <c r="W349" s="16" t="s">
        <v>452</v>
      </c>
    </row>
    <row r="350" spans="1:23">
      <c r="A350" s="9" t="s">
        <v>907</v>
      </c>
      <c r="B350" s="9">
        <f ca="1">+IF(A350=WORLDCUP!$BI$112,1,0)</f>
        <v>0</v>
      </c>
      <c r="C350" s="9" t="str">
        <f ca="1">+WORLDCUP!BD65</f>
        <v>Arabia Saudita</v>
      </c>
      <c r="D350" s="9" t="str">
        <f ca="1">+WORLDCUP!BD67</f>
        <v>Austria</v>
      </c>
      <c r="E350" s="9" t="str">
        <f ca="1">+WORLDCUP!BD59</f>
        <v>Bosnia y Herzegovina</v>
      </c>
      <c r="F350" s="9" t="str">
        <f ca="1">+WORLDCUP!BD61</f>
        <v>Paraguay</v>
      </c>
      <c r="G350" s="9" t="str">
        <f ca="1">+WORLDCUP!BD58</f>
        <v>República Checa</v>
      </c>
      <c r="H350" s="9" t="str">
        <f ca="1">+WORLDCUP!BD64</f>
        <v>Irán</v>
      </c>
      <c r="I350" s="9" t="str">
        <f ca="1">+WORLDCUP!BD62</f>
        <v>Ecuador</v>
      </c>
      <c r="J350" s="9" t="str">
        <f ca="1">+WORLDCUP!BD66</f>
        <v>Senegal</v>
      </c>
      <c r="N350" s="16" t="s">
        <v>907</v>
      </c>
      <c r="O350" s="16">
        <v>349</v>
      </c>
      <c r="P350" s="16" t="s">
        <v>446</v>
      </c>
      <c r="Q350" s="16" t="s">
        <v>451</v>
      </c>
      <c r="R350" s="16" t="s">
        <v>91</v>
      </c>
      <c r="S350" s="16" t="s">
        <v>93</v>
      </c>
      <c r="T350" s="16" t="s">
        <v>90</v>
      </c>
      <c r="U350" s="16" t="s">
        <v>445</v>
      </c>
      <c r="V350" s="16" t="s">
        <v>94</v>
      </c>
      <c r="W350" s="16" t="s">
        <v>450</v>
      </c>
    </row>
    <row r="351" spans="1:23">
      <c r="A351" s="9" t="s">
        <v>906</v>
      </c>
      <c r="B351" s="9">
        <f ca="1">+IF(A351=WORLDCUP!$BI$112,1,0)</f>
        <v>0</v>
      </c>
      <c r="C351" s="9" t="str">
        <f ca="1">+WORLDCUP!BD62</f>
        <v>Ecuador</v>
      </c>
      <c r="D351" s="9" t="str">
        <f ca="1">+WORLDCUP!BD67</f>
        <v>Austria</v>
      </c>
      <c r="E351" s="9" t="str">
        <f ca="1">+WORLDCUP!BD59</f>
        <v>Bosnia y Herzegovina</v>
      </c>
      <c r="F351" s="9" t="str">
        <f ca="1">+WORLDCUP!BD61</f>
        <v>Paraguay</v>
      </c>
      <c r="G351" s="9" t="str">
        <f ca="1">+WORLDCUP!BD58</f>
        <v>República Checa</v>
      </c>
      <c r="H351" s="9" t="str">
        <f ca="1">+WORLDCUP!BD63</f>
        <v>Suecia</v>
      </c>
      <c r="I351" s="9" t="str">
        <f ca="1">+WORLDCUP!BD69</f>
        <v>Ghana</v>
      </c>
      <c r="J351" s="9" t="str">
        <f ca="1">+WORLDCUP!BD68</f>
        <v>RD Congo</v>
      </c>
      <c r="N351" s="16" t="s">
        <v>906</v>
      </c>
      <c r="O351" s="16">
        <v>350</v>
      </c>
      <c r="P351" s="16" t="s">
        <v>94</v>
      </c>
      <c r="Q351" s="16" t="s">
        <v>451</v>
      </c>
      <c r="R351" s="16" t="s">
        <v>91</v>
      </c>
      <c r="S351" s="16" t="s">
        <v>93</v>
      </c>
      <c r="T351" s="16" t="s">
        <v>90</v>
      </c>
      <c r="U351" s="16" t="s">
        <v>95</v>
      </c>
      <c r="V351" s="16" t="s">
        <v>453</v>
      </c>
      <c r="W351" s="16" t="s">
        <v>452</v>
      </c>
    </row>
    <row r="352" spans="1:23">
      <c r="A352" s="9" t="s">
        <v>905</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Ghana</v>
      </c>
      <c r="J352" s="9" t="str">
        <f ca="1">+WORLDCUP!BD68</f>
        <v>RD Congo</v>
      </c>
      <c r="N352" s="16" t="s">
        <v>905</v>
      </c>
      <c r="O352" s="16">
        <v>351</v>
      </c>
      <c r="P352" s="16" t="s">
        <v>94</v>
      </c>
      <c r="Q352" s="16" t="s">
        <v>450</v>
      </c>
      <c r="R352" s="16" t="s">
        <v>91</v>
      </c>
      <c r="S352" s="16" t="s">
        <v>93</v>
      </c>
      <c r="T352" s="16" t="s">
        <v>90</v>
      </c>
      <c r="U352" s="16" t="s">
        <v>95</v>
      </c>
      <c r="V352" s="16" t="s">
        <v>453</v>
      </c>
      <c r="W352" s="16" t="s">
        <v>452</v>
      </c>
    </row>
    <row r="353" spans="1:23">
      <c r="A353" s="9" t="s">
        <v>904</v>
      </c>
      <c r="B353" s="9">
        <f ca="1">+IF(A353=WORLDCUP!$BI$112,1,0)</f>
        <v>0</v>
      </c>
      <c r="C353" s="9" t="str">
        <f ca="1">+WORLDCUP!BD62</f>
        <v>Ecuador</v>
      </c>
      <c r="D353" s="9" t="str">
        <f ca="1">+WORLDCUP!BD67</f>
        <v>Austria</v>
      </c>
      <c r="E353" s="9" t="str">
        <f ca="1">+WORLDCUP!BD59</f>
        <v>Bosnia y Herzegovina</v>
      </c>
      <c r="F353" s="9" t="str">
        <f ca="1">+WORLDCUP!BD61</f>
        <v>Paraguay</v>
      </c>
      <c r="G353" s="9" t="str">
        <f ca="1">+WORLDCUP!BD58</f>
        <v>República Checa</v>
      </c>
      <c r="H353" s="9" t="str">
        <f ca="1">+WORLDCUP!BD63</f>
        <v>Suecia</v>
      </c>
      <c r="I353" s="9" t="str">
        <f ca="1">+WORLDCUP!BD69</f>
        <v>Ghana</v>
      </c>
      <c r="J353" s="9" t="str">
        <f ca="1">+WORLDCUP!BD66</f>
        <v>Senegal</v>
      </c>
      <c r="N353" s="16" t="s">
        <v>904</v>
      </c>
      <c r="O353" s="16">
        <v>352</v>
      </c>
      <c r="P353" s="16" t="s">
        <v>94</v>
      </c>
      <c r="Q353" s="16" t="s">
        <v>451</v>
      </c>
      <c r="R353" s="16" t="s">
        <v>91</v>
      </c>
      <c r="S353" s="16" t="s">
        <v>93</v>
      </c>
      <c r="T353" s="16" t="s">
        <v>90</v>
      </c>
      <c r="U353" s="16" t="s">
        <v>95</v>
      </c>
      <c r="V353" s="16" t="s">
        <v>453</v>
      </c>
      <c r="W353" s="16" t="s">
        <v>450</v>
      </c>
    </row>
    <row r="354" spans="1:23">
      <c r="A354" s="9" t="s">
        <v>903</v>
      </c>
      <c r="B354" s="9">
        <f ca="1">+IF(A354=WORLDCUP!$BI$112,1,0)</f>
        <v>0</v>
      </c>
      <c r="C354" s="9" t="str">
        <f ca="1">+WORLDCUP!BD62</f>
        <v>Ecuador</v>
      </c>
      <c r="D354" s="9" t="str">
        <f ca="1">+WORLDCUP!BD67</f>
        <v>Austria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903</v>
      </c>
      <c r="O354" s="16">
        <v>353</v>
      </c>
      <c r="P354" s="16" t="s">
        <v>94</v>
      </c>
      <c r="Q354" s="16" t="s">
        <v>451</v>
      </c>
      <c r="R354" s="16" t="s">
        <v>91</v>
      </c>
      <c r="S354" s="16" t="s">
        <v>93</v>
      </c>
      <c r="T354" s="16" t="s">
        <v>90</v>
      </c>
      <c r="U354" s="16" t="s">
        <v>95</v>
      </c>
      <c r="V354" s="16" t="s">
        <v>450</v>
      </c>
      <c r="W354" s="16" t="s">
        <v>452</v>
      </c>
    </row>
    <row r="355" spans="1:23">
      <c r="A355" s="9" t="s">
        <v>902</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Ghana</v>
      </c>
      <c r="J355" s="9" t="str">
        <f ca="1">+WORLDCUP!BD68</f>
        <v>RD Congo</v>
      </c>
      <c r="N355" s="16" t="s">
        <v>902</v>
      </c>
      <c r="O355" s="16">
        <v>354</v>
      </c>
      <c r="P355" s="16" t="s">
        <v>446</v>
      </c>
      <c r="Q355" s="16" t="s">
        <v>94</v>
      </c>
      <c r="R355" s="16" t="s">
        <v>91</v>
      </c>
      <c r="S355" s="16" t="s">
        <v>93</v>
      </c>
      <c r="T355" s="16" t="s">
        <v>90</v>
      </c>
      <c r="U355" s="16" t="s">
        <v>95</v>
      </c>
      <c r="V355" s="16" t="s">
        <v>453</v>
      </c>
      <c r="W355" s="16" t="s">
        <v>452</v>
      </c>
    </row>
    <row r="356" spans="1:23">
      <c r="A356" s="9" t="s">
        <v>901</v>
      </c>
      <c r="B356" s="9">
        <f ca="1">+IF(A356=WORLDCUP!$BI$112,1,0)</f>
        <v>0</v>
      </c>
      <c r="C356" s="9" t="str">
        <f ca="1">+WORLDCUP!BD65</f>
        <v>Arabia Saudita</v>
      </c>
      <c r="D356" s="9" t="str">
        <f ca="1">+WORLDCUP!BD67</f>
        <v>Austria</v>
      </c>
      <c r="E356" s="9" t="str">
        <f ca="1">+WORLDCUP!BD59</f>
        <v>Bosnia y Herzegovina</v>
      </c>
      <c r="F356" s="9" t="str">
        <f ca="1">+WORLDCUP!BD61</f>
        <v>Paraguay</v>
      </c>
      <c r="G356" s="9" t="str">
        <f ca="1">+WORLDCUP!BD58</f>
        <v>República Checa</v>
      </c>
      <c r="H356" s="9" t="str">
        <f ca="1">+WORLDCUP!BD63</f>
        <v>Suecia</v>
      </c>
      <c r="I356" s="9" t="str">
        <f ca="1">+WORLDCUP!BD69</f>
        <v>Ghana</v>
      </c>
      <c r="J356" s="9" t="str">
        <f ca="1">+WORLDCUP!BD62</f>
        <v>Ecuador</v>
      </c>
      <c r="N356" s="16" t="s">
        <v>901</v>
      </c>
      <c r="O356" s="16">
        <v>355</v>
      </c>
      <c r="P356" s="16" t="s">
        <v>446</v>
      </c>
      <c r="Q356" s="16" t="s">
        <v>451</v>
      </c>
      <c r="R356" s="16" t="s">
        <v>91</v>
      </c>
      <c r="S356" s="16" t="s">
        <v>93</v>
      </c>
      <c r="T356" s="16" t="s">
        <v>90</v>
      </c>
      <c r="U356" s="16" t="s">
        <v>95</v>
      </c>
      <c r="V356" s="16" t="s">
        <v>453</v>
      </c>
      <c r="W356" s="16" t="s">
        <v>94</v>
      </c>
    </row>
    <row r="357" spans="1:23">
      <c r="A357" s="9" t="s">
        <v>900</v>
      </c>
      <c r="B357" s="9">
        <f ca="1">+IF(A357=WORLDCUP!$BI$112,1,0)</f>
        <v>0</v>
      </c>
      <c r="C357" s="9" t="str">
        <f ca="1">+WORLDCUP!BD65</f>
        <v>Arabia Saudita</v>
      </c>
      <c r="D357" s="9" t="str">
        <f ca="1">+WORLDCUP!BD67</f>
        <v>Austria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900</v>
      </c>
      <c r="O357" s="16">
        <v>356</v>
      </c>
      <c r="P357" s="16" t="s">
        <v>446</v>
      </c>
      <c r="Q357" s="16" t="s">
        <v>451</v>
      </c>
      <c r="R357" s="16" t="s">
        <v>91</v>
      </c>
      <c r="S357" s="16" t="s">
        <v>93</v>
      </c>
      <c r="T357" s="16" t="s">
        <v>90</v>
      </c>
      <c r="U357" s="16" t="s">
        <v>95</v>
      </c>
      <c r="V357" s="16" t="s">
        <v>94</v>
      </c>
      <c r="W357" s="16" t="s">
        <v>452</v>
      </c>
    </row>
    <row r="358" spans="1:23">
      <c r="A358" s="9" t="s">
        <v>899</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Ghana</v>
      </c>
      <c r="J358" s="9" t="str">
        <f ca="1">+WORLDCUP!BD66</f>
        <v>Senegal</v>
      </c>
      <c r="N358" s="16" t="s">
        <v>899</v>
      </c>
      <c r="O358" s="16">
        <v>357</v>
      </c>
      <c r="P358" s="16" t="s">
        <v>446</v>
      </c>
      <c r="Q358" s="16" t="s">
        <v>94</v>
      </c>
      <c r="R358" s="16" t="s">
        <v>91</v>
      </c>
      <c r="S358" s="16" t="s">
        <v>93</v>
      </c>
      <c r="T358" s="16" t="s">
        <v>90</v>
      </c>
      <c r="U358" s="16" t="s">
        <v>95</v>
      </c>
      <c r="V358" s="16" t="s">
        <v>453</v>
      </c>
      <c r="W358" s="16" t="s">
        <v>450</v>
      </c>
    </row>
    <row r="359" spans="1:23">
      <c r="A359" s="9" t="s">
        <v>898</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898</v>
      </c>
      <c r="O359" s="16">
        <v>358</v>
      </c>
      <c r="P359" s="16" t="s">
        <v>446</v>
      </c>
      <c r="Q359" s="16" t="s">
        <v>94</v>
      </c>
      <c r="R359" s="16" t="s">
        <v>91</v>
      </c>
      <c r="S359" s="16" t="s">
        <v>93</v>
      </c>
      <c r="T359" s="16" t="s">
        <v>90</v>
      </c>
      <c r="U359" s="16" t="s">
        <v>95</v>
      </c>
      <c r="V359" s="16" t="s">
        <v>450</v>
      </c>
      <c r="W359" s="16" t="s">
        <v>452</v>
      </c>
    </row>
    <row r="360" spans="1:23">
      <c r="A360" s="9" t="s">
        <v>897</v>
      </c>
      <c r="B360" s="9">
        <f ca="1">+IF(A360=WORLDCUP!$BI$112,1,0)</f>
        <v>0</v>
      </c>
      <c r="C360" s="9" t="str">
        <f ca="1">+WORLDCUP!BD65</f>
        <v>Arabia Saudita</v>
      </c>
      <c r="D360" s="9" t="str">
        <f ca="1">+WORLDCUP!BD67</f>
        <v>Austria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897</v>
      </c>
      <c r="O360" s="16">
        <v>359</v>
      </c>
      <c r="P360" s="16" t="s">
        <v>446</v>
      </c>
      <c r="Q360" s="16" t="s">
        <v>451</v>
      </c>
      <c r="R360" s="16" t="s">
        <v>91</v>
      </c>
      <c r="S360" s="16" t="s">
        <v>93</v>
      </c>
      <c r="T360" s="16" t="s">
        <v>90</v>
      </c>
      <c r="U360" s="16" t="s">
        <v>95</v>
      </c>
      <c r="V360" s="16" t="s">
        <v>94</v>
      </c>
      <c r="W360" s="16" t="s">
        <v>450</v>
      </c>
    </row>
    <row r="361" spans="1:23">
      <c r="A361" s="9" t="s">
        <v>896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República Checa</v>
      </c>
      <c r="H361" s="9" t="str">
        <f ca="1">+WORLDCUP!BD63</f>
        <v>Suecia</v>
      </c>
      <c r="I361" s="9" t="str">
        <f ca="1">+WORLDCUP!BD69</f>
        <v>Ghana</v>
      </c>
      <c r="J361" s="9" t="str">
        <f ca="1">+WORLDCUP!BD68</f>
        <v>RD Congo</v>
      </c>
      <c r="N361" s="16" t="s">
        <v>896</v>
      </c>
      <c r="O361" s="16">
        <v>360</v>
      </c>
      <c r="P361" s="16" t="s">
        <v>94</v>
      </c>
      <c r="Q361" s="16" t="s">
        <v>445</v>
      </c>
      <c r="R361" s="16" t="s">
        <v>91</v>
      </c>
      <c r="S361" s="16" t="s">
        <v>93</v>
      </c>
      <c r="T361" s="16" t="s">
        <v>90</v>
      </c>
      <c r="U361" s="16" t="s">
        <v>95</v>
      </c>
      <c r="V361" s="16" t="s">
        <v>453</v>
      </c>
      <c r="W361" s="16" t="s">
        <v>452</v>
      </c>
    </row>
    <row r="362" spans="1:23">
      <c r="A362" s="9" t="s">
        <v>895</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República Checa</v>
      </c>
      <c r="H362" s="9" t="str">
        <f ca="1">+WORLDCUP!BD63</f>
        <v>Suecia</v>
      </c>
      <c r="I362" s="9" t="str">
        <f ca="1">+WORLDCUP!BD69</f>
        <v>Ghana</v>
      </c>
      <c r="J362" s="9" t="str">
        <f ca="1">+WORLDCUP!BD67</f>
        <v>Austria</v>
      </c>
      <c r="N362" s="16" t="s">
        <v>895</v>
      </c>
      <c r="O362" s="16">
        <v>361</v>
      </c>
      <c r="P362" s="16" t="s">
        <v>94</v>
      </c>
      <c r="Q362" s="16" t="s">
        <v>445</v>
      </c>
      <c r="R362" s="16" t="s">
        <v>91</v>
      </c>
      <c r="S362" s="16" t="s">
        <v>93</v>
      </c>
      <c r="T362" s="16" t="s">
        <v>90</v>
      </c>
      <c r="U362" s="16" t="s">
        <v>95</v>
      </c>
      <c r="V362" s="16" t="s">
        <v>453</v>
      </c>
      <c r="W362" s="16" t="s">
        <v>451</v>
      </c>
    </row>
    <row r="363" spans="1:23">
      <c r="A363" s="9" t="s">
        <v>894</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República Checa</v>
      </c>
      <c r="H363" s="9" t="str">
        <f ca="1">+WORLDCUP!BD63</f>
        <v>Suecia</v>
      </c>
      <c r="I363" s="9" t="str">
        <f ca="1">+WORLDCUP!BD67</f>
        <v>Austria</v>
      </c>
      <c r="J363" s="9" t="str">
        <f ca="1">+WORLDCUP!BD68</f>
        <v>RD Congo</v>
      </c>
      <c r="N363" s="16" t="s">
        <v>894</v>
      </c>
      <c r="O363" s="16">
        <v>362</v>
      </c>
      <c r="P363" s="16" t="s">
        <v>94</v>
      </c>
      <c r="Q363" s="16" t="s">
        <v>445</v>
      </c>
      <c r="R363" s="16" t="s">
        <v>91</v>
      </c>
      <c r="S363" s="16" t="s">
        <v>93</v>
      </c>
      <c r="T363" s="16" t="s">
        <v>90</v>
      </c>
      <c r="U363" s="16" t="s">
        <v>95</v>
      </c>
      <c r="V363" s="16" t="s">
        <v>451</v>
      </c>
      <c r="W363" s="16" t="s">
        <v>452</v>
      </c>
    </row>
    <row r="364" spans="1:23">
      <c r="A364" s="9" t="s">
        <v>893</v>
      </c>
      <c r="B364" s="9">
        <f ca="1">+IF(A364=WORLDCUP!$BI$112,1,0)</f>
        <v>1</v>
      </c>
      <c r="C364" s="9" t="str">
        <f ca="1">+WORLDCUP!BD62</f>
        <v>Ecuador</v>
      </c>
      <c r="D364" s="9" t="str">
        <f ca="1">+WORLDCUP!BD64</f>
        <v>Irán</v>
      </c>
      <c r="E364" s="9" t="str">
        <f ca="1">+WORLDCUP!BD59</f>
        <v>Bosnia y Herzegovina</v>
      </c>
      <c r="F364" s="9" t="str">
        <f ca="1">+WORLDCUP!BD61</f>
        <v>Paraguay</v>
      </c>
      <c r="G364" s="9" t="str">
        <f ca="1">+WORLDCUP!BD58</f>
        <v>República Checa</v>
      </c>
      <c r="H364" s="9" t="str">
        <f ca="1">+WORLDCUP!BD63</f>
        <v>Suecia</v>
      </c>
      <c r="I364" s="9" t="str">
        <f ca="1">+WORLDCUP!BD69</f>
        <v>Ghana</v>
      </c>
      <c r="J364" s="9" t="str">
        <f ca="1">+WORLDCUP!BD66</f>
        <v>Senegal</v>
      </c>
      <c r="N364" s="16" t="s">
        <v>893</v>
      </c>
      <c r="O364" s="16">
        <v>363</v>
      </c>
      <c r="P364" s="16" t="s">
        <v>94</v>
      </c>
      <c r="Q364" s="16" t="s">
        <v>445</v>
      </c>
      <c r="R364" s="16" t="s">
        <v>91</v>
      </c>
      <c r="S364" s="16" t="s">
        <v>93</v>
      </c>
      <c r="T364" s="16" t="s">
        <v>90</v>
      </c>
      <c r="U364" s="16" t="s">
        <v>95</v>
      </c>
      <c r="V364" s="16" t="s">
        <v>453</v>
      </c>
      <c r="W364" s="16" t="s">
        <v>450</v>
      </c>
    </row>
    <row r="365" spans="1:23">
      <c r="A365" s="9" t="s">
        <v>892</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892</v>
      </c>
      <c r="O365" s="16">
        <v>364</v>
      </c>
      <c r="P365" s="16" t="s">
        <v>94</v>
      </c>
      <c r="Q365" s="16" t="s">
        <v>445</v>
      </c>
      <c r="R365" s="16" t="s">
        <v>91</v>
      </c>
      <c r="S365" s="16" t="s">
        <v>93</v>
      </c>
      <c r="T365" s="16" t="s">
        <v>90</v>
      </c>
      <c r="U365" s="16" t="s">
        <v>95</v>
      </c>
      <c r="V365" s="16" t="s">
        <v>450</v>
      </c>
      <c r="W365" s="16" t="s">
        <v>452</v>
      </c>
    </row>
    <row r="366" spans="1:23">
      <c r="A366" s="9" t="s">
        <v>891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Austria</v>
      </c>
      <c r="N366" s="16" t="s">
        <v>891</v>
      </c>
      <c r="O366" s="16">
        <v>365</v>
      </c>
      <c r="P366" s="16" t="s">
        <v>94</v>
      </c>
      <c r="Q366" s="16" t="s">
        <v>445</v>
      </c>
      <c r="R366" s="16" t="s">
        <v>91</v>
      </c>
      <c r="S366" s="16" t="s">
        <v>93</v>
      </c>
      <c r="T366" s="16" t="s">
        <v>90</v>
      </c>
      <c r="U366" s="16" t="s">
        <v>95</v>
      </c>
      <c r="V366" s="16" t="s">
        <v>450</v>
      </c>
      <c r="W366" s="16" t="s">
        <v>451</v>
      </c>
    </row>
    <row r="367" spans="1:23">
      <c r="A367" s="9" t="s">
        <v>890</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Suecia</v>
      </c>
      <c r="I367" s="9" t="str">
        <f ca="1">+WORLDCUP!BD69</f>
        <v>Ghana</v>
      </c>
      <c r="J367" s="9" t="str">
        <f ca="1">+WORLDCUP!BD62</f>
        <v>Ecuador</v>
      </c>
      <c r="N367" s="16" t="s">
        <v>890</v>
      </c>
      <c r="O367" s="16">
        <v>366</v>
      </c>
      <c r="P367" s="16" t="s">
        <v>446</v>
      </c>
      <c r="Q367" s="16" t="s">
        <v>445</v>
      </c>
      <c r="R367" s="16" t="s">
        <v>91</v>
      </c>
      <c r="S367" s="16" t="s">
        <v>93</v>
      </c>
      <c r="T367" s="16" t="s">
        <v>90</v>
      </c>
      <c r="U367" s="16" t="s">
        <v>95</v>
      </c>
      <c r="V367" s="16" t="s">
        <v>453</v>
      </c>
      <c r="W367" s="16" t="s">
        <v>94</v>
      </c>
    </row>
    <row r="368" spans="1:23">
      <c r="A368" s="9" t="s">
        <v>889</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889</v>
      </c>
      <c r="O368" s="16">
        <v>367</v>
      </c>
      <c r="P368" s="16" t="s">
        <v>446</v>
      </c>
      <c r="Q368" s="16" t="s">
        <v>445</v>
      </c>
      <c r="R368" s="16" t="s">
        <v>91</v>
      </c>
      <c r="S368" s="16" t="s">
        <v>93</v>
      </c>
      <c r="T368" s="16" t="s">
        <v>90</v>
      </c>
      <c r="U368" s="16" t="s">
        <v>95</v>
      </c>
      <c r="V368" s="16" t="s">
        <v>94</v>
      </c>
      <c r="W368" s="16" t="s">
        <v>452</v>
      </c>
    </row>
    <row r="369" spans="1:23">
      <c r="A369" s="9" t="s">
        <v>888</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Austria</v>
      </c>
      <c r="N369" s="16" t="s">
        <v>888</v>
      </c>
      <c r="O369" s="16">
        <v>368</v>
      </c>
      <c r="P369" s="16" t="s">
        <v>446</v>
      </c>
      <c r="Q369" s="16" t="s">
        <v>445</v>
      </c>
      <c r="R369" s="16" t="s">
        <v>91</v>
      </c>
      <c r="S369" s="16" t="s">
        <v>93</v>
      </c>
      <c r="T369" s="16" t="s">
        <v>90</v>
      </c>
      <c r="U369" s="16" t="s">
        <v>95</v>
      </c>
      <c r="V369" s="16" t="s">
        <v>94</v>
      </c>
      <c r="W369" s="16" t="s">
        <v>451</v>
      </c>
    </row>
    <row r="370" spans="1:23">
      <c r="A370" s="9" t="s">
        <v>887</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887</v>
      </c>
      <c r="O370" s="16">
        <v>369</v>
      </c>
      <c r="P370" s="16" t="s">
        <v>446</v>
      </c>
      <c r="Q370" s="16" t="s">
        <v>445</v>
      </c>
      <c r="R370" s="16" t="s">
        <v>91</v>
      </c>
      <c r="S370" s="16" t="s">
        <v>93</v>
      </c>
      <c r="T370" s="16" t="s">
        <v>90</v>
      </c>
      <c r="U370" s="16" t="s">
        <v>95</v>
      </c>
      <c r="V370" s="16" t="s">
        <v>94</v>
      </c>
      <c r="W370" s="16" t="s">
        <v>450</v>
      </c>
    </row>
    <row r="371" spans="1:23">
      <c r="A371" s="9" t="s">
        <v>886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886</v>
      </c>
      <c r="O371" s="16">
        <v>370</v>
      </c>
      <c r="P371" s="16" t="s">
        <v>450</v>
      </c>
      <c r="Q371" s="16" t="s">
        <v>451</v>
      </c>
      <c r="R371" s="16" t="s">
        <v>91</v>
      </c>
      <c r="S371" s="16" t="s">
        <v>92</v>
      </c>
      <c r="T371" s="16" t="s">
        <v>90</v>
      </c>
      <c r="U371" s="16" t="s">
        <v>446</v>
      </c>
      <c r="V371" s="16" t="s">
        <v>453</v>
      </c>
      <c r="W371" s="16" t="s">
        <v>452</v>
      </c>
    </row>
    <row r="372" spans="1:23">
      <c r="A372" s="9" t="s">
        <v>885</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Ghana</v>
      </c>
      <c r="J372" s="9" t="str">
        <f ca="1">+WORLDCUP!BD68</f>
        <v>RD Congo</v>
      </c>
      <c r="N372" s="16" t="s">
        <v>885</v>
      </c>
      <c r="O372" s="16">
        <v>371</v>
      </c>
      <c r="P372" s="16" t="s">
        <v>450</v>
      </c>
      <c r="Q372" s="16" t="s">
        <v>451</v>
      </c>
      <c r="R372" s="16" t="s">
        <v>91</v>
      </c>
      <c r="S372" s="16" t="s">
        <v>92</v>
      </c>
      <c r="T372" s="16" t="s">
        <v>90</v>
      </c>
      <c r="U372" s="16" t="s">
        <v>445</v>
      </c>
      <c r="V372" s="16" t="s">
        <v>453</v>
      </c>
      <c r="W372" s="16" t="s">
        <v>452</v>
      </c>
    </row>
    <row r="373" spans="1:23">
      <c r="A373" s="9" t="s">
        <v>884</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Ghana</v>
      </c>
      <c r="J373" s="9" t="str">
        <f ca="1">+WORLDCUP!BD68</f>
        <v>RD Congo</v>
      </c>
      <c r="N373" s="16" t="s">
        <v>884</v>
      </c>
      <c r="O373" s="16">
        <v>372</v>
      </c>
      <c r="P373" s="16" t="s">
        <v>446</v>
      </c>
      <c r="Q373" s="16" t="s">
        <v>451</v>
      </c>
      <c r="R373" s="16" t="s">
        <v>91</v>
      </c>
      <c r="S373" s="16" t="s">
        <v>92</v>
      </c>
      <c r="T373" s="16" t="s">
        <v>90</v>
      </c>
      <c r="U373" s="16" t="s">
        <v>445</v>
      </c>
      <c r="V373" s="16" t="s">
        <v>453</v>
      </c>
      <c r="W373" s="16" t="s">
        <v>452</v>
      </c>
    </row>
    <row r="374" spans="1:23">
      <c r="A374" s="9" t="s">
        <v>883</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883</v>
      </c>
      <c r="O374" s="16">
        <v>373</v>
      </c>
      <c r="P374" s="16" t="s">
        <v>450</v>
      </c>
      <c r="Q374" s="16" t="s">
        <v>445</v>
      </c>
      <c r="R374" s="16" t="s">
        <v>91</v>
      </c>
      <c r="S374" s="16" t="s">
        <v>92</v>
      </c>
      <c r="T374" s="16" t="s">
        <v>90</v>
      </c>
      <c r="U374" s="16" t="s">
        <v>446</v>
      </c>
      <c r="V374" s="16" t="s">
        <v>453</v>
      </c>
      <c r="W374" s="16" t="s">
        <v>452</v>
      </c>
    </row>
    <row r="375" spans="1:23">
      <c r="A375" s="9" t="s">
        <v>882</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Ghana</v>
      </c>
      <c r="J375" s="9" t="str">
        <f ca="1">+WORLDCUP!BD66</f>
        <v>Senegal</v>
      </c>
      <c r="N375" s="16" t="s">
        <v>882</v>
      </c>
      <c r="O375" s="16">
        <v>374</v>
      </c>
      <c r="P375" s="16" t="s">
        <v>446</v>
      </c>
      <c r="Q375" s="16" t="s">
        <v>451</v>
      </c>
      <c r="R375" s="16" t="s">
        <v>91</v>
      </c>
      <c r="S375" s="16" t="s">
        <v>92</v>
      </c>
      <c r="T375" s="16" t="s">
        <v>90</v>
      </c>
      <c r="U375" s="16" t="s">
        <v>445</v>
      </c>
      <c r="V375" s="16" t="s">
        <v>453</v>
      </c>
      <c r="W375" s="16" t="s">
        <v>450</v>
      </c>
    </row>
    <row r="376" spans="1:23">
      <c r="A376" s="9" t="s">
        <v>881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881</v>
      </c>
      <c r="O376" s="16">
        <v>375</v>
      </c>
      <c r="P376" s="16" t="s">
        <v>446</v>
      </c>
      <c r="Q376" s="16" t="s">
        <v>451</v>
      </c>
      <c r="R376" s="16" t="s">
        <v>91</v>
      </c>
      <c r="S376" s="16" t="s">
        <v>92</v>
      </c>
      <c r="T376" s="16" t="s">
        <v>90</v>
      </c>
      <c r="U376" s="16" t="s">
        <v>445</v>
      </c>
      <c r="V376" s="16" t="s">
        <v>450</v>
      </c>
      <c r="W376" s="16" t="s">
        <v>452</v>
      </c>
    </row>
    <row r="377" spans="1:23">
      <c r="A377" s="9" t="s">
        <v>880</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880</v>
      </c>
      <c r="O377" s="16">
        <v>376</v>
      </c>
      <c r="P377" s="16" t="s">
        <v>450</v>
      </c>
      <c r="Q377" s="16" t="s">
        <v>451</v>
      </c>
      <c r="R377" s="16" t="s">
        <v>91</v>
      </c>
      <c r="S377" s="16" t="s">
        <v>92</v>
      </c>
      <c r="T377" s="16" t="s">
        <v>90</v>
      </c>
      <c r="U377" s="16" t="s">
        <v>95</v>
      </c>
      <c r="V377" s="16" t="s">
        <v>453</v>
      </c>
      <c r="W377" s="16" t="s">
        <v>452</v>
      </c>
    </row>
    <row r="378" spans="1:23">
      <c r="A378" s="9" t="s">
        <v>879</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879</v>
      </c>
      <c r="O378" s="16">
        <v>377</v>
      </c>
      <c r="P378" s="16" t="s">
        <v>446</v>
      </c>
      <c r="Q378" s="16" t="s">
        <v>451</v>
      </c>
      <c r="R378" s="16" t="s">
        <v>91</v>
      </c>
      <c r="S378" s="16" t="s">
        <v>92</v>
      </c>
      <c r="T378" s="16" t="s">
        <v>90</v>
      </c>
      <c r="U378" s="16" t="s">
        <v>95</v>
      </c>
      <c r="V378" s="16" t="s">
        <v>453</v>
      </c>
      <c r="W378" s="16" t="s">
        <v>452</v>
      </c>
    </row>
    <row r="379" spans="1:23">
      <c r="A379" s="9" t="s">
        <v>878</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878</v>
      </c>
      <c r="O379" s="16">
        <v>378</v>
      </c>
      <c r="P379" s="16" t="s">
        <v>446</v>
      </c>
      <c r="Q379" s="16" t="s">
        <v>450</v>
      </c>
      <c r="R379" s="16" t="s">
        <v>91</v>
      </c>
      <c r="S379" s="16" t="s">
        <v>92</v>
      </c>
      <c r="T379" s="16" t="s">
        <v>90</v>
      </c>
      <c r="U379" s="16" t="s">
        <v>95</v>
      </c>
      <c r="V379" s="16" t="s">
        <v>453</v>
      </c>
      <c r="W379" s="16" t="s">
        <v>452</v>
      </c>
    </row>
    <row r="380" spans="1:23">
      <c r="A380" s="9" t="s">
        <v>877</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877</v>
      </c>
      <c r="O380" s="16">
        <v>379</v>
      </c>
      <c r="P380" s="16" t="s">
        <v>446</v>
      </c>
      <c r="Q380" s="16" t="s">
        <v>451</v>
      </c>
      <c r="R380" s="16" t="s">
        <v>91</v>
      </c>
      <c r="S380" s="16" t="s">
        <v>92</v>
      </c>
      <c r="T380" s="16" t="s">
        <v>90</v>
      </c>
      <c r="U380" s="16" t="s">
        <v>95</v>
      </c>
      <c r="V380" s="16" t="s">
        <v>453</v>
      </c>
      <c r="W380" s="16" t="s">
        <v>450</v>
      </c>
    </row>
    <row r="381" spans="1:23">
      <c r="A381" s="9" t="s">
        <v>876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876</v>
      </c>
      <c r="O381" s="16">
        <v>380</v>
      </c>
      <c r="P381" s="16" t="s">
        <v>446</v>
      </c>
      <c r="Q381" s="16" t="s">
        <v>451</v>
      </c>
      <c r="R381" s="16" t="s">
        <v>91</v>
      </c>
      <c r="S381" s="16" t="s">
        <v>92</v>
      </c>
      <c r="T381" s="16" t="s">
        <v>90</v>
      </c>
      <c r="U381" s="16" t="s">
        <v>95</v>
      </c>
      <c r="V381" s="16" t="s">
        <v>450</v>
      </c>
      <c r="W381" s="16" t="s">
        <v>452</v>
      </c>
    </row>
    <row r="382" spans="1:23">
      <c r="A382" s="9" t="s">
        <v>875</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Ghana</v>
      </c>
      <c r="J382" s="9" t="str">
        <f ca="1">+WORLDCUP!BD68</f>
        <v>RD Congo</v>
      </c>
      <c r="N382" s="16" t="s">
        <v>875</v>
      </c>
      <c r="O382" s="16">
        <v>381</v>
      </c>
      <c r="P382" s="16" t="s">
        <v>92</v>
      </c>
      <c r="Q382" s="16" t="s">
        <v>451</v>
      </c>
      <c r="R382" s="16" t="s">
        <v>91</v>
      </c>
      <c r="S382" s="16" t="s">
        <v>95</v>
      </c>
      <c r="T382" s="16" t="s">
        <v>90</v>
      </c>
      <c r="U382" s="16" t="s">
        <v>445</v>
      </c>
      <c r="V382" s="16" t="s">
        <v>453</v>
      </c>
      <c r="W382" s="16" t="s">
        <v>452</v>
      </c>
    </row>
    <row r="383" spans="1:23">
      <c r="A383" s="9" t="s">
        <v>874</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874</v>
      </c>
      <c r="O383" s="16">
        <v>382</v>
      </c>
      <c r="P383" s="16" t="s">
        <v>450</v>
      </c>
      <c r="Q383" s="16" t="s">
        <v>445</v>
      </c>
      <c r="R383" s="16" t="s">
        <v>91</v>
      </c>
      <c r="S383" s="16" t="s">
        <v>92</v>
      </c>
      <c r="T383" s="16" t="s">
        <v>90</v>
      </c>
      <c r="U383" s="16" t="s">
        <v>95</v>
      </c>
      <c r="V383" s="16" t="s">
        <v>453</v>
      </c>
      <c r="W383" s="16" t="s">
        <v>452</v>
      </c>
    </row>
    <row r="384" spans="1:23">
      <c r="A384" s="9" t="s">
        <v>873</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Ghana</v>
      </c>
      <c r="J384" s="9" t="str">
        <f ca="1">+WORLDCUP!BD66</f>
        <v>Senegal</v>
      </c>
      <c r="N384" s="16" t="s">
        <v>873</v>
      </c>
      <c r="O384" s="16">
        <v>383</v>
      </c>
      <c r="P384" s="16" t="s">
        <v>92</v>
      </c>
      <c r="Q384" s="16" t="s">
        <v>451</v>
      </c>
      <c r="R384" s="16" t="s">
        <v>91</v>
      </c>
      <c r="S384" s="16" t="s">
        <v>95</v>
      </c>
      <c r="T384" s="16" t="s">
        <v>90</v>
      </c>
      <c r="U384" s="16" t="s">
        <v>445</v>
      </c>
      <c r="V384" s="16" t="s">
        <v>453</v>
      </c>
      <c r="W384" s="16" t="s">
        <v>450</v>
      </c>
    </row>
    <row r="385" spans="1:23">
      <c r="A385" s="9" t="s">
        <v>872</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872</v>
      </c>
      <c r="O385" s="16">
        <v>384</v>
      </c>
      <c r="P385" s="16" t="s">
        <v>92</v>
      </c>
      <c r="Q385" s="16" t="s">
        <v>451</v>
      </c>
      <c r="R385" s="16" t="s">
        <v>91</v>
      </c>
      <c r="S385" s="16" t="s">
        <v>95</v>
      </c>
      <c r="T385" s="16" t="s">
        <v>90</v>
      </c>
      <c r="U385" s="16" t="s">
        <v>445</v>
      </c>
      <c r="V385" s="16" t="s">
        <v>450</v>
      </c>
      <c r="W385" s="16" t="s">
        <v>452</v>
      </c>
    </row>
    <row r="386" spans="1:23">
      <c r="A386" s="9" t="s">
        <v>871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871</v>
      </c>
      <c r="O386" s="16">
        <v>385</v>
      </c>
      <c r="P386" s="16" t="s">
        <v>446</v>
      </c>
      <c r="Q386" s="16" t="s">
        <v>445</v>
      </c>
      <c r="R386" s="16" t="s">
        <v>91</v>
      </c>
      <c r="S386" s="16" t="s">
        <v>92</v>
      </c>
      <c r="T386" s="16" t="s">
        <v>90</v>
      </c>
      <c r="U386" s="16" t="s">
        <v>95</v>
      </c>
      <c r="V386" s="16" t="s">
        <v>453</v>
      </c>
      <c r="W386" s="16" t="s">
        <v>452</v>
      </c>
    </row>
    <row r="387" spans="1:23">
      <c r="A387" s="9" t="s">
        <v>870</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Austria</v>
      </c>
      <c r="N387" s="16" t="s">
        <v>870</v>
      </c>
      <c r="O387" s="16">
        <v>386</v>
      </c>
      <c r="P387" s="16" t="s">
        <v>446</v>
      </c>
      <c r="Q387" s="16" t="s">
        <v>445</v>
      </c>
      <c r="R387" s="16" t="s">
        <v>91</v>
      </c>
      <c r="S387" s="16" t="s">
        <v>92</v>
      </c>
      <c r="T387" s="16" t="s">
        <v>90</v>
      </c>
      <c r="U387" s="16" t="s">
        <v>95</v>
      </c>
      <c r="V387" s="16" t="s">
        <v>453</v>
      </c>
      <c r="W387" s="16" t="s">
        <v>451</v>
      </c>
    </row>
    <row r="388" spans="1:23">
      <c r="A388" s="9" t="s">
        <v>869</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869</v>
      </c>
      <c r="O388" s="16">
        <v>387</v>
      </c>
      <c r="P388" s="16" t="s">
        <v>446</v>
      </c>
      <c r="Q388" s="16" t="s">
        <v>445</v>
      </c>
      <c r="R388" s="16" t="s">
        <v>91</v>
      </c>
      <c r="S388" s="16" t="s">
        <v>92</v>
      </c>
      <c r="T388" s="16" t="s">
        <v>90</v>
      </c>
      <c r="U388" s="16" t="s">
        <v>95</v>
      </c>
      <c r="V388" s="16" t="s">
        <v>451</v>
      </c>
      <c r="W388" s="16" t="s">
        <v>452</v>
      </c>
    </row>
    <row r="389" spans="1:23">
      <c r="A389" s="9" t="s">
        <v>868</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868</v>
      </c>
      <c r="O389" s="16">
        <v>388</v>
      </c>
      <c r="P389" s="16" t="s">
        <v>446</v>
      </c>
      <c r="Q389" s="16" t="s">
        <v>445</v>
      </c>
      <c r="R389" s="16" t="s">
        <v>91</v>
      </c>
      <c r="S389" s="16" t="s">
        <v>92</v>
      </c>
      <c r="T389" s="16" t="s">
        <v>90</v>
      </c>
      <c r="U389" s="16" t="s">
        <v>95</v>
      </c>
      <c r="V389" s="16" t="s">
        <v>453</v>
      </c>
      <c r="W389" s="16" t="s">
        <v>450</v>
      </c>
    </row>
    <row r="390" spans="1:23">
      <c r="A390" s="9" t="s">
        <v>867</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867</v>
      </c>
      <c r="O390" s="16">
        <v>389</v>
      </c>
      <c r="P390" s="16" t="s">
        <v>446</v>
      </c>
      <c r="Q390" s="16" t="s">
        <v>445</v>
      </c>
      <c r="R390" s="16" t="s">
        <v>91</v>
      </c>
      <c r="S390" s="16" t="s">
        <v>92</v>
      </c>
      <c r="T390" s="16" t="s">
        <v>90</v>
      </c>
      <c r="U390" s="16" t="s">
        <v>95</v>
      </c>
      <c r="V390" s="16" t="s">
        <v>450</v>
      </c>
      <c r="W390" s="16" t="s">
        <v>452</v>
      </c>
    </row>
    <row r="391" spans="1:23">
      <c r="A391" s="9" t="s">
        <v>866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866</v>
      </c>
      <c r="O391" s="16">
        <v>390</v>
      </c>
      <c r="P391" s="16" t="s">
        <v>446</v>
      </c>
      <c r="Q391" s="16" t="s">
        <v>445</v>
      </c>
      <c r="R391" s="16" t="s">
        <v>91</v>
      </c>
      <c r="S391" s="16" t="s">
        <v>92</v>
      </c>
      <c r="T391" s="16" t="s">
        <v>90</v>
      </c>
      <c r="U391" s="16" t="s">
        <v>95</v>
      </c>
      <c r="V391" s="16" t="s">
        <v>450</v>
      </c>
      <c r="W391" s="16" t="s">
        <v>451</v>
      </c>
    </row>
    <row r="392" spans="1:23">
      <c r="A392" s="9" t="s">
        <v>865</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865</v>
      </c>
      <c r="O392" s="16">
        <v>391</v>
      </c>
      <c r="P392" s="16" t="s">
        <v>94</v>
      </c>
      <c r="Q392" s="16" t="s">
        <v>451</v>
      </c>
      <c r="R392" s="16" t="s">
        <v>91</v>
      </c>
      <c r="S392" s="16" t="s">
        <v>90</v>
      </c>
      <c r="T392" s="16" t="s">
        <v>450</v>
      </c>
      <c r="U392" s="16" t="s">
        <v>92</v>
      </c>
      <c r="V392" s="16" t="s">
        <v>453</v>
      </c>
      <c r="W392" s="16" t="s">
        <v>452</v>
      </c>
    </row>
    <row r="393" spans="1:23">
      <c r="A393" s="9" t="s">
        <v>864</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864</v>
      </c>
      <c r="O393" s="16">
        <v>392</v>
      </c>
      <c r="P393" s="16" t="s">
        <v>94</v>
      </c>
      <c r="Q393" s="16" t="s">
        <v>451</v>
      </c>
      <c r="R393" s="16" t="s">
        <v>91</v>
      </c>
      <c r="S393" s="16" t="s">
        <v>92</v>
      </c>
      <c r="T393" s="16" t="s">
        <v>90</v>
      </c>
      <c r="U393" s="16" t="s">
        <v>446</v>
      </c>
      <c r="V393" s="16" t="s">
        <v>453</v>
      </c>
      <c r="W393" s="16" t="s">
        <v>452</v>
      </c>
    </row>
    <row r="394" spans="1:23">
      <c r="A394" s="9" t="s">
        <v>863</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863</v>
      </c>
      <c r="O394" s="16">
        <v>393</v>
      </c>
      <c r="P394" s="16" t="s">
        <v>94</v>
      </c>
      <c r="Q394" s="16" t="s">
        <v>450</v>
      </c>
      <c r="R394" s="16" t="s">
        <v>91</v>
      </c>
      <c r="S394" s="16" t="s">
        <v>92</v>
      </c>
      <c r="T394" s="16" t="s">
        <v>90</v>
      </c>
      <c r="U394" s="16" t="s">
        <v>446</v>
      </c>
      <c r="V394" s="16" t="s">
        <v>453</v>
      </c>
      <c r="W394" s="16" t="s">
        <v>452</v>
      </c>
    </row>
    <row r="395" spans="1:23">
      <c r="A395" s="9" t="s">
        <v>862</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862</v>
      </c>
      <c r="O395" s="16">
        <v>394</v>
      </c>
      <c r="P395" s="16" t="s">
        <v>94</v>
      </c>
      <c r="Q395" s="16" t="s">
        <v>451</v>
      </c>
      <c r="R395" s="16" t="s">
        <v>91</v>
      </c>
      <c r="S395" s="16" t="s">
        <v>92</v>
      </c>
      <c r="T395" s="16" t="s">
        <v>90</v>
      </c>
      <c r="U395" s="16" t="s">
        <v>446</v>
      </c>
      <c r="V395" s="16" t="s">
        <v>453</v>
      </c>
      <c r="W395" s="16" t="s">
        <v>450</v>
      </c>
    </row>
    <row r="396" spans="1:23">
      <c r="A396" s="9" t="s">
        <v>861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861</v>
      </c>
      <c r="O396" s="16">
        <v>395</v>
      </c>
      <c r="P396" s="16" t="s">
        <v>94</v>
      </c>
      <c r="Q396" s="16" t="s">
        <v>451</v>
      </c>
      <c r="R396" s="16" t="s">
        <v>91</v>
      </c>
      <c r="S396" s="16" t="s">
        <v>92</v>
      </c>
      <c r="T396" s="16" t="s">
        <v>90</v>
      </c>
      <c r="U396" s="16" t="s">
        <v>446</v>
      </c>
      <c r="V396" s="16" t="s">
        <v>450</v>
      </c>
      <c r="W396" s="16" t="s">
        <v>452</v>
      </c>
    </row>
    <row r="397" spans="1:23">
      <c r="A397" s="9" t="s">
        <v>860</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Ghana</v>
      </c>
      <c r="J397" s="9" t="str">
        <f ca="1">+WORLDCUP!BD68</f>
        <v>RD Congo</v>
      </c>
      <c r="N397" s="16" t="s">
        <v>860</v>
      </c>
      <c r="O397" s="16">
        <v>396</v>
      </c>
      <c r="P397" s="16" t="s">
        <v>94</v>
      </c>
      <c r="Q397" s="16" t="s">
        <v>451</v>
      </c>
      <c r="R397" s="16" t="s">
        <v>91</v>
      </c>
      <c r="S397" s="16" t="s">
        <v>92</v>
      </c>
      <c r="T397" s="16" t="s">
        <v>90</v>
      </c>
      <c r="U397" s="16" t="s">
        <v>445</v>
      </c>
      <c r="V397" s="16" t="s">
        <v>453</v>
      </c>
      <c r="W397" s="16" t="s">
        <v>452</v>
      </c>
    </row>
    <row r="398" spans="1:23">
      <c r="A398" s="9" t="s">
        <v>859</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859</v>
      </c>
      <c r="O398" s="16">
        <v>397</v>
      </c>
      <c r="P398" s="16" t="s">
        <v>94</v>
      </c>
      <c r="Q398" s="16" t="s">
        <v>445</v>
      </c>
      <c r="R398" s="16" t="s">
        <v>91</v>
      </c>
      <c r="S398" s="16" t="s">
        <v>90</v>
      </c>
      <c r="T398" s="16" t="s">
        <v>450</v>
      </c>
      <c r="U398" s="16" t="s">
        <v>92</v>
      </c>
      <c r="V398" s="16" t="s">
        <v>453</v>
      </c>
      <c r="W398" s="16" t="s">
        <v>452</v>
      </c>
    </row>
    <row r="399" spans="1:23">
      <c r="A399" s="9" t="s">
        <v>858</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Ghana</v>
      </c>
      <c r="J399" s="9" t="str">
        <f ca="1">+WORLDCUP!BD66</f>
        <v>Senegal</v>
      </c>
      <c r="N399" s="16" t="s">
        <v>858</v>
      </c>
      <c r="O399" s="16">
        <v>398</v>
      </c>
      <c r="P399" s="16" t="s">
        <v>94</v>
      </c>
      <c r="Q399" s="16" t="s">
        <v>451</v>
      </c>
      <c r="R399" s="16" t="s">
        <v>91</v>
      </c>
      <c r="S399" s="16" t="s">
        <v>92</v>
      </c>
      <c r="T399" s="16" t="s">
        <v>90</v>
      </c>
      <c r="U399" s="16" t="s">
        <v>445</v>
      </c>
      <c r="V399" s="16" t="s">
        <v>453</v>
      </c>
      <c r="W399" s="16" t="s">
        <v>450</v>
      </c>
    </row>
    <row r="400" spans="1:23">
      <c r="A400" s="9" t="s">
        <v>857</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857</v>
      </c>
      <c r="O400" s="16">
        <v>399</v>
      </c>
      <c r="P400" s="16" t="s">
        <v>94</v>
      </c>
      <c r="Q400" s="16" t="s">
        <v>451</v>
      </c>
      <c r="R400" s="16" t="s">
        <v>91</v>
      </c>
      <c r="S400" s="16" t="s">
        <v>92</v>
      </c>
      <c r="T400" s="16" t="s">
        <v>90</v>
      </c>
      <c r="U400" s="16" t="s">
        <v>445</v>
      </c>
      <c r="V400" s="16" t="s">
        <v>450</v>
      </c>
      <c r="W400" s="16" t="s">
        <v>452</v>
      </c>
    </row>
    <row r="401" spans="1:23">
      <c r="A401" s="9" t="s">
        <v>856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856</v>
      </c>
      <c r="O401" s="16">
        <v>400</v>
      </c>
      <c r="P401" s="16" t="s">
        <v>94</v>
      </c>
      <c r="Q401" s="16" t="s">
        <v>445</v>
      </c>
      <c r="R401" s="16" t="s">
        <v>91</v>
      </c>
      <c r="S401" s="16" t="s">
        <v>92</v>
      </c>
      <c r="T401" s="16" t="s">
        <v>90</v>
      </c>
      <c r="U401" s="16" t="s">
        <v>446</v>
      </c>
      <c r="V401" s="16" t="s">
        <v>453</v>
      </c>
      <c r="W401" s="16" t="s">
        <v>452</v>
      </c>
    </row>
    <row r="402" spans="1:23">
      <c r="A402" s="9" t="s">
        <v>855</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Ghana</v>
      </c>
      <c r="J402" s="9" t="str">
        <f ca="1">+WORLDCUP!BD62</f>
        <v>Ecuador</v>
      </c>
      <c r="N402" s="16" t="s">
        <v>855</v>
      </c>
      <c r="O402" s="16">
        <v>401</v>
      </c>
      <c r="P402" s="16" t="s">
        <v>446</v>
      </c>
      <c r="Q402" s="16" t="s">
        <v>451</v>
      </c>
      <c r="R402" s="16" t="s">
        <v>91</v>
      </c>
      <c r="S402" s="16" t="s">
        <v>92</v>
      </c>
      <c r="T402" s="16" t="s">
        <v>90</v>
      </c>
      <c r="U402" s="16" t="s">
        <v>445</v>
      </c>
      <c r="V402" s="16" t="s">
        <v>453</v>
      </c>
      <c r="W402" s="16" t="s">
        <v>94</v>
      </c>
    </row>
    <row r="403" spans="1:23">
      <c r="A403" s="9" t="s">
        <v>854</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RD Congo</v>
      </c>
      <c r="N403" s="16" t="s">
        <v>854</v>
      </c>
      <c r="O403" s="16">
        <v>402</v>
      </c>
      <c r="P403" s="16" t="s">
        <v>446</v>
      </c>
      <c r="Q403" s="16" t="s">
        <v>451</v>
      </c>
      <c r="R403" s="16" t="s">
        <v>91</v>
      </c>
      <c r="S403" s="16" t="s">
        <v>92</v>
      </c>
      <c r="T403" s="16" t="s">
        <v>90</v>
      </c>
      <c r="U403" s="16" t="s">
        <v>445</v>
      </c>
      <c r="V403" s="16" t="s">
        <v>94</v>
      </c>
      <c r="W403" s="16" t="s">
        <v>452</v>
      </c>
    </row>
    <row r="404" spans="1:23">
      <c r="A404" s="9" t="s">
        <v>853</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853</v>
      </c>
      <c r="O404" s="16">
        <v>403</v>
      </c>
      <c r="P404" s="16" t="s">
        <v>94</v>
      </c>
      <c r="Q404" s="16" t="s">
        <v>445</v>
      </c>
      <c r="R404" s="16" t="s">
        <v>91</v>
      </c>
      <c r="S404" s="16" t="s">
        <v>92</v>
      </c>
      <c r="T404" s="16" t="s">
        <v>90</v>
      </c>
      <c r="U404" s="16" t="s">
        <v>446</v>
      </c>
      <c r="V404" s="16" t="s">
        <v>453</v>
      </c>
      <c r="W404" s="16" t="s">
        <v>450</v>
      </c>
    </row>
    <row r="405" spans="1:23">
      <c r="A405" s="9" t="s">
        <v>852</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852</v>
      </c>
      <c r="O405" s="16">
        <v>404</v>
      </c>
      <c r="P405" s="16" t="s">
        <v>94</v>
      </c>
      <c r="Q405" s="16" t="s">
        <v>445</v>
      </c>
      <c r="R405" s="16" t="s">
        <v>91</v>
      </c>
      <c r="S405" s="16" t="s">
        <v>92</v>
      </c>
      <c r="T405" s="16" t="s">
        <v>90</v>
      </c>
      <c r="U405" s="16" t="s">
        <v>446</v>
      </c>
      <c r="V405" s="16" t="s">
        <v>450</v>
      </c>
      <c r="W405" s="16" t="s">
        <v>452</v>
      </c>
    </row>
    <row r="406" spans="1:23">
      <c r="A406" s="9" t="s">
        <v>851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851</v>
      </c>
      <c r="O406" s="16">
        <v>405</v>
      </c>
      <c r="P406" s="16" t="s">
        <v>446</v>
      </c>
      <c r="Q406" s="16" t="s">
        <v>451</v>
      </c>
      <c r="R406" s="16" t="s">
        <v>91</v>
      </c>
      <c r="S406" s="16" t="s">
        <v>92</v>
      </c>
      <c r="T406" s="16" t="s">
        <v>90</v>
      </c>
      <c r="U406" s="16" t="s">
        <v>445</v>
      </c>
      <c r="V406" s="16" t="s">
        <v>94</v>
      </c>
      <c r="W406" s="16" t="s">
        <v>450</v>
      </c>
    </row>
    <row r="407" spans="1:23">
      <c r="A407" s="9" t="s">
        <v>850</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850</v>
      </c>
      <c r="O407" s="16">
        <v>406</v>
      </c>
      <c r="P407" s="16" t="s">
        <v>94</v>
      </c>
      <c r="Q407" s="16" t="s">
        <v>451</v>
      </c>
      <c r="R407" s="16" t="s">
        <v>91</v>
      </c>
      <c r="S407" s="16" t="s">
        <v>92</v>
      </c>
      <c r="T407" s="16" t="s">
        <v>90</v>
      </c>
      <c r="U407" s="16" t="s">
        <v>95</v>
      </c>
      <c r="V407" s="16" t="s">
        <v>453</v>
      </c>
      <c r="W407" s="16" t="s">
        <v>452</v>
      </c>
    </row>
    <row r="408" spans="1:23">
      <c r="A408" s="9" t="s">
        <v>849</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849</v>
      </c>
      <c r="O408" s="16">
        <v>407</v>
      </c>
      <c r="P408" s="16" t="s">
        <v>94</v>
      </c>
      <c r="Q408" s="16" t="s">
        <v>450</v>
      </c>
      <c r="R408" s="16" t="s">
        <v>91</v>
      </c>
      <c r="S408" s="16" t="s">
        <v>92</v>
      </c>
      <c r="T408" s="16" t="s">
        <v>90</v>
      </c>
      <c r="U408" s="16" t="s">
        <v>95</v>
      </c>
      <c r="V408" s="16" t="s">
        <v>453</v>
      </c>
      <c r="W408" s="16" t="s">
        <v>452</v>
      </c>
    </row>
    <row r="409" spans="1:23">
      <c r="A409" s="9" t="s">
        <v>848</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848</v>
      </c>
      <c r="O409" s="16">
        <v>408</v>
      </c>
      <c r="P409" s="16" t="s">
        <v>94</v>
      </c>
      <c r="Q409" s="16" t="s">
        <v>451</v>
      </c>
      <c r="R409" s="16" t="s">
        <v>91</v>
      </c>
      <c r="S409" s="16" t="s">
        <v>92</v>
      </c>
      <c r="T409" s="16" t="s">
        <v>90</v>
      </c>
      <c r="U409" s="16" t="s">
        <v>95</v>
      </c>
      <c r="V409" s="16" t="s">
        <v>453</v>
      </c>
      <c r="W409" s="16" t="s">
        <v>450</v>
      </c>
    </row>
    <row r="410" spans="1:23">
      <c r="A410" s="9" t="s">
        <v>847</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847</v>
      </c>
      <c r="O410" s="16">
        <v>409</v>
      </c>
      <c r="P410" s="16" t="s">
        <v>94</v>
      </c>
      <c r="Q410" s="16" t="s">
        <v>451</v>
      </c>
      <c r="R410" s="16" t="s">
        <v>91</v>
      </c>
      <c r="S410" s="16" t="s">
        <v>92</v>
      </c>
      <c r="T410" s="16" t="s">
        <v>90</v>
      </c>
      <c r="U410" s="16" t="s">
        <v>95</v>
      </c>
      <c r="V410" s="16" t="s">
        <v>450</v>
      </c>
      <c r="W410" s="16" t="s">
        <v>452</v>
      </c>
    </row>
    <row r="411" spans="1:23">
      <c r="A411" s="9" t="s">
        <v>846</v>
      </c>
      <c r="B411" s="9">
        <f ca="1">+IF(A411=WORLDCUP!$BI$112,1,0)</f>
        <v>0</v>
      </c>
      <c r="C411" s="9" t="str">
        <f ca="1">+WORLDCUP!BD65</f>
        <v>Arabia Saudita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846</v>
      </c>
      <c r="O411" s="16">
        <v>410</v>
      </c>
      <c r="P411" s="16" t="s">
        <v>446</v>
      </c>
      <c r="Q411" s="16" t="s">
        <v>94</v>
      </c>
      <c r="R411" s="16" t="s">
        <v>91</v>
      </c>
      <c r="S411" s="16" t="s">
        <v>92</v>
      </c>
      <c r="T411" s="16" t="s">
        <v>90</v>
      </c>
      <c r="U411" s="16" t="s">
        <v>95</v>
      </c>
      <c r="V411" s="16" t="s">
        <v>453</v>
      </c>
      <c r="W411" s="16" t="s">
        <v>452</v>
      </c>
    </row>
    <row r="412" spans="1:23">
      <c r="A412" s="9" t="s">
        <v>845</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Ecuador</v>
      </c>
      <c r="N412" s="16" t="s">
        <v>845</v>
      </c>
      <c r="O412" s="16">
        <v>411</v>
      </c>
      <c r="P412" s="16" t="s">
        <v>446</v>
      </c>
      <c r="Q412" s="16" t="s">
        <v>451</v>
      </c>
      <c r="R412" s="16" t="s">
        <v>91</v>
      </c>
      <c r="S412" s="16" t="s">
        <v>92</v>
      </c>
      <c r="T412" s="16" t="s">
        <v>90</v>
      </c>
      <c r="U412" s="16" t="s">
        <v>95</v>
      </c>
      <c r="V412" s="16" t="s">
        <v>453</v>
      </c>
      <c r="W412" s="16" t="s">
        <v>94</v>
      </c>
    </row>
    <row r="413" spans="1:23">
      <c r="A413" s="9" t="s">
        <v>844</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844</v>
      </c>
      <c r="O413" s="16">
        <v>412</v>
      </c>
      <c r="P413" s="16" t="s">
        <v>446</v>
      </c>
      <c r="Q413" s="16" t="s">
        <v>451</v>
      </c>
      <c r="R413" s="16" t="s">
        <v>91</v>
      </c>
      <c r="S413" s="16" t="s">
        <v>92</v>
      </c>
      <c r="T413" s="16" t="s">
        <v>90</v>
      </c>
      <c r="U413" s="16" t="s">
        <v>95</v>
      </c>
      <c r="V413" s="16" t="s">
        <v>94</v>
      </c>
      <c r="W413" s="16" t="s">
        <v>452</v>
      </c>
    </row>
    <row r="414" spans="1:23">
      <c r="A414" s="9" t="s">
        <v>776</v>
      </c>
      <c r="B414" s="9">
        <f ca="1">+IF(A414=WORLDCUP!$BI$112,1,0)</f>
        <v>0</v>
      </c>
      <c r="C414" s="9" t="str">
        <f ca="1">+WORLDCUP!BD65</f>
        <v>Arabia Saudita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776</v>
      </c>
      <c r="O414" s="16">
        <v>413</v>
      </c>
      <c r="P414" s="16" t="s">
        <v>446</v>
      </c>
      <c r="Q414" s="16" t="s">
        <v>94</v>
      </c>
      <c r="R414" s="16" t="s">
        <v>91</v>
      </c>
      <c r="S414" s="16" t="s">
        <v>92</v>
      </c>
      <c r="T414" s="16" t="s">
        <v>90</v>
      </c>
      <c r="U414" s="16" t="s">
        <v>95</v>
      </c>
      <c r="V414" s="16" t="s">
        <v>453</v>
      </c>
      <c r="W414" s="16" t="s">
        <v>450</v>
      </c>
    </row>
    <row r="415" spans="1:23">
      <c r="A415" s="9" t="s">
        <v>843</v>
      </c>
      <c r="B415" s="9">
        <f ca="1">+IF(A415=WORLDCUP!$BI$112,1,0)</f>
        <v>0</v>
      </c>
      <c r="C415" s="9" t="str">
        <f ca="1">+WORLDCUP!BD65</f>
        <v>Arabia Saudita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843</v>
      </c>
      <c r="O415" s="16">
        <v>414</v>
      </c>
      <c r="P415" s="16" t="s">
        <v>446</v>
      </c>
      <c r="Q415" s="16" t="s">
        <v>94</v>
      </c>
      <c r="R415" s="16" t="s">
        <v>91</v>
      </c>
      <c r="S415" s="16" t="s">
        <v>92</v>
      </c>
      <c r="T415" s="16" t="s">
        <v>90</v>
      </c>
      <c r="U415" s="16" t="s">
        <v>95</v>
      </c>
      <c r="V415" s="16" t="s">
        <v>450</v>
      </c>
      <c r="W415" s="16" t="s">
        <v>452</v>
      </c>
    </row>
    <row r="416" spans="1:23">
      <c r="A416" s="9" t="s">
        <v>842</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842</v>
      </c>
      <c r="O416" s="16">
        <v>415</v>
      </c>
      <c r="P416" s="16" t="s">
        <v>446</v>
      </c>
      <c r="Q416" s="16" t="s">
        <v>451</v>
      </c>
      <c r="R416" s="16" t="s">
        <v>91</v>
      </c>
      <c r="S416" s="16" t="s">
        <v>92</v>
      </c>
      <c r="T416" s="16" t="s">
        <v>90</v>
      </c>
      <c r="U416" s="16" t="s">
        <v>95</v>
      </c>
      <c r="V416" s="16" t="s">
        <v>94</v>
      </c>
      <c r="W416" s="16" t="s">
        <v>450</v>
      </c>
    </row>
    <row r="417" spans="1:23">
      <c r="A417" s="9" t="s">
        <v>841</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841</v>
      </c>
      <c r="O417" s="16">
        <v>416</v>
      </c>
      <c r="P417" s="16" t="s">
        <v>94</v>
      </c>
      <c r="Q417" s="16" t="s">
        <v>445</v>
      </c>
      <c r="R417" s="16" t="s">
        <v>91</v>
      </c>
      <c r="S417" s="16" t="s">
        <v>92</v>
      </c>
      <c r="T417" s="16" t="s">
        <v>90</v>
      </c>
      <c r="U417" s="16" t="s">
        <v>95</v>
      </c>
      <c r="V417" s="16" t="s">
        <v>453</v>
      </c>
      <c r="W417" s="16" t="s">
        <v>452</v>
      </c>
    </row>
    <row r="418" spans="1:23">
      <c r="A418" s="9" t="s">
        <v>840</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Austria</v>
      </c>
      <c r="N418" s="16" t="s">
        <v>840</v>
      </c>
      <c r="O418" s="16">
        <v>417</v>
      </c>
      <c r="P418" s="16" t="s">
        <v>94</v>
      </c>
      <c r="Q418" s="16" t="s">
        <v>445</v>
      </c>
      <c r="R418" s="16" t="s">
        <v>91</v>
      </c>
      <c r="S418" s="16" t="s">
        <v>92</v>
      </c>
      <c r="T418" s="16" t="s">
        <v>90</v>
      </c>
      <c r="U418" s="16" t="s">
        <v>95</v>
      </c>
      <c r="V418" s="16" t="s">
        <v>453</v>
      </c>
      <c r="W418" s="16" t="s">
        <v>451</v>
      </c>
    </row>
    <row r="419" spans="1:23">
      <c r="A419" s="9" t="s">
        <v>839</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839</v>
      </c>
      <c r="O419" s="16">
        <v>418</v>
      </c>
      <c r="P419" s="16" t="s">
        <v>94</v>
      </c>
      <c r="Q419" s="16" t="s">
        <v>445</v>
      </c>
      <c r="R419" s="16" t="s">
        <v>91</v>
      </c>
      <c r="S419" s="16" t="s">
        <v>92</v>
      </c>
      <c r="T419" s="16" t="s">
        <v>90</v>
      </c>
      <c r="U419" s="16" t="s">
        <v>95</v>
      </c>
      <c r="V419" s="16" t="s">
        <v>451</v>
      </c>
      <c r="W419" s="16" t="s">
        <v>452</v>
      </c>
    </row>
    <row r="420" spans="1:23">
      <c r="A420" s="9" t="s">
        <v>838</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838</v>
      </c>
      <c r="O420" s="16">
        <v>419</v>
      </c>
      <c r="P420" s="16" t="s">
        <v>94</v>
      </c>
      <c r="Q420" s="16" t="s">
        <v>445</v>
      </c>
      <c r="R420" s="16" t="s">
        <v>91</v>
      </c>
      <c r="S420" s="16" t="s">
        <v>92</v>
      </c>
      <c r="T420" s="16" t="s">
        <v>90</v>
      </c>
      <c r="U420" s="16" t="s">
        <v>95</v>
      </c>
      <c r="V420" s="16" t="s">
        <v>453</v>
      </c>
      <c r="W420" s="16" t="s">
        <v>450</v>
      </c>
    </row>
    <row r="421" spans="1:23">
      <c r="A421" s="9" t="s">
        <v>837</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837</v>
      </c>
      <c r="O421" s="16">
        <v>420</v>
      </c>
      <c r="P421" s="16" t="s">
        <v>94</v>
      </c>
      <c r="Q421" s="16" t="s">
        <v>445</v>
      </c>
      <c r="R421" s="16" t="s">
        <v>91</v>
      </c>
      <c r="S421" s="16" t="s">
        <v>92</v>
      </c>
      <c r="T421" s="16" t="s">
        <v>90</v>
      </c>
      <c r="U421" s="16" t="s">
        <v>95</v>
      </c>
      <c r="V421" s="16" t="s">
        <v>450</v>
      </c>
      <c r="W421" s="16" t="s">
        <v>452</v>
      </c>
    </row>
    <row r="422" spans="1:23">
      <c r="A422" s="9" t="s">
        <v>836</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836</v>
      </c>
      <c r="O422" s="16">
        <v>421</v>
      </c>
      <c r="P422" s="16" t="s">
        <v>94</v>
      </c>
      <c r="Q422" s="16" t="s">
        <v>445</v>
      </c>
      <c r="R422" s="16" t="s">
        <v>91</v>
      </c>
      <c r="S422" s="16" t="s">
        <v>92</v>
      </c>
      <c r="T422" s="16" t="s">
        <v>90</v>
      </c>
      <c r="U422" s="16" t="s">
        <v>95</v>
      </c>
      <c r="V422" s="16" t="s">
        <v>450</v>
      </c>
      <c r="W422" s="16" t="s">
        <v>451</v>
      </c>
    </row>
    <row r="423" spans="1:23">
      <c r="A423" s="9" t="s">
        <v>835</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Ecuador</v>
      </c>
      <c r="N423" s="16" t="s">
        <v>835</v>
      </c>
      <c r="O423" s="16">
        <v>422</v>
      </c>
      <c r="P423" s="16" t="s">
        <v>446</v>
      </c>
      <c r="Q423" s="16" t="s">
        <v>445</v>
      </c>
      <c r="R423" s="16" t="s">
        <v>91</v>
      </c>
      <c r="S423" s="16" t="s">
        <v>92</v>
      </c>
      <c r="T423" s="16" t="s">
        <v>90</v>
      </c>
      <c r="U423" s="16" t="s">
        <v>95</v>
      </c>
      <c r="V423" s="16" t="s">
        <v>453</v>
      </c>
      <c r="W423" s="16" t="s">
        <v>94</v>
      </c>
    </row>
    <row r="424" spans="1:23">
      <c r="A424" s="9" t="s">
        <v>834</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834</v>
      </c>
      <c r="O424" s="16">
        <v>423</v>
      </c>
      <c r="P424" s="16" t="s">
        <v>446</v>
      </c>
      <c r="Q424" s="16" t="s">
        <v>445</v>
      </c>
      <c r="R424" s="16" t="s">
        <v>91</v>
      </c>
      <c r="S424" s="16" t="s">
        <v>92</v>
      </c>
      <c r="T424" s="16" t="s">
        <v>90</v>
      </c>
      <c r="U424" s="16" t="s">
        <v>95</v>
      </c>
      <c r="V424" s="16" t="s">
        <v>94</v>
      </c>
      <c r="W424" s="16" t="s">
        <v>452</v>
      </c>
    </row>
    <row r="425" spans="1:23">
      <c r="A425" s="9" t="s">
        <v>833</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833</v>
      </c>
      <c r="O425" s="16">
        <v>424</v>
      </c>
      <c r="P425" s="16" t="s">
        <v>446</v>
      </c>
      <c r="Q425" s="16" t="s">
        <v>445</v>
      </c>
      <c r="R425" s="16" t="s">
        <v>91</v>
      </c>
      <c r="S425" s="16" t="s">
        <v>92</v>
      </c>
      <c r="T425" s="16" t="s">
        <v>90</v>
      </c>
      <c r="U425" s="16" t="s">
        <v>95</v>
      </c>
      <c r="V425" s="16" t="s">
        <v>94</v>
      </c>
      <c r="W425" s="16" t="s">
        <v>451</v>
      </c>
    </row>
    <row r="426" spans="1:23">
      <c r="A426" s="9" t="s">
        <v>832</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832</v>
      </c>
      <c r="O426" s="16">
        <v>425</v>
      </c>
      <c r="P426" s="16" t="s">
        <v>446</v>
      </c>
      <c r="Q426" s="16" t="s">
        <v>445</v>
      </c>
      <c r="R426" s="16" t="s">
        <v>91</v>
      </c>
      <c r="S426" s="16" t="s">
        <v>92</v>
      </c>
      <c r="T426" s="16" t="s">
        <v>90</v>
      </c>
      <c r="U426" s="16" t="s">
        <v>95</v>
      </c>
      <c r="V426" s="16" t="s">
        <v>94</v>
      </c>
      <c r="W426" s="16" t="s">
        <v>450</v>
      </c>
    </row>
    <row r="427" spans="1:23">
      <c r="A427" s="9" t="s">
        <v>831</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Paraguay</v>
      </c>
      <c r="I427" s="9" t="str">
        <f ca="1">+WORLDCUP!BD69</f>
        <v>Ghana</v>
      </c>
      <c r="J427" s="9" t="str">
        <f ca="1">+WORLDCUP!BD68</f>
        <v>RD Congo</v>
      </c>
      <c r="N427" s="16" t="s">
        <v>831</v>
      </c>
      <c r="O427" s="16">
        <v>426</v>
      </c>
      <c r="P427" s="16" t="s">
        <v>450</v>
      </c>
      <c r="Q427" s="16" t="s">
        <v>451</v>
      </c>
      <c r="R427" s="16" t="s">
        <v>91</v>
      </c>
      <c r="S427" s="16" t="s">
        <v>92</v>
      </c>
      <c r="T427" s="16" t="s">
        <v>90</v>
      </c>
      <c r="U427" s="16" t="s">
        <v>93</v>
      </c>
      <c r="V427" s="16" t="s">
        <v>453</v>
      </c>
      <c r="W427" s="16" t="s">
        <v>452</v>
      </c>
    </row>
    <row r="428" spans="1:23">
      <c r="A428" s="9" t="s">
        <v>830</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Paraguay</v>
      </c>
      <c r="I428" s="9" t="str">
        <f ca="1">+WORLDCUP!BD69</f>
        <v>Ghana</v>
      </c>
      <c r="J428" s="9" t="str">
        <f ca="1">+WORLDCUP!BD68</f>
        <v>RD Congo</v>
      </c>
      <c r="N428" s="16" t="s">
        <v>830</v>
      </c>
      <c r="O428" s="16">
        <v>427</v>
      </c>
      <c r="P428" s="16" t="s">
        <v>446</v>
      </c>
      <c r="Q428" s="16" t="s">
        <v>451</v>
      </c>
      <c r="R428" s="16" t="s">
        <v>91</v>
      </c>
      <c r="S428" s="16" t="s">
        <v>92</v>
      </c>
      <c r="T428" s="16" t="s">
        <v>90</v>
      </c>
      <c r="U428" s="16" t="s">
        <v>93</v>
      </c>
      <c r="V428" s="16" t="s">
        <v>453</v>
      </c>
      <c r="W428" s="16" t="s">
        <v>452</v>
      </c>
    </row>
    <row r="429" spans="1:23">
      <c r="A429" s="9" t="s">
        <v>829</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Ghana</v>
      </c>
      <c r="J429" s="9" t="str">
        <f ca="1">+WORLDCUP!BD68</f>
        <v>RD Congo</v>
      </c>
      <c r="N429" s="16" t="s">
        <v>829</v>
      </c>
      <c r="O429" s="16">
        <v>428</v>
      </c>
      <c r="P429" s="16" t="s">
        <v>446</v>
      </c>
      <c r="Q429" s="16" t="s">
        <v>450</v>
      </c>
      <c r="R429" s="16" t="s">
        <v>91</v>
      </c>
      <c r="S429" s="16" t="s">
        <v>92</v>
      </c>
      <c r="T429" s="16" t="s">
        <v>90</v>
      </c>
      <c r="U429" s="16" t="s">
        <v>93</v>
      </c>
      <c r="V429" s="16" t="s">
        <v>453</v>
      </c>
      <c r="W429" s="16" t="s">
        <v>452</v>
      </c>
    </row>
    <row r="430" spans="1:23">
      <c r="A430" s="9" t="s">
        <v>828</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Paraguay</v>
      </c>
      <c r="I430" s="9" t="str">
        <f ca="1">+WORLDCUP!BD69</f>
        <v>Ghana</v>
      </c>
      <c r="J430" s="9" t="str">
        <f ca="1">+WORLDCUP!BD66</f>
        <v>Senegal</v>
      </c>
      <c r="N430" s="16" t="s">
        <v>828</v>
      </c>
      <c r="O430" s="16">
        <v>429</v>
      </c>
      <c r="P430" s="16" t="s">
        <v>446</v>
      </c>
      <c r="Q430" s="16" t="s">
        <v>451</v>
      </c>
      <c r="R430" s="16" t="s">
        <v>91</v>
      </c>
      <c r="S430" s="16" t="s">
        <v>92</v>
      </c>
      <c r="T430" s="16" t="s">
        <v>90</v>
      </c>
      <c r="U430" s="16" t="s">
        <v>93</v>
      </c>
      <c r="V430" s="16" t="s">
        <v>453</v>
      </c>
      <c r="W430" s="16" t="s">
        <v>450</v>
      </c>
    </row>
    <row r="431" spans="1:23">
      <c r="A431" s="9" t="s">
        <v>827</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827</v>
      </c>
      <c r="O431" s="16">
        <v>430</v>
      </c>
      <c r="P431" s="16" t="s">
        <v>446</v>
      </c>
      <c r="Q431" s="16" t="s">
        <v>451</v>
      </c>
      <c r="R431" s="16" t="s">
        <v>91</v>
      </c>
      <c r="S431" s="16" t="s">
        <v>92</v>
      </c>
      <c r="T431" s="16" t="s">
        <v>90</v>
      </c>
      <c r="U431" s="16" t="s">
        <v>93</v>
      </c>
      <c r="V431" s="16" t="s">
        <v>450</v>
      </c>
      <c r="W431" s="16" t="s">
        <v>452</v>
      </c>
    </row>
    <row r="432" spans="1:23">
      <c r="A432" s="9" t="s">
        <v>826</v>
      </c>
      <c r="B432" s="9">
        <f ca="1">+IF(A432=WORLDCUP!$BI$112,1,0)</f>
        <v>0</v>
      </c>
      <c r="C432" s="9" t="str">
        <f ca="1">+WORLDCUP!BD60</f>
        <v>Escocia</v>
      </c>
      <c r="D432" s="9" t="str">
        <f ca="1">+WORLDCUP!BD67</f>
        <v>Austria</v>
      </c>
      <c r="E432" s="9" t="str">
        <f ca="1">+WORLDCUP!BD59</f>
        <v>Bosnia y Herzegovina</v>
      </c>
      <c r="F432" s="9" t="str">
        <f ca="1">+WORLDCUP!BD61</f>
        <v>Paraguay</v>
      </c>
      <c r="G432" s="9" t="str">
        <f ca="1">+WORLDCUP!BD58</f>
        <v>República Checa</v>
      </c>
      <c r="H432" s="9" t="str">
        <f ca="1">+WORLDCUP!BD64</f>
        <v>Irán</v>
      </c>
      <c r="I432" s="9" t="str">
        <f ca="1">+WORLDCUP!BD69</f>
        <v>Ghana</v>
      </c>
      <c r="J432" s="9" t="str">
        <f ca="1">+WORLDCUP!BD68</f>
        <v>RD Congo</v>
      </c>
      <c r="N432" s="16" t="s">
        <v>826</v>
      </c>
      <c r="O432" s="16">
        <v>431</v>
      </c>
      <c r="P432" s="16" t="s">
        <v>92</v>
      </c>
      <c r="Q432" s="16" t="s">
        <v>451</v>
      </c>
      <c r="R432" s="16" t="s">
        <v>91</v>
      </c>
      <c r="S432" s="16" t="s">
        <v>93</v>
      </c>
      <c r="T432" s="16" t="s">
        <v>90</v>
      </c>
      <c r="U432" s="16" t="s">
        <v>445</v>
      </c>
      <c r="V432" s="16" t="s">
        <v>453</v>
      </c>
      <c r="W432" s="16" t="s">
        <v>452</v>
      </c>
    </row>
    <row r="433" spans="1:23">
      <c r="A433" s="9" t="s">
        <v>825</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Ghana</v>
      </c>
      <c r="J433" s="9" t="str">
        <f ca="1">+WORLDCUP!BD68</f>
        <v>RD Congo</v>
      </c>
      <c r="N433" s="16" t="s">
        <v>825</v>
      </c>
      <c r="O433" s="16">
        <v>432</v>
      </c>
      <c r="P433" s="16" t="s">
        <v>450</v>
      </c>
      <c r="Q433" s="16" t="s">
        <v>445</v>
      </c>
      <c r="R433" s="16" t="s">
        <v>91</v>
      </c>
      <c r="S433" s="16" t="s">
        <v>92</v>
      </c>
      <c r="T433" s="16" t="s">
        <v>90</v>
      </c>
      <c r="U433" s="16" t="s">
        <v>93</v>
      </c>
      <c r="V433" s="16" t="s">
        <v>453</v>
      </c>
      <c r="W433" s="16" t="s">
        <v>452</v>
      </c>
    </row>
    <row r="434" spans="1:23">
      <c r="A434" s="9" t="s">
        <v>824</v>
      </c>
      <c r="B434" s="9">
        <f ca="1">+IF(A434=WORLDCUP!$BI$112,1,0)</f>
        <v>0</v>
      </c>
      <c r="C434" s="9" t="str">
        <f ca="1">+WORLDCUP!BD60</f>
        <v>Escocia</v>
      </c>
      <c r="D434" s="9" t="str">
        <f ca="1">+WORLDCUP!BD67</f>
        <v>Austria</v>
      </c>
      <c r="E434" s="9" t="str">
        <f ca="1">+WORLDCUP!BD59</f>
        <v>Bosnia y Herzegovina</v>
      </c>
      <c r="F434" s="9" t="str">
        <f ca="1">+WORLDCUP!BD61</f>
        <v>Paraguay</v>
      </c>
      <c r="G434" s="9" t="str">
        <f ca="1">+WORLDCUP!BD58</f>
        <v>República Checa</v>
      </c>
      <c r="H434" s="9" t="str">
        <f ca="1">+WORLDCUP!BD64</f>
        <v>Irán</v>
      </c>
      <c r="I434" s="9" t="str">
        <f ca="1">+WORLDCUP!BD69</f>
        <v>Ghana</v>
      </c>
      <c r="J434" s="9" t="str">
        <f ca="1">+WORLDCUP!BD66</f>
        <v>Senegal</v>
      </c>
      <c r="N434" s="16" t="s">
        <v>824</v>
      </c>
      <c r="O434" s="16">
        <v>433</v>
      </c>
      <c r="P434" s="16" t="s">
        <v>92</v>
      </c>
      <c r="Q434" s="16" t="s">
        <v>451</v>
      </c>
      <c r="R434" s="16" t="s">
        <v>91</v>
      </c>
      <c r="S434" s="16" t="s">
        <v>93</v>
      </c>
      <c r="T434" s="16" t="s">
        <v>90</v>
      </c>
      <c r="U434" s="16" t="s">
        <v>445</v>
      </c>
      <c r="V434" s="16" t="s">
        <v>453</v>
      </c>
      <c r="W434" s="16" t="s">
        <v>450</v>
      </c>
    </row>
    <row r="435" spans="1:23">
      <c r="A435" s="9" t="s">
        <v>823</v>
      </c>
      <c r="B435" s="9">
        <f ca="1">+IF(A435=WORLDCUP!$BI$112,1,0)</f>
        <v>0</v>
      </c>
      <c r="C435" s="9" t="str">
        <f ca="1">+WORLDCUP!BD60</f>
        <v>Escocia</v>
      </c>
      <c r="D435" s="9" t="str">
        <f ca="1">+WORLDCUP!BD67</f>
        <v>Austria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823</v>
      </c>
      <c r="O435" s="16">
        <v>434</v>
      </c>
      <c r="P435" s="16" t="s">
        <v>92</v>
      </c>
      <c r="Q435" s="16" t="s">
        <v>451</v>
      </c>
      <c r="R435" s="16" t="s">
        <v>91</v>
      </c>
      <c r="S435" s="16" t="s">
        <v>93</v>
      </c>
      <c r="T435" s="16" t="s">
        <v>90</v>
      </c>
      <c r="U435" s="16" t="s">
        <v>445</v>
      </c>
      <c r="V435" s="16" t="s">
        <v>450</v>
      </c>
      <c r="W435" s="16" t="s">
        <v>452</v>
      </c>
    </row>
    <row r="436" spans="1:23">
      <c r="A436" s="9" t="s">
        <v>822</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Ghana</v>
      </c>
      <c r="J436" s="9" t="str">
        <f ca="1">+WORLDCUP!BD68</f>
        <v>RD Congo</v>
      </c>
      <c r="N436" s="16" t="s">
        <v>822</v>
      </c>
      <c r="O436" s="16">
        <v>435</v>
      </c>
      <c r="P436" s="16" t="s">
        <v>446</v>
      </c>
      <c r="Q436" s="16" t="s">
        <v>445</v>
      </c>
      <c r="R436" s="16" t="s">
        <v>91</v>
      </c>
      <c r="S436" s="16" t="s">
        <v>92</v>
      </c>
      <c r="T436" s="16" t="s">
        <v>90</v>
      </c>
      <c r="U436" s="16" t="s">
        <v>93</v>
      </c>
      <c r="V436" s="16" t="s">
        <v>453</v>
      </c>
      <c r="W436" s="16" t="s">
        <v>452</v>
      </c>
    </row>
    <row r="437" spans="1:23">
      <c r="A437" s="9" t="s">
        <v>821</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Ghana</v>
      </c>
      <c r="J437" s="9" t="str">
        <f ca="1">+WORLDCUP!BD67</f>
        <v>Austria</v>
      </c>
      <c r="N437" s="16" t="s">
        <v>821</v>
      </c>
      <c r="O437" s="16">
        <v>436</v>
      </c>
      <c r="P437" s="16" t="s">
        <v>446</v>
      </c>
      <c r="Q437" s="16" t="s">
        <v>445</v>
      </c>
      <c r="R437" s="16" t="s">
        <v>91</v>
      </c>
      <c r="S437" s="16" t="s">
        <v>92</v>
      </c>
      <c r="T437" s="16" t="s">
        <v>90</v>
      </c>
      <c r="U437" s="16" t="s">
        <v>93</v>
      </c>
      <c r="V437" s="16" t="s">
        <v>453</v>
      </c>
      <c r="W437" s="16" t="s">
        <v>451</v>
      </c>
    </row>
    <row r="438" spans="1:23">
      <c r="A438" s="9" t="s">
        <v>820</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Austria</v>
      </c>
      <c r="J438" s="9" t="str">
        <f ca="1">+WORLDCUP!BD68</f>
        <v>RD Congo</v>
      </c>
      <c r="N438" s="16" t="s">
        <v>820</v>
      </c>
      <c r="O438" s="16">
        <v>437</v>
      </c>
      <c r="P438" s="16" t="s">
        <v>446</v>
      </c>
      <c r="Q438" s="16" t="s">
        <v>445</v>
      </c>
      <c r="R438" s="16" t="s">
        <v>91</v>
      </c>
      <c r="S438" s="16" t="s">
        <v>92</v>
      </c>
      <c r="T438" s="16" t="s">
        <v>90</v>
      </c>
      <c r="U438" s="16" t="s">
        <v>93</v>
      </c>
      <c r="V438" s="16" t="s">
        <v>451</v>
      </c>
      <c r="W438" s="16" t="s">
        <v>452</v>
      </c>
    </row>
    <row r="439" spans="1:23">
      <c r="A439" s="9" t="s">
        <v>819</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Ghana</v>
      </c>
      <c r="J439" s="9" t="str">
        <f ca="1">+WORLDCUP!BD66</f>
        <v>Senegal</v>
      </c>
      <c r="N439" s="16" t="s">
        <v>819</v>
      </c>
      <c r="O439" s="16">
        <v>438</v>
      </c>
      <c r="P439" s="16" t="s">
        <v>446</v>
      </c>
      <c r="Q439" s="16" t="s">
        <v>445</v>
      </c>
      <c r="R439" s="16" t="s">
        <v>91</v>
      </c>
      <c r="S439" s="16" t="s">
        <v>92</v>
      </c>
      <c r="T439" s="16" t="s">
        <v>90</v>
      </c>
      <c r="U439" s="16" t="s">
        <v>93</v>
      </c>
      <c r="V439" s="16" t="s">
        <v>453</v>
      </c>
      <c r="W439" s="16" t="s">
        <v>450</v>
      </c>
    </row>
    <row r="440" spans="1:23">
      <c r="A440" s="9" t="s">
        <v>818</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818</v>
      </c>
      <c r="O440" s="16">
        <v>439</v>
      </c>
      <c r="P440" s="16" t="s">
        <v>446</v>
      </c>
      <c r="Q440" s="16" t="s">
        <v>445</v>
      </c>
      <c r="R440" s="16" t="s">
        <v>91</v>
      </c>
      <c r="S440" s="16" t="s">
        <v>92</v>
      </c>
      <c r="T440" s="16" t="s">
        <v>90</v>
      </c>
      <c r="U440" s="16" t="s">
        <v>93</v>
      </c>
      <c r="V440" s="16" t="s">
        <v>450</v>
      </c>
      <c r="W440" s="16" t="s">
        <v>452</v>
      </c>
    </row>
    <row r="441" spans="1:23">
      <c r="A441" s="9" t="s">
        <v>817</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Austria</v>
      </c>
      <c r="N441" s="16" t="s">
        <v>817</v>
      </c>
      <c r="O441" s="16">
        <v>440</v>
      </c>
      <c r="P441" s="16" t="s">
        <v>446</v>
      </c>
      <c r="Q441" s="16" t="s">
        <v>445</v>
      </c>
      <c r="R441" s="16" t="s">
        <v>91</v>
      </c>
      <c r="S441" s="16" t="s">
        <v>92</v>
      </c>
      <c r="T441" s="16" t="s">
        <v>90</v>
      </c>
      <c r="U441" s="16" t="s">
        <v>93</v>
      </c>
      <c r="V441" s="16" t="s">
        <v>450</v>
      </c>
      <c r="W441" s="16" t="s">
        <v>451</v>
      </c>
    </row>
    <row r="442" spans="1:23">
      <c r="A442" s="9" t="s">
        <v>816</v>
      </c>
      <c r="B442" s="9">
        <f ca="1">+IF(A442=WORLDCUP!$BI$112,1,0)</f>
        <v>0</v>
      </c>
      <c r="C442" s="9" t="str">
        <f ca="1">+WORLDCUP!BD60</f>
        <v>Escocia</v>
      </c>
      <c r="D442" s="9" t="str">
        <f ca="1">+WORLDCUP!BD67</f>
        <v>Austria</v>
      </c>
      <c r="E442" s="9" t="str">
        <f ca="1">+WORLDCUP!BD59</f>
        <v>Bosnia y Herzegovina</v>
      </c>
      <c r="F442" s="9" t="str">
        <f ca="1">+WORLDCUP!BD61</f>
        <v>Paraguay</v>
      </c>
      <c r="G442" s="9" t="str">
        <f ca="1">+WORLDCUP!BD58</f>
        <v>República Checa</v>
      </c>
      <c r="H442" s="9" t="str">
        <f ca="1">+WORLDCUP!BD63</f>
        <v>Suecia</v>
      </c>
      <c r="I442" s="9" t="str">
        <f ca="1">+WORLDCUP!BD69</f>
        <v>Ghana</v>
      </c>
      <c r="J442" s="9" t="str">
        <f ca="1">+WORLDCUP!BD68</f>
        <v>RD Congo</v>
      </c>
      <c r="N442" s="16" t="s">
        <v>816</v>
      </c>
      <c r="O442" s="16">
        <v>441</v>
      </c>
      <c r="P442" s="16" t="s">
        <v>92</v>
      </c>
      <c r="Q442" s="16" t="s">
        <v>451</v>
      </c>
      <c r="R442" s="16" t="s">
        <v>91</v>
      </c>
      <c r="S442" s="16" t="s">
        <v>93</v>
      </c>
      <c r="T442" s="16" t="s">
        <v>90</v>
      </c>
      <c r="U442" s="16" t="s">
        <v>95</v>
      </c>
      <c r="V442" s="16" t="s">
        <v>453</v>
      </c>
      <c r="W442" s="16" t="s">
        <v>452</v>
      </c>
    </row>
    <row r="443" spans="1:23">
      <c r="A443" s="9" t="s">
        <v>815</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Ghana</v>
      </c>
      <c r="J443" s="9" t="str">
        <f ca="1">+WORLDCUP!BD68</f>
        <v>RD Congo</v>
      </c>
      <c r="N443" s="16" t="s">
        <v>815</v>
      </c>
      <c r="O443" s="16">
        <v>442</v>
      </c>
      <c r="P443" s="16" t="s">
        <v>92</v>
      </c>
      <c r="Q443" s="16" t="s">
        <v>450</v>
      </c>
      <c r="R443" s="16" t="s">
        <v>91</v>
      </c>
      <c r="S443" s="16" t="s">
        <v>93</v>
      </c>
      <c r="T443" s="16" t="s">
        <v>90</v>
      </c>
      <c r="U443" s="16" t="s">
        <v>95</v>
      </c>
      <c r="V443" s="16" t="s">
        <v>453</v>
      </c>
      <c r="W443" s="16" t="s">
        <v>452</v>
      </c>
    </row>
    <row r="444" spans="1:23">
      <c r="A444" s="9" t="s">
        <v>814</v>
      </c>
      <c r="B444" s="9">
        <f ca="1">+IF(A444=WORLDCUP!$BI$112,1,0)</f>
        <v>0</v>
      </c>
      <c r="C444" s="9" t="str">
        <f ca="1">+WORLDCUP!BD60</f>
        <v>Escocia</v>
      </c>
      <c r="D444" s="9" t="str">
        <f ca="1">+WORLDCUP!BD67</f>
        <v>Austria</v>
      </c>
      <c r="E444" s="9" t="str">
        <f ca="1">+WORLDCUP!BD59</f>
        <v>Bosnia y Herzegovina</v>
      </c>
      <c r="F444" s="9" t="str">
        <f ca="1">+WORLDCUP!BD61</f>
        <v>Paraguay</v>
      </c>
      <c r="G444" s="9" t="str">
        <f ca="1">+WORLDCUP!BD58</f>
        <v>República Checa</v>
      </c>
      <c r="H444" s="9" t="str">
        <f ca="1">+WORLDCUP!BD63</f>
        <v>Suecia</v>
      </c>
      <c r="I444" s="9" t="str">
        <f ca="1">+WORLDCUP!BD69</f>
        <v>Ghana</v>
      </c>
      <c r="J444" s="9" t="str">
        <f ca="1">+WORLDCUP!BD66</f>
        <v>Senegal</v>
      </c>
      <c r="N444" s="16" t="s">
        <v>814</v>
      </c>
      <c r="O444" s="16">
        <v>443</v>
      </c>
      <c r="P444" s="16" t="s">
        <v>92</v>
      </c>
      <c r="Q444" s="16" t="s">
        <v>451</v>
      </c>
      <c r="R444" s="16" t="s">
        <v>91</v>
      </c>
      <c r="S444" s="16" t="s">
        <v>93</v>
      </c>
      <c r="T444" s="16" t="s">
        <v>90</v>
      </c>
      <c r="U444" s="16" t="s">
        <v>95</v>
      </c>
      <c r="V444" s="16" t="s">
        <v>453</v>
      </c>
      <c r="W444" s="16" t="s">
        <v>450</v>
      </c>
    </row>
    <row r="445" spans="1:23">
      <c r="A445" s="9" t="s">
        <v>813</v>
      </c>
      <c r="B445" s="9">
        <f ca="1">+IF(A445=WORLDCUP!$BI$112,1,0)</f>
        <v>0</v>
      </c>
      <c r="C445" s="9" t="str">
        <f ca="1">+WORLDCUP!BD60</f>
        <v>Escocia</v>
      </c>
      <c r="D445" s="9" t="str">
        <f ca="1">+WORLDCUP!BD67</f>
        <v>Austria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813</v>
      </c>
      <c r="O445" s="16">
        <v>444</v>
      </c>
      <c r="P445" s="16" t="s">
        <v>92</v>
      </c>
      <c r="Q445" s="16" t="s">
        <v>451</v>
      </c>
      <c r="R445" s="16" t="s">
        <v>91</v>
      </c>
      <c r="S445" s="16" t="s">
        <v>93</v>
      </c>
      <c r="T445" s="16" t="s">
        <v>90</v>
      </c>
      <c r="U445" s="16" t="s">
        <v>95</v>
      </c>
      <c r="V445" s="16" t="s">
        <v>450</v>
      </c>
      <c r="W445" s="16" t="s">
        <v>452</v>
      </c>
    </row>
    <row r="446" spans="1:23">
      <c r="A446" s="9" t="s">
        <v>812</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Ghana</v>
      </c>
      <c r="J446" s="9" t="str">
        <f ca="1">+WORLDCUP!BD68</f>
        <v>RD Congo</v>
      </c>
      <c r="N446" s="16" t="s">
        <v>812</v>
      </c>
      <c r="O446" s="16">
        <v>445</v>
      </c>
      <c r="P446" s="16" t="s">
        <v>446</v>
      </c>
      <c r="Q446" s="16" t="s">
        <v>95</v>
      </c>
      <c r="R446" s="16" t="s">
        <v>91</v>
      </c>
      <c r="S446" s="16" t="s">
        <v>92</v>
      </c>
      <c r="T446" s="16" t="s">
        <v>90</v>
      </c>
      <c r="U446" s="16" t="s">
        <v>93</v>
      </c>
      <c r="V446" s="16" t="s">
        <v>453</v>
      </c>
      <c r="W446" s="16" t="s">
        <v>452</v>
      </c>
    </row>
    <row r="447" spans="1:23">
      <c r="A447" s="9" t="s">
        <v>811</v>
      </c>
      <c r="B447" s="9">
        <f ca="1">+IF(A447=WORLDCUP!$BI$112,1,0)</f>
        <v>0</v>
      </c>
      <c r="C447" s="9" t="str">
        <f ca="1">+WORLDCUP!BD60</f>
        <v>Escocia</v>
      </c>
      <c r="D447" s="9" t="str">
        <f ca="1">+WORLDCUP!BD67</f>
        <v>Austria</v>
      </c>
      <c r="E447" s="9" t="str">
        <f ca="1">+WORLDCUP!BD59</f>
        <v>Bosnia y Herzegovina</v>
      </c>
      <c r="F447" s="9" t="str">
        <f ca="1">+WORLDCUP!BD61</f>
        <v>Paraguay</v>
      </c>
      <c r="G447" s="9" t="str">
        <f ca="1">+WORLDCUP!BD58</f>
        <v>República Checa</v>
      </c>
      <c r="H447" s="9" t="str">
        <f ca="1">+WORLDCUP!BD63</f>
        <v>Suecia</v>
      </c>
      <c r="I447" s="9" t="str">
        <f ca="1">+WORLDCUP!BD69</f>
        <v>Ghana</v>
      </c>
      <c r="J447" s="9" t="str">
        <f ca="1">+WORLDCUP!BD65</f>
        <v>Arabia Saudita</v>
      </c>
      <c r="N447" s="16" t="s">
        <v>811</v>
      </c>
      <c r="O447" s="16">
        <v>446</v>
      </c>
      <c r="P447" s="16" t="s">
        <v>92</v>
      </c>
      <c r="Q447" s="16" t="s">
        <v>451</v>
      </c>
      <c r="R447" s="16" t="s">
        <v>91</v>
      </c>
      <c r="S447" s="16" t="s">
        <v>93</v>
      </c>
      <c r="T447" s="16" t="s">
        <v>90</v>
      </c>
      <c r="U447" s="16" t="s">
        <v>95</v>
      </c>
      <c r="V447" s="16" t="s">
        <v>453</v>
      </c>
      <c r="W447" s="16" t="s">
        <v>446</v>
      </c>
    </row>
    <row r="448" spans="1:23">
      <c r="A448" s="9" t="s">
        <v>810</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810</v>
      </c>
      <c r="O448" s="16">
        <v>447</v>
      </c>
      <c r="P448" s="16" t="s">
        <v>446</v>
      </c>
      <c r="Q448" s="16" t="s">
        <v>451</v>
      </c>
      <c r="R448" s="16" t="s">
        <v>91</v>
      </c>
      <c r="S448" s="16" t="s">
        <v>92</v>
      </c>
      <c r="T448" s="16" t="s">
        <v>90</v>
      </c>
      <c r="U448" s="16" t="s">
        <v>95</v>
      </c>
      <c r="V448" s="16" t="s">
        <v>93</v>
      </c>
      <c r="W448" s="16" t="s">
        <v>452</v>
      </c>
    </row>
    <row r="449" spans="1:23">
      <c r="A449" s="9" t="s">
        <v>809</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Ghana</v>
      </c>
      <c r="J449" s="9" t="str">
        <f ca="1">+WORLDCUP!BD66</f>
        <v>Senegal</v>
      </c>
      <c r="N449" s="16" t="s">
        <v>809</v>
      </c>
      <c r="O449" s="16">
        <v>448</v>
      </c>
      <c r="P449" s="16" t="s">
        <v>446</v>
      </c>
      <c r="Q449" s="16" t="s">
        <v>95</v>
      </c>
      <c r="R449" s="16" t="s">
        <v>91</v>
      </c>
      <c r="S449" s="16" t="s">
        <v>92</v>
      </c>
      <c r="T449" s="16" t="s">
        <v>90</v>
      </c>
      <c r="U449" s="16" t="s">
        <v>93</v>
      </c>
      <c r="V449" s="16" t="s">
        <v>453</v>
      </c>
      <c r="W449" s="16" t="s">
        <v>450</v>
      </c>
    </row>
    <row r="450" spans="1:23">
      <c r="A450" s="9" t="s">
        <v>808</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808</v>
      </c>
      <c r="O450" s="16">
        <v>449</v>
      </c>
      <c r="P450" s="16" t="s">
        <v>446</v>
      </c>
      <c r="Q450" s="16" t="s">
        <v>95</v>
      </c>
      <c r="R450" s="16" t="s">
        <v>91</v>
      </c>
      <c r="S450" s="16" t="s">
        <v>92</v>
      </c>
      <c r="T450" s="16" t="s">
        <v>90</v>
      </c>
      <c r="U450" s="16" t="s">
        <v>93</v>
      </c>
      <c r="V450" s="16" t="s">
        <v>450</v>
      </c>
      <c r="W450" s="16" t="s">
        <v>452</v>
      </c>
    </row>
    <row r="451" spans="1:23">
      <c r="A451" s="9" t="s">
        <v>807</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807</v>
      </c>
      <c r="O451" s="16">
        <v>450</v>
      </c>
      <c r="P451" s="16" t="s">
        <v>446</v>
      </c>
      <c r="Q451" s="16" t="s">
        <v>451</v>
      </c>
      <c r="R451" s="16" t="s">
        <v>91</v>
      </c>
      <c r="S451" s="16" t="s">
        <v>92</v>
      </c>
      <c r="T451" s="16" t="s">
        <v>90</v>
      </c>
      <c r="U451" s="16" t="s">
        <v>95</v>
      </c>
      <c r="V451" s="16" t="s">
        <v>93</v>
      </c>
      <c r="W451" s="16" t="s">
        <v>450</v>
      </c>
    </row>
    <row r="452" spans="1:23">
      <c r="A452" s="9" t="s">
        <v>806</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Suecia</v>
      </c>
      <c r="I452" s="9" t="str">
        <f ca="1">+WORLDCUP!BD69</f>
        <v>Ghana</v>
      </c>
      <c r="J452" s="9" t="str">
        <f ca="1">+WORLDCUP!BD68</f>
        <v>RD Congo</v>
      </c>
      <c r="N452" s="16" t="s">
        <v>806</v>
      </c>
      <c r="O452" s="16">
        <v>451</v>
      </c>
      <c r="P452" s="16" t="s">
        <v>92</v>
      </c>
      <c r="Q452" s="16" t="s">
        <v>445</v>
      </c>
      <c r="R452" s="16" t="s">
        <v>91</v>
      </c>
      <c r="S452" s="16" t="s">
        <v>93</v>
      </c>
      <c r="T452" s="16" t="s">
        <v>90</v>
      </c>
      <c r="U452" s="16" t="s">
        <v>95</v>
      </c>
      <c r="V452" s="16" t="s">
        <v>453</v>
      </c>
      <c r="W452" s="16" t="s">
        <v>452</v>
      </c>
    </row>
    <row r="453" spans="1:23">
      <c r="A453" s="9" t="s">
        <v>805</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Suecia</v>
      </c>
      <c r="I453" s="9" t="str">
        <f ca="1">+WORLDCUP!BD69</f>
        <v>Ghana</v>
      </c>
      <c r="J453" s="9" t="str">
        <f ca="1">+WORLDCUP!BD67</f>
        <v>Austria</v>
      </c>
      <c r="N453" s="16" t="s">
        <v>805</v>
      </c>
      <c r="O453" s="16">
        <v>452</v>
      </c>
      <c r="P453" s="16" t="s">
        <v>92</v>
      </c>
      <c r="Q453" s="16" t="s">
        <v>445</v>
      </c>
      <c r="R453" s="16" t="s">
        <v>91</v>
      </c>
      <c r="S453" s="16" t="s">
        <v>93</v>
      </c>
      <c r="T453" s="16" t="s">
        <v>90</v>
      </c>
      <c r="U453" s="16" t="s">
        <v>95</v>
      </c>
      <c r="V453" s="16" t="s">
        <v>453</v>
      </c>
      <c r="W453" s="16" t="s">
        <v>451</v>
      </c>
    </row>
    <row r="454" spans="1:23">
      <c r="A454" s="9" t="s">
        <v>804</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Suecia</v>
      </c>
      <c r="I454" s="9" t="str">
        <f ca="1">+WORLDCUP!BD67</f>
        <v>Austria</v>
      </c>
      <c r="J454" s="9" t="str">
        <f ca="1">+WORLDCUP!BD68</f>
        <v>RD Congo</v>
      </c>
      <c r="N454" s="16" t="s">
        <v>804</v>
      </c>
      <c r="O454" s="16">
        <v>453</v>
      </c>
      <c r="P454" s="16" t="s">
        <v>92</v>
      </c>
      <c r="Q454" s="16" t="s">
        <v>445</v>
      </c>
      <c r="R454" s="16" t="s">
        <v>91</v>
      </c>
      <c r="S454" s="16" t="s">
        <v>93</v>
      </c>
      <c r="T454" s="16" t="s">
        <v>90</v>
      </c>
      <c r="U454" s="16" t="s">
        <v>95</v>
      </c>
      <c r="V454" s="16" t="s">
        <v>451</v>
      </c>
      <c r="W454" s="16" t="s">
        <v>452</v>
      </c>
    </row>
    <row r="455" spans="1:23">
      <c r="A455" s="9" t="s">
        <v>803</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Suecia</v>
      </c>
      <c r="I455" s="9" t="str">
        <f ca="1">+WORLDCUP!BD69</f>
        <v>Ghana</v>
      </c>
      <c r="J455" s="9" t="str">
        <f ca="1">+WORLDCUP!BD66</f>
        <v>Senegal</v>
      </c>
      <c r="N455" s="16" t="s">
        <v>803</v>
      </c>
      <c r="O455" s="16">
        <v>454</v>
      </c>
      <c r="P455" s="16" t="s">
        <v>92</v>
      </c>
      <c r="Q455" s="16" t="s">
        <v>445</v>
      </c>
      <c r="R455" s="16" t="s">
        <v>91</v>
      </c>
      <c r="S455" s="16" t="s">
        <v>93</v>
      </c>
      <c r="T455" s="16" t="s">
        <v>90</v>
      </c>
      <c r="U455" s="16" t="s">
        <v>95</v>
      </c>
      <c r="V455" s="16" t="s">
        <v>453</v>
      </c>
      <c r="W455" s="16" t="s">
        <v>450</v>
      </c>
    </row>
    <row r="456" spans="1:23">
      <c r="A456" s="9" t="s">
        <v>802</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802</v>
      </c>
      <c r="O456" s="16">
        <v>455</v>
      </c>
      <c r="P456" s="16" t="s">
        <v>92</v>
      </c>
      <c r="Q456" s="16" t="s">
        <v>445</v>
      </c>
      <c r="R456" s="16" t="s">
        <v>91</v>
      </c>
      <c r="S456" s="16" t="s">
        <v>93</v>
      </c>
      <c r="T456" s="16" t="s">
        <v>90</v>
      </c>
      <c r="U456" s="16" t="s">
        <v>95</v>
      </c>
      <c r="V456" s="16" t="s">
        <v>450</v>
      </c>
      <c r="W456" s="16" t="s">
        <v>452</v>
      </c>
    </row>
    <row r="457" spans="1:23">
      <c r="A457" s="9" t="s">
        <v>801</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Austria</v>
      </c>
      <c r="N457" s="16" t="s">
        <v>801</v>
      </c>
      <c r="O457" s="16">
        <v>456</v>
      </c>
      <c r="P457" s="16" t="s">
        <v>92</v>
      </c>
      <c r="Q457" s="16" t="s">
        <v>445</v>
      </c>
      <c r="R457" s="16" t="s">
        <v>91</v>
      </c>
      <c r="S457" s="16" t="s">
        <v>93</v>
      </c>
      <c r="T457" s="16" t="s">
        <v>90</v>
      </c>
      <c r="U457" s="16" t="s">
        <v>95</v>
      </c>
      <c r="V457" s="16" t="s">
        <v>450</v>
      </c>
      <c r="W457" s="16" t="s">
        <v>451</v>
      </c>
    </row>
    <row r="458" spans="1:23">
      <c r="A458" s="9" t="s">
        <v>800</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Suecia</v>
      </c>
      <c r="I458" s="9" t="str">
        <f ca="1">+WORLDCUP!BD69</f>
        <v>Ghana</v>
      </c>
      <c r="J458" s="9" t="str">
        <f ca="1">+WORLDCUP!BD65</f>
        <v>Arabia Saudita</v>
      </c>
      <c r="N458" s="16" t="s">
        <v>800</v>
      </c>
      <c r="O458" s="16">
        <v>457</v>
      </c>
      <c r="P458" s="16" t="s">
        <v>92</v>
      </c>
      <c r="Q458" s="16" t="s">
        <v>445</v>
      </c>
      <c r="R458" s="16" t="s">
        <v>91</v>
      </c>
      <c r="S458" s="16" t="s">
        <v>93</v>
      </c>
      <c r="T458" s="16" t="s">
        <v>90</v>
      </c>
      <c r="U458" s="16" t="s">
        <v>95</v>
      </c>
      <c r="V458" s="16" t="s">
        <v>453</v>
      </c>
      <c r="W458" s="16" t="s">
        <v>446</v>
      </c>
    </row>
    <row r="459" spans="1:23">
      <c r="A459" s="9" t="s">
        <v>799</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799</v>
      </c>
      <c r="O459" s="16">
        <v>458</v>
      </c>
      <c r="P459" s="16" t="s">
        <v>446</v>
      </c>
      <c r="Q459" s="16" t="s">
        <v>445</v>
      </c>
      <c r="R459" s="16" t="s">
        <v>91</v>
      </c>
      <c r="S459" s="16" t="s">
        <v>92</v>
      </c>
      <c r="T459" s="16" t="s">
        <v>90</v>
      </c>
      <c r="U459" s="16" t="s">
        <v>95</v>
      </c>
      <c r="V459" s="16" t="s">
        <v>93</v>
      </c>
      <c r="W459" s="16" t="s">
        <v>452</v>
      </c>
    </row>
    <row r="460" spans="1:23">
      <c r="A460" s="9" t="s">
        <v>798</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Austria</v>
      </c>
      <c r="N460" s="16" t="s">
        <v>798</v>
      </c>
      <c r="O460" s="16">
        <v>459</v>
      </c>
      <c r="P460" s="16" t="s">
        <v>446</v>
      </c>
      <c r="Q460" s="16" t="s">
        <v>445</v>
      </c>
      <c r="R460" s="16" t="s">
        <v>91</v>
      </c>
      <c r="S460" s="16" t="s">
        <v>92</v>
      </c>
      <c r="T460" s="16" t="s">
        <v>90</v>
      </c>
      <c r="U460" s="16" t="s">
        <v>95</v>
      </c>
      <c r="V460" s="16" t="s">
        <v>93</v>
      </c>
      <c r="W460" s="16" t="s">
        <v>451</v>
      </c>
    </row>
    <row r="461" spans="1:23">
      <c r="A461" s="9" t="s">
        <v>797</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797</v>
      </c>
      <c r="O461" s="16">
        <v>460</v>
      </c>
      <c r="P461" s="16" t="s">
        <v>446</v>
      </c>
      <c r="Q461" s="16" t="s">
        <v>445</v>
      </c>
      <c r="R461" s="16" t="s">
        <v>91</v>
      </c>
      <c r="S461" s="16" t="s">
        <v>92</v>
      </c>
      <c r="T461" s="16" t="s">
        <v>90</v>
      </c>
      <c r="U461" s="16" t="s">
        <v>95</v>
      </c>
      <c r="V461" s="16" t="s">
        <v>93</v>
      </c>
      <c r="W461" s="16" t="s">
        <v>450</v>
      </c>
    </row>
    <row r="462" spans="1:23">
      <c r="A462" s="9" t="s">
        <v>796</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Paraguay</v>
      </c>
      <c r="I462" s="9" t="str">
        <f ca="1">+WORLDCUP!BD69</f>
        <v>Ghana</v>
      </c>
      <c r="J462" s="9" t="str">
        <f ca="1">+WORLDCUP!BD68</f>
        <v>RD Congo</v>
      </c>
      <c r="N462" s="16" t="s">
        <v>796</v>
      </c>
      <c r="O462" s="16">
        <v>461</v>
      </c>
      <c r="P462" s="16" t="s">
        <v>94</v>
      </c>
      <c r="Q462" s="16" t="s">
        <v>451</v>
      </c>
      <c r="R462" s="16" t="s">
        <v>91</v>
      </c>
      <c r="S462" s="16" t="s">
        <v>92</v>
      </c>
      <c r="T462" s="16" t="s">
        <v>90</v>
      </c>
      <c r="U462" s="16" t="s">
        <v>93</v>
      </c>
      <c r="V462" s="16" t="s">
        <v>453</v>
      </c>
      <c r="W462" s="16" t="s">
        <v>452</v>
      </c>
    </row>
    <row r="463" spans="1:23">
      <c r="A463" s="9" t="s">
        <v>795</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Ghana</v>
      </c>
      <c r="J463" s="9" t="str">
        <f ca="1">+WORLDCUP!BD68</f>
        <v>RD Congo</v>
      </c>
      <c r="N463" s="16" t="s">
        <v>795</v>
      </c>
      <c r="O463" s="16">
        <v>462</v>
      </c>
      <c r="P463" s="16" t="s">
        <v>94</v>
      </c>
      <c r="Q463" s="16" t="s">
        <v>450</v>
      </c>
      <c r="R463" s="16" t="s">
        <v>91</v>
      </c>
      <c r="S463" s="16" t="s">
        <v>92</v>
      </c>
      <c r="T463" s="16" t="s">
        <v>90</v>
      </c>
      <c r="U463" s="16" t="s">
        <v>93</v>
      </c>
      <c r="V463" s="16" t="s">
        <v>453</v>
      </c>
      <c r="W463" s="16" t="s">
        <v>452</v>
      </c>
    </row>
    <row r="464" spans="1:23">
      <c r="A464" s="9" t="s">
        <v>794</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Paraguay</v>
      </c>
      <c r="I464" s="9" t="str">
        <f ca="1">+WORLDCUP!BD69</f>
        <v>Ghana</v>
      </c>
      <c r="J464" s="9" t="str">
        <f ca="1">+WORLDCUP!BD66</f>
        <v>Senegal</v>
      </c>
      <c r="N464" s="16" t="s">
        <v>794</v>
      </c>
      <c r="O464" s="16">
        <v>463</v>
      </c>
      <c r="P464" s="16" t="s">
        <v>94</v>
      </c>
      <c r="Q464" s="16" t="s">
        <v>451</v>
      </c>
      <c r="R464" s="16" t="s">
        <v>91</v>
      </c>
      <c r="S464" s="16" t="s">
        <v>92</v>
      </c>
      <c r="T464" s="16" t="s">
        <v>90</v>
      </c>
      <c r="U464" s="16" t="s">
        <v>93</v>
      </c>
      <c r="V464" s="16" t="s">
        <v>453</v>
      </c>
      <c r="W464" s="16" t="s">
        <v>450</v>
      </c>
    </row>
    <row r="465" spans="1:23">
      <c r="A465" s="9" t="s">
        <v>793</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793</v>
      </c>
      <c r="O465" s="16">
        <v>464</v>
      </c>
      <c r="P465" s="16" t="s">
        <v>94</v>
      </c>
      <c r="Q465" s="16" t="s">
        <v>451</v>
      </c>
      <c r="R465" s="16" t="s">
        <v>91</v>
      </c>
      <c r="S465" s="16" t="s">
        <v>92</v>
      </c>
      <c r="T465" s="16" t="s">
        <v>90</v>
      </c>
      <c r="U465" s="16" t="s">
        <v>93</v>
      </c>
      <c r="V465" s="16" t="s">
        <v>450</v>
      </c>
      <c r="W465" s="16" t="s">
        <v>452</v>
      </c>
    </row>
    <row r="466" spans="1:23">
      <c r="A466" s="9" t="s">
        <v>792</v>
      </c>
      <c r="B466" s="9">
        <f ca="1">+IF(A466=WORLDCUP!$BI$112,1,0)</f>
        <v>0</v>
      </c>
      <c r="C466" s="9" t="str">
        <f ca="1">+WORLDCUP!BD65</f>
        <v>Arabia Saudita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Ghana</v>
      </c>
      <c r="J466" s="9" t="str">
        <f ca="1">+WORLDCUP!BD68</f>
        <v>RD Congo</v>
      </c>
      <c r="N466" s="16" t="s">
        <v>792</v>
      </c>
      <c r="O466" s="16">
        <v>465</v>
      </c>
      <c r="P466" s="16" t="s">
        <v>446</v>
      </c>
      <c r="Q466" s="16" t="s">
        <v>94</v>
      </c>
      <c r="R466" s="16" t="s">
        <v>91</v>
      </c>
      <c r="S466" s="16" t="s">
        <v>92</v>
      </c>
      <c r="T466" s="16" t="s">
        <v>90</v>
      </c>
      <c r="U466" s="16" t="s">
        <v>93</v>
      </c>
      <c r="V466" s="16" t="s">
        <v>453</v>
      </c>
      <c r="W466" s="16" t="s">
        <v>452</v>
      </c>
    </row>
    <row r="467" spans="1:23">
      <c r="A467" s="9" t="s">
        <v>791</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Paraguay</v>
      </c>
      <c r="I467" s="9" t="str">
        <f ca="1">+WORLDCUP!BD69</f>
        <v>Ghana</v>
      </c>
      <c r="J467" s="9" t="str">
        <f ca="1">+WORLDCUP!BD62</f>
        <v>Ecuador</v>
      </c>
      <c r="N467" s="16" t="s">
        <v>791</v>
      </c>
      <c r="O467" s="16">
        <v>466</v>
      </c>
      <c r="P467" s="16" t="s">
        <v>446</v>
      </c>
      <c r="Q467" s="16" t="s">
        <v>451</v>
      </c>
      <c r="R467" s="16" t="s">
        <v>91</v>
      </c>
      <c r="S467" s="16" t="s">
        <v>92</v>
      </c>
      <c r="T467" s="16" t="s">
        <v>90</v>
      </c>
      <c r="U467" s="16" t="s">
        <v>93</v>
      </c>
      <c r="V467" s="16" t="s">
        <v>453</v>
      </c>
      <c r="W467" s="16" t="s">
        <v>94</v>
      </c>
    </row>
    <row r="468" spans="1:23">
      <c r="A468" s="9" t="s">
        <v>790</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790</v>
      </c>
      <c r="O468" s="16">
        <v>467</v>
      </c>
      <c r="P468" s="16" t="s">
        <v>446</v>
      </c>
      <c r="Q468" s="16" t="s">
        <v>451</v>
      </c>
      <c r="R468" s="16" t="s">
        <v>91</v>
      </c>
      <c r="S468" s="16" t="s">
        <v>92</v>
      </c>
      <c r="T468" s="16" t="s">
        <v>90</v>
      </c>
      <c r="U468" s="16" t="s">
        <v>93</v>
      </c>
      <c r="V468" s="16" t="s">
        <v>94</v>
      </c>
      <c r="W468" s="16" t="s">
        <v>452</v>
      </c>
    </row>
    <row r="469" spans="1:23">
      <c r="A469" s="9" t="s">
        <v>789</v>
      </c>
      <c r="B469" s="9">
        <f ca="1">+IF(A469=WORLDCUP!$BI$112,1,0)</f>
        <v>0</v>
      </c>
      <c r="C469" s="9" t="str">
        <f ca="1">+WORLDCUP!BD65</f>
        <v>Arabia Saudita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Ghana</v>
      </c>
      <c r="J469" s="9" t="str">
        <f ca="1">+WORLDCUP!BD66</f>
        <v>Senegal</v>
      </c>
      <c r="N469" s="16" t="s">
        <v>789</v>
      </c>
      <c r="O469" s="16">
        <v>468</v>
      </c>
      <c r="P469" s="16" t="s">
        <v>446</v>
      </c>
      <c r="Q469" s="16" t="s">
        <v>94</v>
      </c>
      <c r="R469" s="16" t="s">
        <v>91</v>
      </c>
      <c r="S469" s="16" t="s">
        <v>92</v>
      </c>
      <c r="T469" s="16" t="s">
        <v>90</v>
      </c>
      <c r="U469" s="16" t="s">
        <v>93</v>
      </c>
      <c r="V469" s="16" t="s">
        <v>453</v>
      </c>
      <c r="W469" s="16" t="s">
        <v>450</v>
      </c>
    </row>
    <row r="470" spans="1:23">
      <c r="A470" s="9" t="s">
        <v>788</v>
      </c>
      <c r="B470" s="9">
        <f ca="1">+IF(A470=WORLDCUP!$BI$112,1,0)</f>
        <v>0</v>
      </c>
      <c r="C470" s="9" t="str">
        <f ca="1">+WORLDCUP!BD65</f>
        <v>Arabia Saudita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788</v>
      </c>
      <c r="O470" s="16">
        <v>469</v>
      </c>
      <c r="P470" s="16" t="s">
        <v>446</v>
      </c>
      <c r="Q470" s="16" t="s">
        <v>94</v>
      </c>
      <c r="R470" s="16" t="s">
        <v>91</v>
      </c>
      <c r="S470" s="16" t="s">
        <v>92</v>
      </c>
      <c r="T470" s="16" t="s">
        <v>90</v>
      </c>
      <c r="U470" s="16" t="s">
        <v>93</v>
      </c>
      <c r="V470" s="16" t="s">
        <v>450</v>
      </c>
      <c r="W470" s="16" t="s">
        <v>452</v>
      </c>
    </row>
    <row r="471" spans="1:23">
      <c r="A471" s="9" t="s">
        <v>787</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787</v>
      </c>
      <c r="O471" s="16">
        <v>470</v>
      </c>
      <c r="P471" s="16" t="s">
        <v>446</v>
      </c>
      <c r="Q471" s="16" t="s">
        <v>451</v>
      </c>
      <c r="R471" s="16" t="s">
        <v>91</v>
      </c>
      <c r="S471" s="16" t="s">
        <v>92</v>
      </c>
      <c r="T471" s="16" t="s">
        <v>90</v>
      </c>
      <c r="U471" s="16" t="s">
        <v>93</v>
      </c>
      <c r="V471" s="16" t="s">
        <v>94</v>
      </c>
      <c r="W471" s="16" t="s">
        <v>450</v>
      </c>
    </row>
    <row r="472" spans="1:23">
      <c r="A472" s="9" t="s">
        <v>786</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Ghana</v>
      </c>
      <c r="J472" s="9" t="str">
        <f ca="1">+WORLDCUP!BD68</f>
        <v>RD Congo</v>
      </c>
      <c r="N472" s="16" t="s">
        <v>786</v>
      </c>
      <c r="O472" s="16">
        <v>471</v>
      </c>
      <c r="P472" s="16" t="s">
        <v>94</v>
      </c>
      <c r="Q472" s="16" t="s">
        <v>445</v>
      </c>
      <c r="R472" s="16" t="s">
        <v>91</v>
      </c>
      <c r="S472" s="16" t="s">
        <v>92</v>
      </c>
      <c r="T472" s="16" t="s">
        <v>90</v>
      </c>
      <c r="U472" s="16" t="s">
        <v>93</v>
      </c>
      <c r="V472" s="16" t="s">
        <v>453</v>
      </c>
      <c r="W472" s="16" t="s">
        <v>452</v>
      </c>
    </row>
    <row r="473" spans="1:23">
      <c r="A473" s="9" t="s">
        <v>785</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Ghana</v>
      </c>
      <c r="J473" s="9" t="str">
        <f ca="1">+WORLDCUP!BD67</f>
        <v>Austria</v>
      </c>
      <c r="N473" s="16" t="s">
        <v>785</v>
      </c>
      <c r="O473" s="16">
        <v>472</v>
      </c>
      <c r="P473" s="16" t="s">
        <v>94</v>
      </c>
      <c r="Q473" s="16" t="s">
        <v>445</v>
      </c>
      <c r="R473" s="16" t="s">
        <v>91</v>
      </c>
      <c r="S473" s="16" t="s">
        <v>92</v>
      </c>
      <c r="T473" s="16" t="s">
        <v>90</v>
      </c>
      <c r="U473" s="16" t="s">
        <v>93</v>
      </c>
      <c r="V473" s="16" t="s">
        <v>453</v>
      </c>
      <c r="W473" s="16" t="s">
        <v>451</v>
      </c>
    </row>
    <row r="474" spans="1:23">
      <c r="A474" s="9" t="s">
        <v>784</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Austria</v>
      </c>
      <c r="J474" s="9" t="str">
        <f ca="1">+WORLDCUP!BD68</f>
        <v>RD Congo</v>
      </c>
      <c r="N474" s="16" t="s">
        <v>784</v>
      </c>
      <c r="O474" s="16">
        <v>473</v>
      </c>
      <c r="P474" s="16" t="s">
        <v>94</v>
      </c>
      <c r="Q474" s="16" t="s">
        <v>445</v>
      </c>
      <c r="R474" s="16" t="s">
        <v>91</v>
      </c>
      <c r="S474" s="16" t="s">
        <v>92</v>
      </c>
      <c r="T474" s="16" t="s">
        <v>90</v>
      </c>
      <c r="U474" s="16" t="s">
        <v>93</v>
      </c>
      <c r="V474" s="16" t="s">
        <v>451</v>
      </c>
      <c r="W474" s="16" t="s">
        <v>452</v>
      </c>
    </row>
    <row r="475" spans="1:23">
      <c r="A475" s="9" t="s">
        <v>783</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Ghana</v>
      </c>
      <c r="J475" s="9" t="str">
        <f ca="1">+WORLDCUP!BD66</f>
        <v>Senegal</v>
      </c>
      <c r="N475" s="16" t="s">
        <v>783</v>
      </c>
      <c r="O475" s="16">
        <v>474</v>
      </c>
      <c r="P475" s="16" t="s">
        <v>94</v>
      </c>
      <c r="Q475" s="16" t="s">
        <v>445</v>
      </c>
      <c r="R475" s="16" t="s">
        <v>91</v>
      </c>
      <c r="S475" s="16" t="s">
        <v>92</v>
      </c>
      <c r="T475" s="16" t="s">
        <v>90</v>
      </c>
      <c r="U475" s="16" t="s">
        <v>93</v>
      </c>
      <c r="V475" s="16" t="s">
        <v>453</v>
      </c>
      <c r="W475" s="16" t="s">
        <v>450</v>
      </c>
    </row>
    <row r="476" spans="1:23">
      <c r="A476" s="9" t="s">
        <v>782</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782</v>
      </c>
      <c r="O476" s="16">
        <v>475</v>
      </c>
      <c r="P476" s="16" t="s">
        <v>94</v>
      </c>
      <c r="Q476" s="16" t="s">
        <v>445</v>
      </c>
      <c r="R476" s="16" t="s">
        <v>91</v>
      </c>
      <c r="S476" s="16" t="s">
        <v>92</v>
      </c>
      <c r="T476" s="16" t="s">
        <v>90</v>
      </c>
      <c r="U476" s="16" t="s">
        <v>93</v>
      </c>
      <c r="V476" s="16" t="s">
        <v>450</v>
      </c>
      <c r="W476" s="16" t="s">
        <v>452</v>
      </c>
    </row>
    <row r="477" spans="1:23">
      <c r="A477" s="9" t="s">
        <v>781</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Austria</v>
      </c>
      <c r="N477" s="16" t="s">
        <v>781</v>
      </c>
      <c r="O477" s="16">
        <v>476</v>
      </c>
      <c r="P477" s="16" t="s">
        <v>94</v>
      </c>
      <c r="Q477" s="16" t="s">
        <v>445</v>
      </c>
      <c r="R477" s="16" t="s">
        <v>91</v>
      </c>
      <c r="S477" s="16" t="s">
        <v>92</v>
      </c>
      <c r="T477" s="16" t="s">
        <v>90</v>
      </c>
      <c r="U477" s="16" t="s">
        <v>93</v>
      </c>
      <c r="V477" s="16" t="s">
        <v>450</v>
      </c>
      <c r="W477" s="16" t="s">
        <v>451</v>
      </c>
    </row>
    <row r="478" spans="1:23">
      <c r="A478" s="9" t="s">
        <v>780</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Ghana</v>
      </c>
      <c r="J478" s="9" t="str">
        <f ca="1">+WORLDCUP!BD62</f>
        <v>Ecuador</v>
      </c>
      <c r="N478" s="16" t="s">
        <v>780</v>
      </c>
      <c r="O478" s="16">
        <v>477</v>
      </c>
      <c r="P478" s="16" t="s">
        <v>446</v>
      </c>
      <c r="Q478" s="16" t="s">
        <v>445</v>
      </c>
      <c r="R478" s="16" t="s">
        <v>91</v>
      </c>
      <c r="S478" s="16" t="s">
        <v>92</v>
      </c>
      <c r="T478" s="16" t="s">
        <v>90</v>
      </c>
      <c r="U478" s="16" t="s">
        <v>93</v>
      </c>
      <c r="V478" s="16" t="s">
        <v>453</v>
      </c>
      <c r="W478" s="16" t="s">
        <v>94</v>
      </c>
    </row>
    <row r="479" spans="1:23">
      <c r="A479" s="9" t="s">
        <v>779</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779</v>
      </c>
      <c r="O479" s="16">
        <v>478</v>
      </c>
      <c r="P479" s="16" t="s">
        <v>446</v>
      </c>
      <c r="Q479" s="16" t="s">
        <v>445</v>
      </c>
      <c r="R479" s="16" t="s">
        <v>91</v>
      </c>
      <c r="S479" s="16" t="s">
        <v>92</v>
      </c>
      <c r="T479" s="16" t="s">
        <v>90</v>
      </c>
      <c r="U479" s="16" t="s">
        <v>93</v>
      </c>
      <c r="V479" s="16" t="s">
        <v>94</v>
      </c>
      <c r="W479" s="16" t="s">
        <v>452</v>
      </c>
    </row>
    <row r="480" spans="1:23">
      <c r="A480" s="9" t="s">
        <v>778</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Austria</v>
      </c>
      <c r="N480" s="16" t="s">
        <v>778</v>
      </c>
      <c r="O480" s="16">
        <v>479</v>
      </c>
      <c r="P480" s="16" t="s">
        <v>446</v>
      </c>
      <c r="Q480" s="16" t="s">
        <v>445</v>
      </c>
      <c r="R480" s="16" t="s">
        <v>91</v>
      </c>
      <c r="S480" s="16" t="s">
        <v>92</v>
      </c>
      <c r="T480" s="16" t="s">
        <v>90</v>
      </c>
      <c r="U480" s="16" t="s">
        <v>93</v>
      </c>
      <c r="V480" s="16" t="s">
        <v>94</v>
      </c>
      <c r="W480" s="16" t="s">
        <v>451</v>
      </c>
    </row>
    <row r="481" spans="1:23">
      <c r="A481" s="9" t="s">
        <v>777</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777</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Austria</v>
      </c>
      <c r="E483" s="9" t="str">
        <f ca="1">+WORLDCUP!BD59</f>
        <v>Bosnia y Herzegovina</v>
      </c>
      <c r="F483" s="9" t="str">
        <f ca="1">+WORLDCUP!BD61</f>
        <v>Paraguay</v>
      </c>
      <c r="G483" s="9" t="str">
        <f ca="1">+WORLDCUP!BD58</f>
        <v>República Checa</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Austria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Austria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Arabia Saudita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Arabia Saudita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Austria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409" t="s">
        <v>732</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1796875" style="5" customWidth="1"/>
    <col min="13" max="13" width="10.81640625" style="5"/>
    <col min="14" max="17" width="15.81640625" style="5" customWidth="1"/>
    <col min="18" max="18" width="22.81640625" style="5" customWidth="1"/>
    <col min="20" max="20" width="10.81640625" style="16"/>
    <col min="21" max="22" width="10.81640625" style="582"/>
    <col min="23" max="24" width="10.81640625" style="582" hidden="1" customWidth="1"/>
    <col min="25" max="25" width="10.81640625" style="582"/>
    <col min="26" max="28" width="10.81640625" style="407"/>
    <col min="29" max="149" width="10.81640625" style="5"/>
    <col min="150" max="158" width="10.81640625" style="407"/>
    <col min="159" max="16384" width="10.81640625" style="5"/>
  </cols>
  <sheetData>
    <row r="1" spans="1:18">
      <c r="A1" s="226"/>
      <c r="B1" s="226"/>
      <c r="C1" s="226"/>
      <c r="D1" s="226"/>
      <c r="E1" s="228"/>
      <c r="F1" s="228"/>
      <c r="G1" s="228"/>
      <c r="H1" s="228"/>
      <c r="I1" s="228"/>
      <c r="J1" s="228"/>
      <c r="K1" s="227"/>
      <c r="L1" s="227"/>
      <c r="M1" s="227"/>
      <c r="N1" s="227"/>
      <c r="O1" s="227"/>
      <c r="P1" s="227"/>
      <c r="Q1" s="227"/>
    </row>
    <row r="2" spans="1:18">
      <c r="A2" s="226"/>
      <c r="B2" s="265" t="str">
        <f>Idiomas!D82</f>
        <v>Limitación de responsabilidad:</v>
      </c>
      <c r="C2" s="229"/>
      <c r="D2" s="229"/>
      <c r="E2" s="230"/>
      <c r="F2" s="230"/>
      <c r="G2" s="230"/>
      <c r="H2" s="230"/>
      <c r="I2" s="230"/>
      <c r="J2" s="230"/>
      <c r="K2" s="227"/>
      <c r="L2" s="265" t="s">
        <v>188</v>
      </c>
      <c r="M2" s="227"/>
      <c r="N2" s="227"/>
      <c r="O2" s="227"/>
      <c r="P2" s="227"/>
      <c r="Q2" s="227"/>
    </row>
    <row r="3" spans="1:18">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c r="A7" s="226"/>
      <c r="B7" s="715"/>
      <c r="C7" s="716"/>
      <c r="D7" s="716"/>
      <c r="E7" s="716"/>
      <c r="F7" s="716"/>
      <c r="G7" s="716"/>
      <c r="H7" s="716"/>
      <c r="I7" s="716"/>
      <c r="J7" s="717"/>
      <c r="K7" s="227"/>
      <c r="L7" s="342"/>
      <c r="M7" s="343"/>
      <c r="N7" s="343"/>
      <c r="O7" s="343"/>
      <c r="P7" s="343"/>
      <c r="Q7" s="343"/>
      <c r="R7" s="344"/>
    </row>
    <row r="8" spans="1:18">
      <c r="A8" s="226"/>
      <c r="B8" s="715"/>
      <c r="C8" s="716"/>
      <c r="D8" s="716"/>
      <c r="E8" s="716"/>
      <c r="F8" s="716"/>
      <c r="G8" s="716"/>
      <c r="H8" s="716"/>
      <c r="I8" s="716"/>
      <c r="J8" s="717"/>
      <c r="K8" s="227"/>
      <c r="L8"/>
      <c r="M8"/>
      <c r="N8"/>
      <c r="O8"/>
      <c r="P8"/>
      <c r="Q8"/>
      <c r="R8"/>
    </row>
    <row r="9" spans="1:18">
      <c r="A9" s="226"/>
      <c r="B9" s="715"/>
      <c r="C9" s="716"/>
      <c r="D9" s="716"/>
      <c r="E9" s="716"/>
      <c r="F9" s="716"/>
      <c r="G9" s="716"/>
      <c r="H9" s="716"/>
      <c r="I9" s="716"/>
      <c r="J9" s="717"/>
      <c r="K9" s="227"/>
      <c r="L9" s="265" t="s">
        <v>490</v>
      </c>
      <c r="M9"/>
      <c r="N9"/>
      <c r="O9"/>
      <c r="P9"/>
      <c r="Q9"/>
      <c r="R9"/>
    </row>
    <row r="10" spans="1:18">
      <c r="A10" s="226"/>
      <c r="B10" s="715"/>
      <c r="C10" s="716"/>
      <c r="D10" s="716"/>
      <c r="E10" s="716"/>
      <c r="F10" s="716"/>
      <c r="G10" s="716"/>
      <c r="H10" s="716"/>
      <c r="I10" s="716"/>
      <c r="J10" s="717"/>
      <c r="K10" s="227"/>
      <c r="L10" s="338"/>
      <c r="M10" s="339"/>
      <c r="N10" s="339"/>
      <c r="O10" s="339"/>
      <c r="P10" s="339"/>
      <c r="Q10" s="339"/>
      <c r="R10" s="340"/>
    </row>
    <row r="11" spans="1:18">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c r="A15" s="226"/>
      <c r="B15" s="266" t="str">
        <f>Idiomas!D80</f>
        <v>Autor:</v>
      </c>
      <c r="C15" s="237" t="s">
        <v>27</v>
      </c>
      <c r="D15" s="237"/>
      <c r="E15" s="237" t="s">
        <v>1325</v>
      </c>
      <c r="F15" s="238"/>
      <c r="G15" s="237" t="s">
        <v>1326</v>
      </c>
      <c r="H15" s="238"/>
      <c r="I15" s="239"/>
      <c r="J15" s="240"/>
      <c r="K15" s="227"/>
      <c r="L15" s="337" t="str">
        <f>+Idiomas!D91</f>
        <v>· Si vas a participar en una porra, rellenar los mejores jugadores y los máximos goleadores</v>
      </c>
      <c r="M15" s="238"/>
      <c r="N15" s="238"/>
      <c r="O15" s="238"/>
      <c r="P15" s="238"/>
      <c r="Q15" s="238"/>
      <c r="R15" s="341"/>
    </row>
    <row r="16" spans="1:18">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c r="A17" s="226"/>
      <c r="B17" s="245"/>
      <c r="C17" s="246"/>
      <c r="D17" s="246"/>
      <c r="E17" s="246"/>
      <c r="F17" s="246"/>
      <c r="G17" s="246"/>
      <c r="H17" s="246"/>
      <c r="I17" s="246"/>
      <c r="J17" s="247"/>
      <c r="K17" s="227"/>
      <c r="L17"/>
      <c r="M17"/>
      <c r="N17"/>
      <c r="O17"/>
      <c r="P17"/>
      <c r="Q17"/>
      <c r="R17"/>
    </row>
    <row r="18" spans="1:158">
      <c r="A18" s="226"/>
      <c r="B18" s="232"/>
      <c r="C18" s="232"/>
      <c r="D18" s="232"/>
      <c r="E18" s="233"/>
      <c r="F18" s="233"/>
      <c r="G18" s="226"/>
      <c r="H18" s="226"/>
      <c r="I18" s="226"/>
      <c r="J18" s="613"/>
      <c r="K18" s="227"/>
      <c r="L18" s="265" t="s">
        <v>443</v>
      </c>
      <c r="M18"/>
      <c r="N18"/>
      <c r="O18"/>
      <c r="P18"/>
      <c r="Q18"/>
      <c r="R18"/>
    </row>
    <row r="19" spans="1:158" ht="20.149999999999999" customHeight="1">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c r="A20" s="227"/>
      <c r="B20" s="257"/>
      <c r="C20" s="268" t="s">
        <v>1376</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20.149999999999999" customHeight="1">
      <c r="A21" s="258"/>
      <c r="B21" s="259"/>
      <c r="C21" s="264" t="s">
        <v>1324</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15" customHeight="1">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149999999999999" customHeight="1">
      <c r="A23" s="258"/>
      <c r="B23" s="259"/>
      <c r="C23" s="264" t="s">
        <v>1306</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15" customHeight="1">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149999999999999" customHeight="1">
      <c r="A25" s="258"/>
      <c r="B25" s="259"/>
      <c r="C25" s="264" t="s">
        <v>1273</v>
      </c>
      <c r="D25" s="273"/>
      <c r="E25" s="271">
        <v>2</v>
      </c>
      <c r="F25" s="273"/>
      <c r="G25" s="272">
        <v>0</v>
      </c>
      <c r="H25" s="260"/>
      <c r="I25" s="260"/>
      <c r="J25" s="261"/>
      <c r="K25" s="258"/>
      <c r="L25" s="345" t="s">
        <v>1312</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15" customHeight="1">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149999999999999" customHeight="1">
      <c r="A27" s="258"/>
      <c r="B27" s="259"/>
      <c r="C27" s="264" t="s">
        <v>1274</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15" customHeight="1">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149999999999999" customHeight="1">
      <c r="A29" s="258"/>
      <c r="B29" s="259"/>
      <c r="C29" s="264" t="s">
        <v>1275</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15" customHeight="1">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149999999999999" customHeight="1">
      <c r="A31" s="258"/>
      <c r="B31" s="259"/>
      <c r="C31" s="264" t="s">
        <v>1276</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c r="A32" s="227"/>
      <c r="B32" s="254"/>
      <c r="C32" s="255"/>
      <c r="D32" s="255"/>
      <c r="E32" s="255"/>
      <c r="F32" s="255"/>
      <c r="G32" s="255"/>
      <c r="H32" s="255"/>
      <c r="I32" s="255"/>
      <c r="J32" s="256"/>
      <c r="K32" s="227"/>
      <c r="L32" s="262"/>
      <c r="M32" s="262"/>
      <c r="N32" s="262"/>
      <c r="O32" s="262"/>
      <c r="P32" s="262"/>
      <c r="Q32" s="262"/>
      <c r="R32" s="262"/>
    </row>
    <row r="33" spans="1:17" ht="15" thickBot="1">
      <c r="A33" s="227"/>
      <c r="K33" s="227"/>
    </row>
    <row r="34" spans="1:17" ht="28" customHeight="1" thickBot="1">
      <c r="A34" s="227"/>
      <c r="B34" s="721" t="str">
        <f>HYPERLINK(Idiomas!D10,Idiomas!D9)</f>
        <v>▼ Descargar Excel Administrador Porra ▼</v>
      </c>
      <c r="C34" s="722"/>
      <c r="D34" s="722"/>
      <c r="E34" s="722"/>
      <c r="F34" s="722"/>
      <c r="G34" s="722"/>
      <c r="H34" s="722"/>
      <c r="I34" s="722"/>
      <c r="J34" s="723"/>
      <c r="K34" s="227"/>
      <c r="L34" s="288" t="s">
        <v>1350</v>
      </c>
    </row>
    <row r="35" spans="1:17">
      <c r="A35" s="227"/>
      <c r="C35" s="227"/>
      <c r="D35" s="227"/>
      <c r="E35" s="227"/>
      <c r="F35" s="227"/>
      <c r="G35" s="227"/>
      <c r="H35" s="227"/>
      <c r="I35" s="227"/>
      <c r="J35" s="227"/>
      <c r="K35" s="227"/>
      <c r="L35" s="227"/>
      <c r="M35" s="226"/>
      <c r="N35" s="227"/>
      <c r="O35" s="227"/>
      <c r="P35" s="227"/>
      <c r="Q35" s="227"/>
    </row>
    <row r="36" spans="1:17" ht="28" customHeight="1">
      <c r="A36" s="227"/>
      <c r="D36" s="227"/>
      <c r="E36" s="227"/>
      <c r="F36" s="227"/>
      <c r="G36" s="227"/>
      <c r="H36" s="227"/>
      <c r="I36" s="227"/>
      <c r="J36" s="227"/>
      <c r="K36" s="227"/>
      <c r="L36" s="227"/>
      <c r="M36" s="226"/>
      <c r="N36" s="227"/>
      <c r="O36" s="227"/>
      <c r="P36" s="227"/>
      <c r="Q36" s="227"/>
    </row>
    <row r="37" spans="1:17" ht="15" customHeight="1">
      <c r="A37" s="227"/>
      <c r="K37" s="227"/>
      <c r="L37" s="227"/>
      <c r="M37" s="226"/>
      <c r="N37" s="227"/>
      <c r="O37" s="227"/>
      <c r="P37" s="227"/>
      <c r="Q37" s="227"/>
    </row>
    <row r="38" spans="1:17" ht="34" customHeight="1">
      <c r="A38" s="227"/>
      <c r="B38" s="227"/>
      <c r="D38" s="227"/>
      <c r="E38" s="227"/>
      <c r="F38" s="227"/>
      <c r="G38" s="227"/>
      <c r="H38" s="227"/>
      <c r="I38" s="227"/>
      <c r="J38" s="227"/>
      <c r="K38" s="227"/>
      <c r="M38" s="227"/>
      <c r="N38" s="227"/>
      <c r="O38" s="227"/>
      <c r="P38" s="227"/>
      <c r="Q38" s="227"/>
    </row>
    <row r="39" spans="1:17">
      <c r="A39" s="227"/>
      <c r="B39" s="227"/>
      <c r="C39" s="227"/>
      <c r="D39" s="227"/>
      <c r="E39" s="227"/>
      <c r="F39" s="227"/>
      <c r="G39" s="227"/>
      <c r="H39" s="227"/>
      <c r="I39" s="227"/>
      <c r="J39" s="227"/>
      <c r="K39" s="227"/>
      <c r="L39" s="227"/>
      <c r="M39" s="227"/>
      <c r="N39" s="227"/>
      <c r="O39" s="227"/>
      <c r="P39" s="227"/>
      <c r="Q39" s="227"/>
    </row>
    <row r="40" spans="1:17">
      <c r="A40" s="227"/>
      <c r="B40" s="227"/>
      <c r="C40" s="227"/>
      <c r="D40" s="227"/>
      <c r="E40" s="227"/>
      <c r="F40" s="227"/>
      <c r="G40" s="227"/>
      <c r="H40" s="227"/>
      <c r="I40" s="227"/>
      <c r="J40" s="227"/>
      <c r="K40" s="227"/>
      <c r="L40" s="227"/>
      <c r="M40" s="227"/>
      <c r="N40" s="227"/>
      <c r="O40" s="227"/>
      <c r="P40" s="227"/>
      <c r="Q40" s="227"/>
    </row>
    <row r="41" spans="1:17">
      <c r="A41" s="227"/>
      <c r="B41" s="227"/>
      <c r="C41" s="227"/>
      <c r="D41" s="227"/>
      <c r="E41" s="227"/>
      <c r="F41" s="227"/>
      <c r="G41" s="227"/>
      <c r="H41" s="227"/>
      <c r="I41" s="227"/>
      <c r="J41" s="227"/>
      <c r="K41" s="227"/>
      <c r="L41" s="227"/>
      <c r="M41" s="227"/>
      <c r="N41" s="227"/>
      <c r="O41" s="227"/>
      <c r="P41" s="227"/>
      <c r="Q41" s="227"/>
    </row>
    <row r="45" spans="1:17">
      <c r="B45" s="227"/>
    </row>
    <row r="83" spans="12:28">
      <c r="L83" s="3"/>
      <c r="M83" s="3"/>
      <c r="N83" s="3"/>
      <c r="O83" s="583"/>
      <c r="P83" s="6"/>
      <c r="Q83" s="6"/>
      <c r="R83" s="6"/>
      <c r="U83" s="9"/>
      <c r="V83" s="9"/>
      <c r="W83" s="9"/>
      <c r="X83" s="9"/>
      <c r="Y83" s="9"/>
      <c r="Z83" s="6"/>
      <c r="AA83" s="6"/>
      <c r="AB83" s="6"/>
    </row>
    <row r="84" spans="12:28" ht="60" customHeight="1">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409" t="s">
        <v>1471</v>
      </c>
      <c r="N86" s="6"/>
      <c r="O86" s="6"/>
      <c r="P86" s="6"/>
      <c r="Q86" s="6"/>
      <c r="R86" s="6"/>
      <c r="T86" s="16" t="s">
        <v>1476</v>
      </c>
      <c r="U86" s="409" t="s">
        <v>1458</v>
      </c>
      <c r="V86" s="409" t="s">
        <v>1459</v>
      </c>
      <c r="W86" s="409" t="s">
        <v>1472</v>
      </c>
      <c r="X86" s="409" t="s">
        <v>1473</v>
      </c>
      <c r="Y86" s="409" t="s">
        <v>1474</v>
      </c>
      <c r="Z86" s="6"/>
      <c r="AA86" s="6"/>
      <c r="AB86" s="6"/>
    </row>
    <row r="87" spans="12:28">
      <c r="L87" s="3"/>
      <c r="M87" s="612" t="s">
        <v>1477</v>
      </c>
      <c r="N87" s="9" t="str">
        <f>IFERROR(IF($J$18="",$U$87,INDEX($U$87:$U$91,MATCH(M87,$T$87:$T$91,0))),"")</f>
        <v>Irán</v>
      </c>
      <c r="O87" s="9" t="str">
        <f>IFERROR(IF($J$18="",$V$87,INDEX($V$87:$V$91,MATCH(M87,$T$87:$T$91,0))),"")</f>
        <v>Iran</v>
      </c>
      <c r="P87" s="6"/>
      <c r="Q87" s="6"/>
      <c r="R87" s="6"/>
      <c r="T87" s="16" t="s">
        <v>1477</v>
      </c>
      <c r="U87" s="9" t="s">
        <v>1267</v>
      </c>
      <c r="V87" s="9" t="s">
        <v>1287</v>
      </c>
      <c r="W87" s="9" t="s">
        <v>1288</v>
      </c>
      <c r="X87" s="9" t="e" vm="50">
        <v>#VALUE!</v>
      </c>
      <c r="Y87" s="9">
        <v>3.5</v>
      </c>
      <c r="Z87" s="6"/>
      <c r="AA87" s="6"/>
      <c r="AB87" s="6"/>
    </row>
    <row r="88" spans="12:28">
      <c r="L88" s="3"/>
      <c r="M88" s="3"/>
      <c r="N88" s="3"/>
      <c r="O88" s="6"/>
      <c r="P88" s="6"/>
      <c r="Q88" s="6"/>
      <c r="R88" s="6"/>
      <c r="T88" s="16" t="s">
        <v>1478</v>
      </c>
      <c r="U88" s="9" t="s">
        <v>1463</v>
      </c>
      <c r="V88" s="9" t="s">
        <v>1464</v>
      </c>
      <c r="W88" s="9" t="s">
        <v>1465</v>
      </c>
      <c r="X88" s="584" t="e" vm="51">
        <v>#VALUE!</v>
      </c>
      <c r="Y88" s="9">
        <v>4</v>
      </c>
      <c r="Z88" s="6"/>
      <c r="AA88" s="6"/>
      <c r="AB88" s="6"/>
    </row>
    <row r="89" spans="12:28" ht="15.5">
      <c r="L89" s="3"/>
      <c r="M89" s="3"/>
      <c r="N89" s="3"/>
      <c r="O89" s="6"/>
      <c r="P89" s="6"/>
      <c r="Q89" s="6"/>
      <c r="R89" s="6"/>
      <c r="T89" s="16" t="s">
        <v>1479</v>
      </c>
      <c r="U89" s="9" t="s">
        <v>1466</v>
      </c>
      <c r="V89" s="9" t="s">
        <v>1466</v>
      </c>
      <c r="W89" s="585" t="s">
        <v>1468</v>
      </c>
      <c r="X89" s="584" t="e" vm="52">
        <v>#VALUE!</v>
      </c>
      <c r="Y89" s="9">
        <v>-4</v>
      </c>
      <c r="Z89" s="6"/>
      <c r="AA89" s="6"/>
      <c r="AB89" s="6"/>
    </row>
    <row r="90" spans="12:28" ht="15.5">
      <c r="L90" s="3"/>
      <c r="M90" s="3"/>
      <c r="N90" s="3"/>
      <c r="O90" s="6"/>
      <c r="P90" s="6"/>
      <c r="Q90" s="6"/>
      <c r="R90" s="6"/>
      <c r="T90" s="16" t="s">
        <v>1480</v>
      </c>
      <c r="U90" s="9" t="s">
        <v>1467</v>
      </c>
      <c r="V90" s="9" t="s">
        <v>1470</v>
      </c>
      <c r="W90" s="586" t="s">
        <v>1469</v>
      </c>
      <c r="X90" s="584" t="e" vm="53">
        <v>#VALUE!</v>
      </c>
      <c r="Y90" s="9">
        <v>-3</v>
      </c>
      <c r="Z90" s="6"/>
      <c r="AA90" s="6"/>
      <c r="AB90" s="6"/>
    </row>
    <row r="91" spans="12:28">
      <c r="L91" s="3"/>
      <c r="M91" s="3"/>
      <c r="N91" s="3"/>
      <c r="O91" s="6"/>
      <c r="P91" s="6"/>
      <c r="Q91" s="6"/>
      <c r="R91" s="6"/>
      <c r="T91" s="16" t="s">
        <v>1475</v>
      </c>
      <c r="U91" s="9" t="str">
        <f>N93</f>
        <v>Escribe el país</v>
      </c>
      <c r="V91" s="9" t="str">
        <f>O93</f>
        <v>Write the nation</v>
      </c>
      <c r="W91" s="9" t="str">
        <f>IF(Q93="","",Q93)</f>
        <v/>
      </c>
      <c r="X91" s="9" t="str">
        <f>IF(R93="","",R93)</f>
        <v/>
      </c>
      <c r="Y91" s="9">
        <f>IF(P93="",-4,P93)</f>
        <v>-4</v>
      </c>
      <c r="Z91" s="6"/>
      <c r="AA91" s="6"/>
      <c r="AB91" s="6"/>
    </row>
    <row r="92" spans="12:28" ht="19" customHeight="1">
      <c r="L92" s="3"/>
      <c r="M92" s="3"/>
      <c r="N92" s="409" t="s">
        <v>1458</v>
      </c>
      <c r="O92" s="409" t="s">
        <v>1459</v>
      </c>
      <c r="P92" s="409" t="s">
        <v>1493</v>
      </c>
      <c r="Q92" s="409" t="s">
        <v>1481</v>
      </c>
      <c r="R92" s="409" t="s">
        <v>1473</v>
      </c>
      <c r="Z92" s="6"/>
      <c r="AA92" s="6"/>
      <c r="AB92" s="6"/>
    </row>
    <row r="93" spans="12:28" ht="25" customHeight="1">
      <c r="L93" s="3"/>
      <c r="M93" s="9" t="s">
        <v>1475</v>
      </c>
      <c r="N93" s="587" t="s">
        <v>1513</v>
      </c>
      <c r="O93" s="587" t="s">
        <v>1482</v>
      </c>
      <c r="P93" s="587"/>
      <c r="Q93" s="587"/>
      <c r="R93" s="587"/>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1451</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1377</v>
      </c>
      <c r="FA6120" s="614" t="s">
        <v>1378</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1380</v>
      </c>
      <c r="FA6121" s="614" t="s">
        <v>1381</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1261</v>
      </c>
      <c r="FA6122" s="614" t="s">
        <v>1261</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1262</v>
      </c>
      <c r="FA6123" s="614" t="s">
        <v>1262</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1263</v>
      </c>
      <c r="FA6126" s="614" t="s">
        <v>1279</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1383</v>
      </c>
      <c r="FA6127" s="614" t="s">
        <v>1384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1264</v>
      </c>
      <c r="FA6128" s="614" t="s">
        <v>1281</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1386</v>
      </c>
      <c r="FA6129" s="614" t="s">
        <v>1387</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1335</v>
      </c>
      <c r="FA6130" s="614" t="s">
        <v>1335</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1265</v>
      </c>
      <c r="FA6131" s="614" t="s">
        <v>1283</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1389</v>
      </c>
      <c r="FA6132" s="614" t="s">
        <v>1390</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1404</v>
      </c>
      <c r="FA6134" s="614" t="s">
        <v>1409</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1266</v>
      </c>
      <c r="FA6135" s="614" t="s">
        <v>1266</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1392</v>
      </c>
      <c r="FA6136" s="614" t="s">
        <v>1393</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1395</v>
      </c>
      <c r="FA6141" s="614" t="s">
        <v>1395</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1403</v>
      </c>
      <c r="FA6142" s="614" t="s">
        <v>1407</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1268</v>
      </c>
      <c r="FA6145" s="614" t="s">
        <v>1289</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1269</v>
      </c>
      <c r="FA6146" s="614" t="s">
        <v>1291</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1336</v>
      </c>
      <c r="FA6147" s="614" t="s">
        <v>1341</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1270</v>
      </c>
      <c r="FA6148" s="614" t="s">
        <v>1293</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1271</v>
      </c>
      <c r="FA6150" s="614" t="s">
        <v>1295</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1402</v>
      </c>
      <c r="FA6152" s="614" t="s">
        <v>1405</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1334</v>
      </c>
      <c r="FA6153" s="614" t="s">
        <v>1334</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1397</v>
      </c>
      <c r="FA6155" s="614" t="s">
        <v>1397</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1399</v>
      </c>
      <c r="FA6156" s="614" t="s">
        <v>1400</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1337</v>
      </c>
      <c r="FA6158" s="614" t="s">
        <v>1343</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1333</v>
      </c>
      <c r="FA6159" s="614" t="s">
        <v>1333</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1272</v>
      </c>
      <c r="FA6160" s="614" t="s">
        <v>1297</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1510</v>
      </c>
      <c r="FA6161" s="16" t="s">
        <v>1511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1460</v>
      </c>
      <c r="FA6162" s="16" t="s">
        <v>1461</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1504</v>
      </c>
      <c r="FA6163" s="16" t="s">
        <v>1505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1498</v>
      </c>
      <c r="FA6164" s="16" t="s">
        <v>1499</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1501</v>
      </c>
      <c r="FA6165" s="16" t="s">
        <v>1502</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1507</v>
      </c>
      <c r="FA6166" s="16" t="s">
        <v>1508</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26953125" style="6" customWidth="1"/>
    <col min="6" max="6" width="15.26953125" style="6" customWidth="1"/>
    <col min="7" max="7" width="4.1796875" style="6" bestFit="1" customWidth="1"/>
    <col min="8" max="8" width="20.453125" style="6"/>
    <col min="9" max="9" width="13" style="6" customWidth="1"/>
    <col min="10" max="10" width="12" style="6" customWidth="1"/>
    <col min="11" max="11" width="20.453125" style="6"/>
    <col min="12" max="13" width="0" style="6" hidden="1" customWidth="1"/>
    <col min="14" max="14" width="4.453125" style="616" customWidth="1"/>
    <col min="15" max="16384" width="20.453125" style="617"/>
  </cols>
  <sheetData>
    <row r="1" spans="1:18 8826:8826" ht="15" customHeight="1">
      <c r="A1" s="409" t="s">
        <v>379</v>
      </c>
      <c r="B1" s="409" t="s">
        <v>32</v>
      </c>
      <c r="C1" s="409" t="s">
        <v>73</v>
      </c>
      <c r="D1" s="409" t="s">
        <v>11</v>
      </c>
      <c r="E1" s="9"/>
      <c r="F1" s="9" t="s">
        <v>35</v>
      </c>
      <c r="G1" s="9"/>
      <c r="H1" s="409"/>
      <c r="I1" s="409"/>
      <c r="J1" s="9"/>
      <c r="K1" s="9" t="s">
        <v>70</v>
      </c>
      <c r="L1" s="9" t="s">
        <v>1358</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617"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1379</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1382</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1277</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1278</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1280</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1385</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1282</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1388</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1340</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1284</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1391</v>
      </c>
      <c r="M15" s="9" t="e" vm="67">
        <v>#VALUE!</v>
      </c>
      <c r="P15" s="619"/>
      <c r="Q15" s="619"/>
      <c r="R15" s="619"/>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1410</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1285</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1394</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1286</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1396</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1408</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8">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1290</v>
      </c>
      <c r="M28" s="9" t="e" vm="79">
        <v>#VALUE!</v>
      </c>
      <c r="LS28" s="617" t="s">
        <v>15</v>
      </c>
      <c r="MAL28" s="617"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1292</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1342</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1294</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1296</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1406</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1339</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1398</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1401</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1344</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1338</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1298</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620" t="s">
        <v>1512</v>
      </c>
      <c r="M44" s="620"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620" t="s">
        <v>1462</v>
      </c>
      <c r="M45" s="620"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1506</v>
      </c>
      <c r="M46" s="621"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620" t="s">
        <v>1500</v>
      </c>
      <c r="M47" s="620"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620" t="s">
        <v>1503</v>
      </c>
      <c r="M48" s="620"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1509</v>
      </c>
      <c r="M49" s="620" t="e" vm="100">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defaultColWidth="10.81640625" defaultRowHeight="14.5"/>
  <cols>
    <col min="1" max="1" width="13.1796875" style="14" bestFit="1" customWidth="1"/>
    <col min="2" max="2" width="5" style="14" customWidth="1"/>
    <col min="3" max="3" width="12.453125" style="14" customWidth="1"/>
    <col min="4" max="4" width="13.1796875" style="14" customWidth="1"/>
    <col min="5" max="5" width="12.26953125" style="14" bestFit="1" customWidth="1"/>
    <col min="6" max="6" width="10.81640625" style="14"/>
    <col min="7" max="7" width="12.26953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1796875" style="14" bestFit="1" customWidth="1"/>
    <col min="19" max="19" width="11" style="14" bestFit="1" customWidth="1"/>
    <col min="20" max="20" width="10.26953125" style="14" bestFit="1" customWidth="1"/>
    <col min="21" max="21" width="10.453125" style="14" customWidth="1"/>
    <col min="22" max="22" width="10.26953125" style="14" customWidth="1"/>
    <col min="23" max="23" width="3.26953125" style="14" bestFit="1" customWidth="1"/>
    <col min="24" max="26" width="10.81640625" style="14"/>
    <col min="27" max="27" width="6.453125" style="14" customWidth="1"/>
    <col min="28" max="33" width="10.81640625" style="14"/>
    <col min="34" max="34" width="3.26953125" style="14" bestFit="1" customWidth="1"/>
    <col min="35" max="16384" width="10.81640625" style="14"/>
  </cols>
  <sheetData>
    <row r="1" spans="1:35">
      <c r="A1" s="16"/>
      <c r="B1" s="16"/>
      <c r="C1" s="16"/>
      <c r="K1" s="16" t="s">
        <v>386</v>
      </c>
      <c r="L1" s="16" t="s">
        <v>378</v>
      </c>
      <c r="M1" s="16" t="s">
        <v>151</v>
      </c>
      <c r="N1" s="16" t="s">
        <v>383</v>
      </c>
      <c r="P1" s="16" t="s">
        <v>1356</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ht="15.5">
      <c r="A4" s="594">
        <v>46184.625</v>
      </c>
      <c r="B4" s="16"/>
      <c r="C4" s="594">
        <f t="shared" ref="C4:C9" ca="1" si="2">A4+INDEX($V$3:$V$86,MATCH($C$3,$P$3:$P$86,0))*INDEX($W$3:$W$86,MATCH($C$3,$P$3:$P$86,0))</f>
        <v>46184.875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ht="15.5">
      <c r="A5" s="594">
        <v>46184.916666666664</v>
      </c>
      <c r="B5" s="16"/>
      <c r="C5" s="594">
        <f t="shared" ca="1" si="2"/>
        <v>46185.166666666664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ht="15.5">
      <c r="A6" s="594">
        <v>46191.5</v>
      </c>
      <c r="B6" s="16"/>
      <c r="C6" s="594">
        <f t="shared" ca="1" si="2"/>
        <v>46191.75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ht="15.5">
      <c r="A7" s="594">
        <v>46191.875</v>
      </c>
      <c r="B7" s="16"/>
      <c r="C7" s="594">
        <f t="shared" ca="1" si="2"/>
        <v>46192.125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ht="15.5">
      <c r="A8" s="594">
        <v>46197.875</v>
      </c>
      <c r="B8" s="16"/>
      <c r="C8" s="594">
        <f t="shared" ca="1" si="2"/>
        <v>46198.125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ht="15.5">
      <c r="A9" s="594">
        <v>46197.875</v>
      </c>
      <c r="B9" s="16"/>
      <c r="C9" s="594">
        <f t="shared" ca="1" si="2"/>
        <v>46198.125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ht="15.5">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ht="15.5">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ht="15.5">
      <c r="A12" s="594">
        <v>46185.625</v>
      </c>
      <c r="B12" s="16"/>
      <c r="C12" s="594">
        <f t="shared" ref="C12:C17" ca="1" si="9">A12+INDEX($V$3:$V$86,MATCH($C$3,$P$3:$P$86,0))*INDEX($W$3:$W$86,MATCH($C$3,$P$3:$P$86,0))</f>
        <v>46185.875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ht="15.5">
      <c r="A13" s="594">
        <v>46186.625</v>
      </c>
      <c r="B13" s="16"/>
      <c r="C13" s="594">
        <f t="shared" ca="1" si="9"/>
        <v>46186.875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ht="15.5">
      <c r="A14" s="594">
        <v>46191.625</v>
      </c>
      <c r="B14" s="16"/>
      <c r="C14" s="594">
        <f t="shared" ca="1" si="9"/>
        <v>46191.875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ht="15.5">
      <c r="A15" s="594">
        <v>46191.75</v>
      </c>
      <c r="B15" s="16"/>
      <c r="C15" s="594">
        <f t="shared" ca="1" si="9"/>
        <v>46192</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ht="15.5">
      <c r="A16" s="594">
        <v>46197.625</v>
      </c>
      <c r="B16" s="16"/>
      <c r="C16" s="594">
        <f t="shared" ca="1" si="9"/>
        <v>46197.875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ht="15.5">
      <c r="A17" s="594">
        <v>46197.625</v>
      </c>
      <c r="B17" s="16"/>
      <c r="C17" s="594">
        <f t="shared" ca="1" si="9"/>
        <v>46197.875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ht="15.5">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ht="15.5">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ht="15.5">
      <c r="A20" s="594">
        <v>46186.75</v>
      </c>
      <c r="B20" s="16"/>
      <c r="C20" s="594">
        <f t="shared" ref="C20:C25" ca="1" si="11">A20+INDEX($V$3:$V$86,MATCH($C$3,$P$3:$P$86,0))*INDEX($W$3:$W$86,MATCH($C$3,$P$3:$P$86,0))</f>
        <v>46187</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ht="15.5">
      <c r="A21" s="594">
        <v>46186.875</v>
      </c>
      <c r="B21" s="16"/>
      <c r="C21" s="594">
        <f t="shared" ca="1" si="11"/>
        <v>46187.125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ht="15.5">
      <c r="A22" s="594">
        <v>46192.75</v>
      </c>
      <c r="B22" s="16"/>
      <c r="C22" s="594">
        <f t="shared" ca="1" si="11"/>
        <v>46193</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ht="15.5">
      <c r="A23" s="594">
        <v>46192.854166666664</v>
      </c>
      <c r="B23" s="16"/>
      <c r="C23" s="594">
        <f t="shared" ca="1" si="11"/>
        <v>46193.104166666664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ht="15.5">
      <c r="A24" s="594">
        <v>46197.75</v>
      </c>
      <c r="B24" s="16"/>
      <c r="C24" s="594">
        <f t="shared" ca="1" si="11"/>
        <v>46198</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ht="15.5">
      <c r="A25" s="594">
        <v>46197.75</v>
      </c>
      <c r="B25" s="16"/>
      <c r="C25" s="594">
        <f t="shared" ca="1" si="11"/>
        <v>46198</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ht="15.5">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ht="15.5">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ht="15.5">
      <c r="A28" s="594">
        <v>46185.875</v>
      </c>
      <c r="B28" s="16"/>
      <c r="C28" s="594">
        <f t="shared" ref="C28:C33" ca="1" si="13">A28+INDEX($V$3:$V$86,MATCH($C$3,$P$3:$P$86,0))*INDEX($W$3:$W$86,MATCH($C$3,$P$3:$P$86,0))</f>
        <v>46186.125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ht="15.5">
      <c r="A29" s="594">
        <v>46187</v>
      </c>
      <c r="B29" s="16"/>
      <c r="C29" s="594">
        <f t="shared" ca="1" si="13"/>
        <v>46187.25</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ht="15.5">
      <c r="A30" s="594">
        <v>46192.625</v>
      </c>
      <c r="B30" s="16"/>
      <c r="C30" s="594">
        <f t="shared" ca="1" si="13"/>
        <v>46192.875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ht="15.5">
      <c r="A31" s="594">
        <v>46192.958333333336</v>
      </c>
      <c r="B31" s="16"/>
      <c r="C31" s="594">
        <f t="shared" ca="1" si="13"/>
        <v>46193.208333333336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ht="15.5">
      <c r="A32" s="594">
        <v>46198.916666666664</v>
      </c>
      <c r="B32" s="16"/>
      <c r="C32" s="594">
        <f t="shared" ca="1" si="13"/>
        <v>46199.166666666664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ht="15.5">
      <c r="A33" s="594">
        <v>46198.916666666664</v>
      </c>
      <c r="B33" s="16"/>
      <c r="C33" s="594">
        <f t="shared" ca="1" si="13"/>
        <v>46199.166666666664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ht="15.5">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ht="15.5">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ht="15.5">
      <c r="A36" s="594">
        <v>46187.541666666664</v>
      </c>
      <c r="B36" s="16"/>
      <c r="C36" s="594">
        <f t="shared" ref="C36:C41" ca="1" si="15">A36+INDEX($V$3:$V$86,MATCH($C$3,$P$3:$P$86,0))*INDEX($W$3:$W$86,MATCH($C$3,$P$3:$P$86,0))</f>
        <v>46187.791666666664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ht="15.5">
      <c r="A37" s="594">
        <v>46187.791666666664</v>
      </c>
      <c r="B37" s="16"/>
      <c r="C37" s="594">
        <f t="shared" ca="1" si="15"/>
        <v>46188.041666666664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ht="15.5">
      <c r="A38" s="594">
        <v>46193.666666666664</v>
      </c>
      <c r="B38" s="16"/>
      <c r="C38" s="594">
        <f t="shared" ca="1" si="15"/>
        <v>46193.916666666664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ht="15.5">
      <c r="A39" s="594">
        <v>46193.833333333336</v>
      </c>
      <c r="B39" s="16"/>
      <c r="C39" s="594">
        <f t="shared" ca="1" si="15"/>
        <v>46194.083333333336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ht="15.5">
      <c r="A40" s="594">
        <v>46198.666666666664</v>
      </c>
      <c r="B40" s="16"/>
      <c r="C40" s="594">
        <f t="shared" ca="1" si="15"/>
        <v>46198.916666666664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ht="15.5">
      <c r="A41" s="594">
        <v>46198.666666666664</v>
      </c>
      <c r="B41" s="16"/>
      <c r="C41" s="594">
        <f t="shared" ca="1" si="15"/>
        <v>46198.916666666664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ht="15.5">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ht="15.5">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ht="15.5">
      <c r="A44" s="594">
        <v>46187.666666666664</v>
      </c>
      <c r="B44" s="16"/>
      <c r="C44" s="594">
        <f t="shared" ref="C44:C49" ca="1" si="17">A44+INDEX($V$3:$V$86,MATCH($C$3,$P$3:$P$86,0))*INDEX($W$3:$W$86,MATCH($C$3,$P$3:$P$86,0))</f>
        <v>46187.916666666664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c r="A45" s="594">
        <v>46187.916666666664</v>
      </c>
      <c r="B45" s="16"/>
      <c r="C45" s="594">
        <f t="shared" ca="1" si="17"/>
        <v>46188.166666666664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c r="A46" s="594">
        <v>46193.541666666664</v>
      </c>
      <c r="B46" s="16"/>
      <c r="C46" s="594">
        <f t="shared" ca="1" si="17"/>
        <v>46193.791666666664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c r="A47" s="594">
        <v>46194</v>
      </c>
      <c r="B47" s="16"/>
      <c r="C47" s="594">
        <f t="shared" ca="1" si="17"/>
        <v>46194.25</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c r="A48" s="594">
        <v>46198.791666666664</v>
      </c>
      <c r="B48" s="16"/>
      <c r="C48" s="594">
        <f t="shared" ca="1" si="17"/>
        <v>46199.041666666664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c r="A49" s="594">
        <v>46198.791666666664</v>
      </c>
      <c r="B49" s="16"/>
      <c r="C49" s="594">
        <f t="shared" ca="1" si="17"/>
        <v>46199.041666666664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c r="A52" s="594">
        <v>46188.625</v>
      </c>
      <c r="B52" s="16"/>
      <c r="C52" s="594">
        <f t="shared" ref="C52:C57" ca="1" si="21">A52+INDEX($V$3:$V$86,MATCH($C$3,$P$3:$P$86,0))*INDEX($W$3:$W$86,MATCH($C$3,$P$3:$P$86,0))</f>
        <v>46188.875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c r="A53" s="594">
        <v>46188.875</v>
      </c>
      <c r="B53" s="16"/>
      <c r="C53" s="594">
        <f t="shared" ca="1" si="21"/>
        <v>46189.125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c r="A54" s="594">
        <v>46194.625</v>
      </c>
      <c r="B54" s="16"/>
      <c r="C54" s="594">
        <f t="shared" ca="1" si="21"/>
        <v>46194.875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c r="A55" s="594">
        <v>46194.875</v>
      </c>
      <c r="B55" s="16"/>
      <c r="C55" s="594">
        <f t="shared" ca="1" si="21"/>
        <v>46195.125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c r="A56" s="594">
        <v>46199.958333333336</v>
      </c>
      <c r="B56" s="16"/>
      <c r="C56" s="594">
        <f t="shared" ca="1" si="21"/>
        <v>46200.208333333336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c r="A57" s="594">
        <v>46199.958333333336</v>
      </c>
      <c r="B57" s="16"/>
      <c r="C57" s="594">
        <f t="shared" ca="1" si="21"/>
        <v>46200.208333333336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c r="A60" s="594">
        <v>46188.5</v>
      </c>
      <c r="B60" s="16"/>
      <c r="C60" s="594">
        <f t="shared" ref="C60:C65" ca="1" si="27">A60+INDEX($V$3:$V$86,MATCH($C$3,$P$3:$P$86,0))*INDEX($W$3:$W$86,MATCH($C$3,$P$3:$P$86,0))</f>
        <v>46188.75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c r="A61" s="594">
        <v>46188.75</v>
      </c>
      <c r="B61" s="16"/>
      <c r="C61" s="594">
        <f t="shared" ca="1" si="27"/>
        <v>46189</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c r="A62" s="594">
        <v>46194.5</v>
      </c>
      <c r="B62" s="16"/>
      <c r="C62" s="594">
        <f t="shared" ca="1" si="27"/>
        <v>46194.75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c r="A63" s="594">
        <v>46194.75</v>
      </c>
      <c r="B63" s="16"/>
      <c r="C63" s="594">
        <f t="shared" ca="1" si="27"/>
        <v>46195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c r="A64" s="594">
        <v>46199.833333333336</v>
      </c>
      <c r="B64" s="16"/>
      <c r="C64" s="594">
        <f t="shared" ca="1" si="27"/>
        <v>46200.083333333336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c r="A65" s="594">
        <v>46199.833333333336</v>
      </c>
      <c r="B65" s="16"/>
      <c r="C65" s="594">
        <f t="shared" ca="1" si="27"/>
        <v>46200.083333333336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c r="A68" s="594">
        <v>46189.625</v>
      </c>
      <c r="B68" s="16"/>
      <c r="C68" s="594">
        <f t="shared" ref="C68:C73" ca="1" si="31">A68+INDEX($V$3:$V$86,MATCH($C$3,$P$3:$P$86,0))*INDEX($W$3:$W$86,MATCH($C$3,$P$3:$P$86,0))</f>
        <v>46189.875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c r="A69" s="594">
        <v>46189.75</v>
      </c>
      <c r="B69" s="16"/>
      <c r="C69" s="594">
        <f t="shared" ca="1" si="31"/>
        <v>46190</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c r="A70" s="594">
        <v>46195.708333333336</v>
      </c>
      <c r="B70" s="16"/>
      <c r="C70" s="594">
        <f t="shared" ca="1" si="31"/>
        <v>46195.958333333336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c r="A71" s="594">
        <v>46195.833333333336</v>
      </c>
      <c r="B71" s="16"/>
      <c r="C71" s="594">
        <f t="shared" ca="1" si="31"/>
        <v>46196.083333333336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c r="A72" s="594">
        <v>46199.625</v>
      </c>
      <c r="B72" s="16"/>
      <c r="C72" s="594">
        <f t="shared" ca="1" si="31"/>
        <v>46199.875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c r="A73" s="594">
        <v>46199.625</v>
      </c>
      <c r="B73" s="16"/>
      <c r="C73" s="594">
        <f t="shared" ca="1" si="31"/>
        <v>46199.875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c r="A76" s="594">
        <v>46189.875</v>
      </c>
      <c r="B76" s="16"/>
      <c r="C76" s="594">
        <f t="shared" ref="C76:C81" ca="1" si="34">A76+INDEX($V$3:$V$86,MATCH($C$3,$P$3:$P$86,0))*INDEX($W$3:$W$86,MATCH($C$3,$P$3:$P$86,0))</f>
        <v>46190.125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c r="A77" s="594">
        <v>46190</v>
      </c>
      <c r="B77" s="16"/>
      <c r="C77" s="594">
        <f t="shared" ca="1" si="34"/>
        <v>46190.25</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c r="A78" s="594">
        <v>46195.541666666664</v>
      </c>
      <c r="B78" s="16"/>
      <c r="C78" s="594">
        <f t="shared" ca="1" si="34"/>
        <v>46195.791666666664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c r="A79" s="594">
        <v>46195.958333333336</v>
      </c>
      <c r="B79" s="16"/>
      <c r="C79" s="594">
        <f t="shared" ca="1" si="34"/>
        <v>46196.208333333336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c r="A80" s="594">
        <v>46200.916666666664</v>
      </c>
      <c r="B80" s="16"/>
      <c r="C80" s="594">
        <f t="shared" ca="1" si="34"/>
        <v>46201.166666666664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c r="A81" s="594">
        <v>46200.916666666664</v>
      </c>
      <c r="B81" s="16"/>
      <c r="C81" s="594">
        <f t="shared" ca="1" si="34"/>
        <v>46201.166666666664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c r="A84" s="594">
        <v>46190.541666666664</v>
      </c>
      <c r="B84" s="16"/>
      <c r="C84" s="594">
        <f t="shared" ref="C84:C89" ca="1" si="35">A84+INDEX($V$3:$V$86,MATCH($C$3,$P$3:$P$86,0))*INDEX($W$3:$W$86,MATCH($C$3,$P$3:$P$86,0))</f>
        <v>46190.791666666664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c r="A85" s="594">
        <v>46190.916666666664</v>
      </c>
      <c r="B85" s="16"/>
      <c r="C85" s="594">
        <f t="shared" ca="1" si="35"/>
        <v>46191.166666666664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c r="A86" s="594">
        <v>46196.541666666664</v>
      </c>
      <c r="B86" s="16"/>
      <c r="C86" s="594">
        <f t="shared" ca="1" si="35"/>
        <v>46196.791666666664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c r="A87" s="594">
        <v>46196.916666666664</v>
      </c>
      <c r="B87" s="16"/>
      <c r="C87" s="594">
        <f t="shared" ca="1" si="35"/>
        <v>46197.166666666664</v>
      </c>
      <c r="D87" s="622"/>
    </row>
    <row r="88" spans="1:35">
      <c r="A88" s="594">
        <v>46200.8125</v>
      </c>
      <c r="B88" s="16"/>
      <c r="C88" s="594">
        <f t="shared" ca="1" si="35"/>
        <v>46201.0625</v>
      </c>
      <c r="D88" s="622"/>
    </row>
    <row r="89" spans="1:35">
      <c r="A89" s="594">
        <v>46200.8125</v>
      </c>
      <c r="B89" s="16"/>
      <c r="C89" s="594">
        <f t="shared" ca="1" si="35"/>
        <v>46201.0625</v>
      </c>
      <c r="D89" s="622"/>
    </row>
    <row r="90" spans="1:35">
      <c r="A90" s="16"/>
      <c r="B90" s="16"/>
      <c r="C90" s="594"/>
    </row>
    <row r="91" spans="1:35">
      <c r="A91" s="9" t="s">
        <v>499</v>
      </c>
      <c r="B91" s="16"/>
      <c r="C91" s="594"/>
    </row>
    <row r="92" spans="1:35">
      <c r="A92" s="594">
        <v>46190.666666666664</v>
      </c>
      <c r="B92" s="16"/>
      <c r="C92" s="594">
        <f t="shared" ref="C92:C97" ca="1" si="36">A92+INDEX($V$3:$V$86,MATCH($C$3,$P$3:$P$86,0))*INDEX($W$3:$W$86,MATCH($C$3,$P$3:$P$86,0))</f>
        <v>46190.916666666664</v>
      </c>
      <c r="D92" s="622"/>
    </row>
    <row r="93" spans="1:35">
      <c r="A93" s="594">
        <v>46190.791666666664</v>
      </c>
      <c r="B93" s="16"/>
      <c r="C93" s="594">
        <f t="shared" ca="1" si="36"/>
        <v>46191.041666666664</v>
      </c>
      <c r="D93" s="622"/>
    </row>
    <row r="94" spans="1:35">
      <c r="A94" s="594">
        <v>46196.666666666664</v>
      </c>
      <c r="B94" s="16"/>
      <c r="C94" s="594">
        <f t="shared" ca="1" si="36"/>
        <v>46196.916666666664</v>
      </c>
      <c r="D94" s="622"/>
    </row>
    <row r="95" spans="1:35">
      <c r="A95" s="594">
        <v>46196.791666666664</v>
      </c>
      <c r="B95" s="16"/>
      <c r="C95" s="594">
        <f t="shared" ca="1" si="36"/>
        <v>46197.041666666664</v>
      </c>
      <c r="D95" s="622"/>
    </row>
    <row r="96" spans="1:35">
      <c r="A96" s="594">
        <v>46200.708333333336</v>
      </c>
      <c r="B96" s="16"/>
      <c r="C96" s="594">
        <f t="shared" ca="1" si="36"/>
        <v>46200.958333333336</v>
      </c>
      <c r="D96" s="622"/>
    </row>
    <row r="97" spans="1:10">
      <c r="A97" s="594">
        <v>46200.708333333336</v>
      </c>
      <c r="B97" s="16"/>
      <c r="C97" s="594">
        <f t="shared" ca="1" si="36"/>
        <v>46200.958333333336</v>
      </c>
      <c r="D97" s="622"/>
    </row>
    <row r="98" spans="1:10">
      <c r="A98" s="16"/>
      <c r="B98" s="16"/>
      <c r="C98" s="16"/>
    </row>
    <row r="99" spans="1:10">
      <c r="A99" s="16"/>
      <c r="B99" s="16"/>
      <c r="C99" s="16"/>
    </row>
    <row r="100" spans="1:10">
      <c r="A100" s="626" t="s">
        <v>500</v>
      </c>
      <c r="B100" s="16"/>
      <c r="C100" s="594"/>
      <c r="F100" s="16" t="s">
        <v>1455</v>
      </c>
      <c r="G100" s="16"/>
      <c r="I100" s="16" t="s">
        <v>1454</v>
      </c>
      <c r="J100" s="16"/>
    </row>
    <row r="101" spans="1:10">
      <c r="A101" s="594">
        <v>46201.625</v>
      </c>
      <c r="B101" s="16"/>
      <c r="C101" s="594">
        <f t="shared" ref="C101:C116" ca="1" si="37">A101+INDEX($V$3:$V$86,MATCH($C$3,$P$3:$P$86,0))*INDEX($W$3:$W$86,MATCH($C$3,$P$3:$P$86,0))</f>
        <v>46201.875</v>
      </c>
      <c r="F101" s="16">
        <v>73</v>
      </c>
      <c r="G101" s="594">
        <v>46201.625</v>
      </c>
      <c r="I101" s="16">
        <v>73</v>
      </c>
      <c r="J101" s="594">
        <v>46201.625</v>
      </c>
    </row>
    <row r="102" spans="1:10">
      <c r="A102" s="594">
        <v>46202.541666666664</v>
      </c>
      <c r="B102" s="16"/>
      <c r="C102" s="594">
        <f t="shared" ca="1" si="37"/>
        <v>46202.791666666664</v>
      </c>
      <c r="F102" s="16">
        <v>76</v>
      </c>
      <c r="G102" s="594">
        <v>46202.541666666664</v>
      </c>
      <c r="I102" s="16">
        <v>74</v>
      </c>
      <c r="J102" s="594">
        <v>46202.6875</v>
      </c>
    </row>
    <row r="103" spans="1:10">
      <c r="A103" s="594">
        <v>46202.6875</v>
      </c>
      <c r="B103" s="16"/>
      <c r="C103" s="594">
        <f t="shared" ca="1" si="37"/>
        <v>46202.9375</v>
      </c>
      <c r="F103" s="16">
        <v>74</v>
      </c>
      <c r="G103" s="594">
        <v>46202.6875</v>
      </c>
      <c r="I103" s="16">
        <v>75</v>
      </c>
      <c r="J103" s="594">
        <v>46202.875</v>
      </c>
    </row>
    <row r="104" spans="1:10">
      <c r="A104" s="594">
        <v>46202.875</v>
      </c>
      <c r="B104" s="16"/>
      <c r="C104" s="594">
        <f t="shared" ca="1" si="37"/>
        <v>46203.125</v>
      </c>
      <c r="F104" s="16">
        <v>75</v>
      </c>
      <c r="G104" s="594">
        <v>46202.875</v>
      </c>
      <c r="I104" s="16">
        <v>76</v>
      </c>
      <c r="J104" s="594">
        <v>46202.541666666664</v>
      </c>
    </row>
    <row r="105" spans="1:10">
      <c r="A105" s="594">
        <v>46203.541666666664</v>
      </c>
      <c r="B105" s="16"/>
      <c r="C105" s="594">
        <f t="shared" ca="1" si="37"/>
        <v>46203.791666666664</v>
      </c>
      <c r="F105" s="16">
        <v>78</v>
      </c>
      <c r="G105" s="594">
        <v>46203.541666666664</v>
      </c>
      <c r="I105" s="16">
        <v>77</v>
      </c>
      <c r="J105" s="594">
        <v>46203.708333333336</v>
      </c>
    </row>
    <row r="106" spans="1:10">
      <c r="A106" s="594">
        <v>46203.708333333336</v>
      </c>
      <c r="B106" s="16"/>
      <c r="C106" s="594">
        <f t="shared" ca="1" si="37"/>
        <v>46203.958333333336</v>
      </c>
      <c r="F106" s="16">
        <v>77</v>
      </c>
      <c r="G106" s="594">
        <v>46203.708333333336</v>
      </c>
      <c r="I106" s="16">
        <v>78</v>
      </c>
      <c r="J106" s="594">
        <v>46203.541666666664</v>
      </c>
    </row>
    <row r="107" spans="1:10">
      <c r="A107" s="594">
        <v>46203.875</v>
      </c>
      <c r="B107" s="16"/>
      <c r="C107" s="594">
        <f t="shared" ca="1" si="37"/>
        <v>46204.125</v>
      </c>
      <c r="F107" s="16">
        <v>79</v>
      </c>
      <c r="G107" s="594">
        <v>46203.875</v>
      </c>
      <c r="I107" s="16">
        <v>79</v>
      </c>
      <c r="J107" s="594">
        <v>46203.875</v>
      </c>
    </row>
    <row r="108" spans="1:10">
      <c r="A108" s="594">
        <v>46204.5</v>
      </c>
      <c r="B108" s="16"/>
      <c r="C108" s="594">
        <f t="shared" ca="1" si="37"/>
        <v>46204.75</v>
      </c>
      <c r="F108" s="16">
        <v>80</v>
      </c>
      <c r="G108" s="594">
        <v>46204.5</v>
      </c>
      <c r="I108" s="16">
        <v>80</v>
      </c>
      <c r="J108" s="594">
        <v>46204.5</v>
      </c>
    </row>
    <row r="109" spans="1:10">
      <c r="A109" s="594">
        <v>46204.666666666664</v>
      </c>
      <c r="B109" s="16"/>
      <c r="C109" s="594">
        <f t="shared" ca="1" si="37"/>
        <v>46204.916666666664</v>
      </c>
      <c r="F109" s="16">
        <v>82</v>
      </c>
      <c r="G109" s="594">
        <v>46204.666666666664</v>
      </c>
      <c r="I109" s="16">
        <v>81</v>
      </c>
      <c r="J109" s="594">
        <v>46204.833333333336</v>
      </c>
    </row>
    <row r="110" spans="1:10">
      <c r="A110" s="594">
        <v>46204.833333333336</v>
      </c>
      <c r="B110" s="16"/>
      <c r="C110" s="594">
        <f t="shared" ca="1" si="37"/>
        <v>46205.083333333336</v>
      </c>
      <c r="F110" s="16">
        <v>81</v>
      </c>
      <c r="G110" s="594">
        <v>46204.833333333336</v>
      </c>
      <c r="I110" s="16">
        <v>82</v>
      </c>
      <c r="J110" s="594">
        <v>46204.666666666664</v>
      </c>
    </row>
    <row r="111" spans="1:10">
      <c r="A111" s="594">
        <v>46205.625</v>
      </c>
      <c r="B111" s="16"/>
      <c r="C111" s="594">
        <f t="shared" ca="1" si="37"/>
        <v>46205.875</v>
      </c>
      <c r="F111" s="16">
        <v>84</v>
      </c>
      <c r="G111" s="594">
        <v>46205.625</v>
      </c>
      <c r="I111" s="16">
        <v>83</v>
      </c>
      <c r="J111" s="594">
        <v>46205.791666666664</v>
      </c>
    </row>
    <row r="112" spans="1:10">
      <c r="A112" s="594">
        <v>46205.791666666664</v>
      </c>
      <c r="B112" s="16"/>
      <c r="C112" s="594">
        <f t="shared" ca="1" si="37"/>
        <v>46206.041666666664</v>
      </c>
      <c r="F112" s="16">
        <v>83</v>
      </c>
      <c r="G112" s="594">
        <v>46205.791666666664</v>
      </c>
      <c r="I112" s="16">
        <v>84</v>
      </c>
      <c r="J112" s="594">
        <v>46205.625</v>
      </c>
    </row>
    <row r="113" spans="1:10">
      <c r="A113" s="594">
        <v>46205.958333333336</v>
      </c>
      <c r="B113" s="16"/>
      <c r="C113" s="594">
        <f t="shared" ca="1" si="37"/>
        <v>46206.208333333336</v>
      </c>
      <c r="F113" s="16">
        <v>85</v>
      </c>
      <c r="G113" s="594">
        <v>46205.958333333336</v>
      </c>
      <c r="I113" s="16">
        <v>85</v>
      </c>
      <c r="J113" s="594">
        <v>46205.958333333336</v>
      </c>
    </row>
    <row r="114" spans="1:10">
      <c r="A114" s="594">
        <v>46206.583333333336</v>
      </c>
      <c r="B114" s="16"/>
      <c r="C114" s="594">
        <f t="shared" ca="1" si="37"/>
        <v>46206.833333333336</v>
      </c>
      <c r="F114" s="16">
        <v>88</v>
      </c>
      <c r="G114" s="594">
        <v>46206.583333333336</v>
      </c>
      <c r="I114" s="16">
        <v>86</v>
      </c>
      <c r="J114" s="594">
        <v>46206.75</v>
      </c>
    </row>
    <row r="115" spans="1:10">
      <c r="A115" s="594">
        <v>46206.75</v>
      </c>
      <c r="B115" s="16"/>
      <c r="C115" s="594">
        <f t="shared" ca="1" si="37"/>
        <v>46207</v>
      </c>
      <c r="F115" s="16">
        <v>86</v>
      </c>
      <c r="G115" s="594">
        <v>46206.75</v>
      </c>
      <c r="I115" s="16">
        <v>87</v>
      </c>
      <c r="J115" s="594">
        <v>46206.895833333336</v>
      </c>
    </row>
    <row r="116" spans="1:10">
      <c r="A116" s="594">
        <v>46206.895833333336</v>
      </c>
      <c r="B116" s="16"/>
      <c r="C116" s="594">
        <f t="shared" ca="1" si="37"/>
        <v>46207.145833333336</v>
      </c>
      <c r="F116" s="16">
        <v>87</v>
      </c>
      <c r="G116" s="594">
        <v>46206.895833333336</v>
      </c>
      <c r="I116" s="16">
        <v>88</v>
      </c>
      <c r="J116" s="594">
        <v>46206.583333333336</v>
      </c>
    </row>
    <row r="117" spans="1:10">
      <c r="A117" s="16"/>
      <c r="B117" s="16"/>
      <c r="C117" s="594"/>
      <c r="F117" s="16"/>
      <c r="G117" s="594"/>
      <c r="I117" s="16"/>
      <c r="J117" s="16"/>
    </row>
    <row r="118" spans="1:10">
      <c r="A118" s="16"/>
      <c r="B118" s="16"/>
      <c r="C118" s="594"/>
      <c r="F118" s="16"/>
      <c r="G118" s="594"/>
      <c r="I118" s="16"/>
      <c r="J118" s="16"/>
    </row>
    <row r="119" spans="1:10">
      <c r="A119" s="626" t="s">
        <v>729</v>
      </c>
      <c r="B119" s="16"/>
      <c r="C119" s="16"/>
      <c r="F119" s="16"/>
      <c r="G119" s="594"/>
      <c r="I119" s="16"/>
      <c r="J119" s="16"/>
    </row>
    <row r="120" spans="1:10">
      <c r="A120" s="594">
        <v>46207.541666666664</v>
      </c>
      <c r="B120" s="16"/>
      <c r="C120" s="594">
        <f t="shared" ref="C120:C127" ca="1" si="38">A120+INDEX($V$3:$V$86,MATCH($C$3,$P$3:$P$86,0))*INDEX($W$3:$W$86,MATCH($C$3,$P$3:$P$86,0))</f>
        <v>46207.791666666664</v>
      </c>
      <c r="D120" s="622"/>
      <c r="F120" s="16">
        <v>90</v>
      </c>
      <c r="G120" s="594">
        <v>46207.541666666664</v>
      </c>
      <c r="I120" s="16">
        <v>89</v>
      </c>
      <c r="J120" s="594">
        <v>46207.708333333336</v>
      </c>
    </row>
    <row r="121" spans="1:10">
      <c r="A121" s="594">
        <v>46207.708333333336</v>
      </c>
      <c r="B121" s="16"/>
      <c r="C121" s="594">
        <f t="shared" ca="1" si="38"/>
        <v>46207.958333333336</v>
      </c>
      <c r="D121" s="622"/>
      <c r="F121" s="16">
        <v>89</v>
      </c>
      <c r="G121" s="594">
        <v>46207.708333333336</v>
      </c>
      <c r="I121" s="16">
        <v>90</v>
      </c>
      <c r="J121" s="594">
        <v>46207.541666666664</v>
      </c>
    </row>
    <row r="122" spans="1:10">
      <c r="A122" s="594">
        <v>46208.666666666664</v>
      </c>
      <c r="B122" s="16"/>
      <c r="C122" s="594">
        <f t="shared" ca="1" si="38"/>
        <v>46208.916666666664</v>
      </c>
      <c r="D122" s="622"/>
      <c r="F122" s="16">
        <v>91</v>
      </c>
      <c r="G122" s="594">
        <v>46208.666666666664</v>
      </c>
      <c r="I122" s="16">
        <v>91</v>
      </c>
      <c r="J122" s="594">
        <v>46208.666666666664</v>
      </c>
    </row>
    <row r="123" spans="1:10">
      <c r="A123" s="594">
        <v>46208.833333333336</v>
      </c>
      <c r="B123" s="16"/>
      <c r="C123" s="594">
        <f t="shared" ca="1" si="38"/>
        <v>46209.083333333336</v>
      </c>
      <c r="D123" s="622"/>
      <c r="F123" s="16">
        <v>92</v>
      </c>
      <c r="G123" s="594">
        <v>46208.833333333336</v>
      </c>
      <c r="I123" s="16">
        <v>92</v>
      </c>
      <c r="J123" s="594">
        <v>46208.833333333336</v>
      </c>
    </row>
    <row r="124" spans="1:10">
      <c r="A124" s="594">
        <v>46209.625</v>
      </c>
      <c r="B124" s="16"/>
      <c r="C124" s="594">
        <f t="shared" ca="1" si="38"/>
        <v>46209.875</v>
      </c>
      <c r="D124" s="622"/>
      <c r="F124" s="16">
        <v>93</v>
      </c>
      <c r="G124" s="594">
        <v>46209.625</v>
      </c>
      <c r="I124" s="16">
        <v>93</v>
      </c>
      <c r="J124" s="594">
        <v>46209.625</v>
      </c>
    </row>
    <row r="125" spans="1:10">
      <c r="A125" s="594">
        <v>46209.833333333336</v>
      </c>
      <c r="B125" s="16"/>
      <c r="C125" s="594">
        <f t="shared" ca="1" si="38"/>
        <v>46210.083333333336</v>
      </c>
      <c r="D125" s="622"/>
      <c r="F125" s="16">
        <v>94</v>
      </c>
      <c r="G125" s="594">
        <v>46209.833333333336</v>
      </c>
      <c r="I125" s="16">
        <v>94</v>
      </c>
      <c r="J125" s="594">
        <v>46209.833333333336</v>
      </c>
    </row>
    <row r="126" spans="1:10">
      <c r="A126" s="594">
        <v>46210.5</v>
      </c>
      <c r="B126" s="16"/>
      <c r="C126" s="594">
        <f t="shared" ca="1" si="38"/>
        <v>46210.75</v>
      </c>
      <c r="D126" s="622"/>
      <c r="F126" s="16">
        <v>95</v>
      </c>
      <c r="G126" s="594">
        <v>46210.5</v>
      </c>
      <c r="I126" s="16">
        <v>95</v>
      </c>
      <c r="J126" s="594">
        <v>46210.5</v>
      </c>
    </row>
    <row r="127" spans="1:10">
      <c r="A127" s="594">
        <v>46210.666666666664</v>
      </c>
      <c r="B127" s="16"/>
      <c r="C127" s="594">
        <f t="shared" ca="1" si="38"/>
        <v>46210.916666666664</v>
      </c>
      <c r="D127" s="622"/>
      <c r="F127" s="16">
        <v>96</v>
      </c>
      <c r="G127" s="594">
        <v>46210.666666666664</v>
      </c>
      <c r="I127" s="16">
        <v>96</v>
      </c>
      <c r="J127" s="594">
        <v>46210.666666666664</v>
      </c>
    </row>
    <row r="128" spans="1:10">
      <c r="A128" s="16"/>
      <c r="B128" s="16"/>
      <c r="C128" s="16"/>
      <c r="F128" s="16"/>
      <c r="G128" s="594"/>
      <c r="I128" s="16"/>
      <c r="J128" s="16"/>
    </row>
    <row r="129" spans="1:10">
      <c r="A129" s="16"/>
      <c r="B129" s="16"/>
      <c r="C129" s="16"/>
      <c r="F129" s="16"/>
      <c r="G129" s="594"/>
      <c r="I129" s="16"/>
      <c r="J129" s="16"/>
    </row>
    <row r="130" spans="1:10">
      <c r="A130" s="626" t="s">
        <v>96</v>
      </c>
      <c r="B130" s="16"/>
      <c r="C130" s="594"/>
      <c r="F130" s="16"/>
      <c r="G130" s="594"/>
      <c r="I130" s="16"/>
      <c r="J130" s="16"/>
    </row>
    <row r="131" spans="1:10">
      <c r="A131" s="594">
        <v>46212.666666666664</v>
      </c>
      <c r="B131" s="16"/>
      <c r="C131" s="594">
        <f ca="1">A131+INDEX($V$3:$V$86,MATCH($C$3,$P$3:$P$86,0))*INDEX($W$3:$W$86,MATCH($C$3,$P$3:$P$86,0))</f>
        <v>46212.916666666664</v>
      </c>
      <c r="D131" s="622"/>
      <c r="F131" s="16">
        <v>97</v>
      </c>
      <c r="G131" s="594">
        <v>46212.666666666664</v>
      </c>
      <c r="I131" s="16">
        <v>97</v>
      </c>
      <c r="J131" s="594">
        <v>46212.666666666664</v>
      </c>
    </row>
    <row r="132" spans="1:10">
      <c r="A132" s="594">
        <v>46213.625</v>
      </c>
      <c r="B132" s="16"/>
      <c r="C132" s="594">
        <f ca="1">A132+INDEX($V$3:$V$86,MATCH($C$3,$P$3:$P$86,0))*INDEX($W$3:$W$86,MATCH($C$3,$P$3:$P$86,0))</f>
        <v>46213.875</v>
      </c>
      <c r="D132" s="622"/>
      <c r="F132" s="16">
        <v>98</v>
      </c>
      <c r="G132" s="594">
        <v>46213.625</v>
      </c>
      <c r="I132" s="16">
        <v>98</v>
      </c>
      <c r="J132" s="594">
        <v>46213.625</v>
      </c>
    </row>
    <row r="133" spans="1:10">
      <c r="A133" s="594">
        <v>46214.708333333336</v>
      </c>
      <c r="B133" s="16"/>
      <c r="C133" s="594">
        <f ca="1">A133+INDEX($V$3:$V$86,MATCH($C$3,$P$3:$P$86,0))*INDEX($W$3:$W$86,MATCH($C$3,$P$3:$P$86,0))</f>
        <v>46214.958333333336</v>
      </c>
      <c r="D133" s="622"/>
      <c r="F133" s="16">
        <v>99</v>
      </c>
      <c r="G133" s="594">
        <v>46214.708333333336</v>
      </c>
      <c r="I133" s="16">
        <v>99</v>
      </c>
      <c r="J133" s="594">
        <v>46214.708333333336</v>
      </c>
    </row>
    <row r="134" spans="1:10">
      <c r="A134" s="594">
        <v>46214.875</v>
      </c>
      <c r="B134" s="16"/>
      <c r="C134" s="594">
        <f ca="1">A134+INDEX($V$3:$V$86,MATCH($C$3,$P$3:$P$86,0))*INDEX($W$3:$W$86,MATCH($C$3,$P$3:$P$86,0))</f>
        <v>46215.125</v>
      </c>
      <c r="D134" s="622"/>
      <c r="F134" s="16">
        <v>100</v>
      </c>
      <c r="G134" s="594">
        <v>46214.875</v>
      </c>
      <c r="I134" s="16">
        <v>100</v>
      </c>
      <c r="J134" s="594">
        <v>46214.875</v>
      </c>
    </row>
    <row r="135" spans="1:10">
      <c r="A135" s="16"/>
      <c r="B135" s="16"/>
      <c r="C135" s="594"/>
    </row>
    <row r="136" spans="1:10">
      <c r="A136" s="16"/>
      <c r="B136" s="16"/>
      <c r="C136" s="16"/>
    </row>
    <row r="137" spans="1:10">
      <c r="A137" s="627" t="s">
        <v>43</v>
      </c>
      <c r="B137" s="16"/>
      <c r="C137" s="594"/>
    </row>
    <row r="138" spans="1:10">
      <c r="A138" s="594">
        <v>46217.625</v>
      </c>
      <c r="B138" s="16"/>
      <c r="C138" s="594">
        <f ca="1">A138+INDEX($V$3:$V$86,MATCH($C$3,$P$3:$P$86,0))*INDEX($W$3:$W$86,MATCH($C$3,$P$3:$P$86,0))</f>
        <v>46217.875</v>
      </c>
      <c r="D138" s="622"/>
    </row>
    <row r="139" spans="1:10">
      <c r="A139" s="594">
        <v>46218.625</v>
      </c>
      <c r="B139" s="16"/>
      <c r="C139" s="594">
        <f ca="1">A139+INDEX($V$3:$V$86,MATCH($C$3,$P$3:$P$86,0))*INDEX($W$3:$W$86,MATCH($C$3,$P$3:$P$86,0))</f>
        <v>46218.875</v>
      </c>
      <c r="D139" s="622"/>
    </row>
    <row r="140" spans="1:10">
      <c r="A140" s="16"/>
      <c r="B140" s="16"/>
      <c r="C140" s="594"/>
    </row>
    <row r="141" spans="1:10">
      <c r="A141" s="16"/>
      <c r="B141" s="16"/>
      <c r="C141" s="16"/>
    </row>
    <row r="142" spans="1:10">
      <c r="A142" s="628" t="s">
        <v>503</v>
      </c>
      <c r="B142" s="16"/>
      <c r="C142" s="16"/>
    </row>
    <row r="143" spans="1:10">
      <c r="A143" s="594">
        <v>46221.708333333336</v>
      </c>
      <c r="B143" s="16"/>
      <c r="C143" s="594">
        <f ca="1">A143+INDEX($V$3:$V$86,MATCH($C$3,$P$3:$P$86,0))*INDEX($W$3:$W$86,MATCH($C$3,$P$3:$P$86,0))</f>
        <v>46221.958333333336</v>
      </c>
      <c r="D143" s="622"/>
    </row>
    <row r="144" spans="1:10">
      <c r="A144" s="16"/>
      <c r="B144" s="16"/>
      <c r="C144" s="16"/>
    </row>
    <row r="145" spans="1:4">
      <c r="A145" s="16"/>
      <c r="B145" s="16"/>
      <c r="C145" s="16"/>
    </row>
    <row r="146" spans="1:4">
      <c r="A146" s="629" t="s">
        <v>4</v>
      </c>
      <c r="B146" s="16"/>
      <c r="C146" s="594"/>
    </row>
    <row r="147" spans="1:4">
      <c r="A147" s="594">
        <v>46222.625</v>
      </c>
      <c r="B147" s="16"/>
      <c r="C147" s="594">
        <f ca="1">A147+INDEX($V$3:$V$86,MATCH($C$3,$P$3:$P$86,0))*INDEX($W$3:$W$86,MATCH($C$3,$P$3:$P$86,0))</f>
        <v>46222.875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Duprat Alvaro, Marie-Yaël</cp:lastModifiedBy>
  <cp:lastPrinted>2018-12-06T18:06:35Z</cp:lastPrinted>
  <dcterms:created xsi:type="dcterms:W3CDTF">2015-10-31T09:41:54Z</dcterms:created>
  <dcterms:modified xsi:type="dcterms:W3CDTF">2026-06-28T16:32:32Z</dcterms:modified>
</cp:coreProperties>
</file>