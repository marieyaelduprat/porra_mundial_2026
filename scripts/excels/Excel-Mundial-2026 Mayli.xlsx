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autoCompressPictures="0" defaultThemeVersion="124226"/>
  <mc:AlternateContent xmlns:mc="http://schemas.openxmlformats.org/markup-compatibility/2006">
    <mc:Choice Requires="x15">
      <x15ac:absPath xmlns:x15ac="http://schemas.microsoft.com/office/spreadsheetml/2010/11/ac" url="https://d.docs.live.net/d086cc37fa2f3f5b/Desktop/"/>
    </mc:Choice>
  </mc:AlternateContent>
  <xr:revisionPtr revIDLastSave="14" documentId="8_{8024C58D-BBC2-456E-A31B-05E94A63BCFC}" xr6:coauthVersionLast="47" xr6:coauthVersionMax="47" xr10:uidLastSave="{14627FC2-DCA9-4B10-A74A-96B756BC6789}"/>
  <workbookProtection workbookAlgorithmName="SHA-512" workbookHashValue="euVKK6JtwcOAVu4oR0JOcV1GkEjxLs4TzOG8iZmiHb9wb3JVuooED0DIzwEbUFMnmXXVl4D4SFYWMZ4nz6gcww==" workbookSaltValue="ge1aTcoKNVg5XeEOejsgxw=="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F28" i="45"/>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0" i="3" l="1"/>
  <c r="BE48" i="3"/>
  <c r="BL9" i="3"/>
  <c r="BL26"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92" i="32" l="1"/>
  <c r="X92" i="3" s="1"/>
  <c r="C106" i="32"/>
  <c r="Y106" i="3" s="1"/>
  <c r="C12" i="32"/>
  <c r="X12" i="3" s="1"/>
  <c r="C85" i="32"/>
  <c r="X85" i="3" s="1"/>
  <c r="C115" i="32"/>
  <c r="Y115" i="3" s="1"/>
  <c r="C29" i="32"/>
  <c r="Y29" i="3" s="1"/>
  <c r="C41" i="32"/>
  <c r="X41" i="3" s="1"/>
  <c r="C86" i="32"/>
  <c r="X86" i="3" s="1"/>
  <c r="C134" i="32"/>
  <c r="Y134" i="3" s="1"/>
  <c r="C138" i="32"/>
  <c r="Y138" i="3" s="1"/>
  <c r="C62" i="32"/>
  <c r="Y62" i="3" s="1"/>
  <c r="C25" i="32"/>
  <c r="X25" i="3" s="1"/>
  <c r="C16" i="32"/>
  <c r="X16" i="3" s="1"/>
  <c r="C116" i="32"/>
  <c r="X116" i="3" s="1"/>
  <c r="C21" i="32"/>
  <c r="X21" i="3" s="1"/>
  <c r="C81" i="32"/>
  <c r="X81" i="3" s="1"/>
  <c r="C9" i="32"/>
  <c r="X9" i="3" s="1"/>
  <c r="C49" i="32"/>
  <c r="X49" i="3" s="1"/>
  <c r="C64" i="32"/>
  <c r="Y64" i="3" s="1"/>
  <c r="C5" i="32"/>
  <c r="Y5" i="3" s="1"/>
  <c r="C69" i="32"/>
  <c r="Y69" i="3" s="1"/>
  <c r="C113" i="32"/>
  <c r="X113" i="3" s="1"/>
  <c r="C79" i="32"/>
  <c r="Y79" i="3" s="1"/>
  <c r="C7" i="32"/>
  <c r="X7" i="3" s="1"/>
  <c r="C28" i="32"/>
  <c r="X28" i="3" s="1"/>
  <c r="C17" i="32"/>
  <c r="X17" i="3" s="1"/>
  <c r="C33" i="32"/>
  <c r="X33" i="3" s="1"/>
  <c r="C45" i="32"/>
  <c r="X45" i="3" s="1"/>
  <c r="C120" i="32"/>
  <c r="X120" i="3" s="1"/>
  <c r="C38" i="32"/>
  <c r="Y38" i="3" s="1"/>
  <c r="C60" i="32"/>
  <c r="Y60" i="3" s="1"/>
  <c r="C103" i="32"/>
  <c r="X103" i="3" s="1"/>
  <c r="C84" i="32"/>
  <c r="X84" i="3" s="1"/>
  <c r="C94" i="32"/>
  <c r="X94" i="3" s="1"/>
  <c r="C108" i="32"/>
  <c r="Y108" i="3" s="1"/>
  <c r="C101" i="32"/>
  <c r="Y101" i="3" s="1"/>
  <c r="C31" i="32"/>
  <c r="Y31" i="3" s="1"/>
  <c r="C6" i="32"/>
  <c r="X6" i="3" s="1"/>
  <c r="C93" i="32"/>
  <c r="Y93" i="3" s="1"/>
  <c r="C78" i="32"/>
  <c r="Y78" i="3" s="1"/>
  <c r="C110" i="32"/>
  <c r="X110" i="3" s="1"/>
  <c r="C56" i="32"/>
  <c r="X56" i="3" s="1"/>
  <c r="C55" i="32"/>
  <c r="Y55" i="3" s="1"/>
  <c r="C139" i="32"/>
  <c r="X139" i="3" s="1"/>
  <c r="C65" i="32"/>
  <c r="Y65" i="3" s="1"/>
  <c r="C125" i="32"/>
  <c r="Y125" i="3" s="1"/>
  <c r="C88" i="32"/>
  <c r="X88" i="3" s="1"/>
  <c r="C13" i="32"/>
  <c r="Y13" i="3" s="1"/>
  <c r="C20" i="32"/>
  <c r="Y20" i="3" s="1"/>
  <c r="C61" i="32"/>
  <c r="X61" i="3" s="1"/>
  <c r="C95" i="32"/>
  <c r="X95" i="3" s="1"/>
  <c r="C53" i="32"/>
  <c r="Y53" i="3" s="1"/>
  <c r="C54" i="32"/>
  <c r="Y54" i="3" s="1"/>
  <c r="C23" i="32"/>
  <c r="X23" i="3" s="1"/>
  <c r="C14" i="32"/>
  <c r="X14" i="3" s="1"/>
  <c r="C105" i="32"/>
  <c r="X105" i="3" s="1"/>
  <c r="C143" i="32"/>
  <c r="X14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Y92" i="3" l="1"/>
  <c r="X115" i="3"/>
  <c r="X53" i="3"/>
  <c r="Y81" i="3"/>
  <c r="Y49" i="3"/>
  <c r="Y12" i="3"/>
  <c r="X106" i="3"/>
  <c r="Y85" i="3"/>
  <c r="Y45" i="3"/>
  <c r="X78" i="3"/>
  <c r="Y110" i="3"/>
  <c r="X124" i="3"/>
  <c r="Y9" i="3"/>
  <c r="X64" i="3"/>
  <c r="X29" i="3"/>
  <c r="X131" i="3"/>
  <c r="Y103" i="3"/>
  <c r="X69" i="3"/>
  <c r="X60" i="3"/>
  <c r="Y56" i="3"/>
  <c r="Y120" i="3"/>
  <c r="X38" i="3"/>
  <c r="X101" i="3"/>
  <c r="X5" i="3"/>
  <c r="X13" i="3"/>
  <c r="Y139" i="3"/>
  <c r="Y94" i="3"/>
  <c r="Y17" i="3"/>
  <c r="X79" i="3"/>
  <c r="Y113" i="3"/>
  <c r="Y16" i="3"/>
  <c r="Y7" i="3"/>
  <c r="X20" i="3"/>
  <c r="Y25" i="3"/>
  <c r="Y6" i="3"/>
  <c r="X31" i="3"/>
  <c r="Y28" i="3"/>
  <c r="X108" i="3"/>
  <c r="X123" i="3"/>
  <c r="Y33" i="3"/>
  <c r="Y84" i="3"/>
  <c r="X65" i="3"/>
  <c r="X125" i="3"/>
  <c r="X93" i="3"/>
  <c r="Y21" i="3"/>
  <c r="X134" i="3"/>
  <c r="Y86" i="3"/>
  <c r="X138" i="3"/>
  <c r="Y41" i="3"/>
  <c r="X55" i="3"/>
  <c r="Y116" i="3"/>
  <c r="Y88" i="3"/>
  <c r="X62" i="3"/>
  <c r="Y61" i="3"/>
  <c r="Y143" i="3"/>
  <c r="X54" i="3"/>
  <c r="X48" i="3"/>
  <c r="Y14" i="3"/>
  <c r="Y95" i="3"/>
  <c r="Y23" i="3"/>
  <c r="X44" i="3"/>
  <c r="X89" i="3"/>
  <c r="Y102" i="3"/>
  <c r="Y104" i="3"/>
  <c r="Y76" i="3"/>
  <c r="Y114" i="3"/>
  <c r="Y4" i="3"/>
  <c r="Y22" i="3"/>
  <c r="Y127" i="3"/>
  <c r="X47" i="3"/>
  <c r="X57" i="3"/>
  <c r="X122" i="3"/>
  <c r="Y133" i="3"/>
  <c r="Y121" i="3"/>
  <c r="X24" i="3"/>
  <c r="X68" i="3"/>
  <c r="X63"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BU26" i="3" s="1"/>
  <c r="F45" i="3"/>
  <c r="BU28" i="3" s="1"/>
  <c r="E37" i="3"/>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F46" i="3"/>
  <c r="BW28" i="3"/>
  <c r="E45" i="3"/>
  <c r="BW29" i="3" s="1"/>
  <c r="F92" i="3"/>
  <c r="F95" i="3"/>
  <c r="BW53" i="3" s="1"/>
  <c r="E97" i="3"/>
  <c r="BV52" i="3" s="1"/>
  <c r="F81" i="3"/>
  <c r="E76" i="3"/>
  <c r="BW43" i="3" s="1"/>
  <c r="E78" i="3"/>
  <c r="BW44" i="3" s="1"/>
  <c r="E48" i="3"/>
  <c r="F44" i="3"/>
  <c r="F47" i="3"/>
  <c r="E38" i="3"/>
  <c r="BW24" i="3" s="1"/>
  <c r="BW22" i="3"/>
  <c r="F41" i="3"/>
  <c r="BU25" i="3" s="1"/>
  <c r="E36" i="3"/>
  <c r="BW23" i="3" s="1"/>
  <c r="E39" i="3"/>
  <c r="F37" i="3"/>
  <c r="BU24" i="3" s="1"/>
  <c r="E41" i="3"/>
  <c r="BU34" i="3"/>
  <c r="BW34" i="3"/>
  <c r="E62" i="3"/>
  <c r="E60" i="3"/>
  <c r="F65" i="3"/>
  <c r="E87" i="3"/>
  <c r="E88" i="3"/>
  <c r="BW46" i="3" s="1"/>
  <c r="F85" i="3"/>
  <c r="BU48" i="3" s="1"/>
  <c r="E14" i="3"/>
  <c r="F13" i="3"/>
  <c r="BU12" i="3" s="1"/>
  <c r="E16" i="3"/>
  <c r="F17" i="3"/>
  <c r="F15" i="3"/>
  <c r="E13" i="3"/>
  <c r="BW13" i="3" s="1"/>
  <c r="E4" i="3"/>
  <c r="E7" i="3"/>
  <c r="F8" i="3"/>
  <c r="E44" i="3"/>
  <c r="BW27" i="3" s="1"/>
  <c r="E46" i="3"/>
  <c r="BW26" i="3"/>
  <c r="F49" i="3"/>
  <c r="BU29" i="3" s="1"/>
  <c r="E73" i="3"/>
  <c r="F68" i="3"/>
  <c r="BU38" i="3" s="1"/>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W45" i="3"/>
  <c r="BU45" i="3"/>
  <c r="E81" i="3"/>
  <c r="E79" i="3"/>
  <c r="BU43" i="3" s="1"/>
  <c r="F77" i="3"/>
  <c r="BU44" i="3" s="1"/>
  <c r="F61" i="3"/>
  <c r="E65" i="3"/>
  <c r="E63" i="3"/>
  <c r="E9" i="3"/>
  <c r="F4" i="3"/>
  <c r="F6" i="3"/>
  <c r="F79" i="3"/>
  <c r="E80" i="3"/>
  <c r="F76" i="3"/>
  <c r="BW42" i="3" s="1"/>
  <c r="F80" i="3"/>
  <c r="E77" i="3"/>
  <c r="F78" i="3"/>
  <c r="BW36" i="3"/>
  <c r="E61" i="3"/>
  <c r="BW37" i="3" s="1"/>
  <c r="F62" i="3"/>
  <c r="BU36" i="3"/>
  <c r="F64" i="3"/>
  <c r="BU35" i="3" s="1"/>
  <c r="F72" i="3"/>
  <c r="BU41" i="3" s="1"/>
  <c r="E68" i="3"/>
  <c r="BW39" i="3" s="1"/>
  <c r="BW38" i="3"/>
  <c r="E70" i="3"/>
  <c r="BU42" i="3" l="1"/>
  <c r="BW40" i="3"/>
  <c r="BW35" i="3"/>
  <c r="BU37" i="3"/>
  <c r="BU27" i="3"/>
  <c r="BW25" i="3"/>
  <c r="BU21" i="3"/>
  <c r="BW10" i="3"/>
  <c r="BU11" i="3"/>
  <c r="BV50" i="3"/>
  <c r="BV51" i="3"/>
  <c r="BX51" i="3" s="1"/>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42" i="3" l="1"/>
  <c r="BX27" i="3"/>
  <c r="BX37"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1" i="3"/>
  <c r="H20" i="3"/>
  <c r="H23" i="3"/>
  <c r="H25" i="3"/>
  <c r="I23" i="3"/>
  <c r="I22"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A46" i="3" l="1"/>
  <c r="CB19" i="3"/>
  <c r="CA13" i="3"/>
  <c r="CB53" i="3"/>
  <c r="CA45" i="3"/>
  <c r="CB45" i="3"/>
  <c r="CB46" i="3"/>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6" i="3" l="1"/>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4" i="3" l="1"/>
  <c r="K93" i="3"/>
  <c r="L97" i="3"/>
  <c r="L87" i="3"/>
  <c r="K14" i="3"/>
  <c r="K2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6" i="3" l="1"/>
  <c r="CF47" i="3"/>
  <c r="CF49" i="3"/>
  <c r="CF30"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N96" i="3" l="1"/>
  <c r="O94" i="3"/>
  <c r="O97" i="3"/>
  <c r="O93" i="3"/>
  <c r="N95" i="3"/>
  <c r="O95" i="3"/>
  <c r="CI42" i="3"/>
  <c r="O64" i="3"/>
  <c r="N61" i="3"/>
  <c r="O47" i="3"/>
  <c r="O44" i="3"/>
  <c r="CI17" i="3"/>
  <c r="CI36" i="3"/>
  <c r="CI51" i="3"/>
  <c r="N29" i="3"/>
  <c r="CJ50" i="3"/>
  <c r="CI9" i="3"/>
  <c r="CI22" i="3"/>
  <c r="O55" i="3"/>
  <c r="O33" i="3"/>
  <c r="CJ19" i="3" s="1"/>
  <c r="N9" i="3"/>
  <c r="N36" i="3"/>
  <c r="O41" i="3"/>
  <c r="O4" i="3"/>
  <c r="O69" i="3"/>
  <c r="CK40" i="3" s="1"/>
  <c r="CI35" i="3"/>
  <c r="N72" i="3"/>
  <c r="CK21" i="3"/>
  <c r="O30" i="3"/>
  <c r="N32" i="3"/>
  <c r="CJ18" i="3" s="1"/>
  <c r="N7" i="3"/>
  <c r="O29" i="3"/>
  <c r="CI20" i="3" s="1"/>
  <c r="N49" i="3"/>
  <c r="CI26" i="3" s="1"/>
  <c r="N52" i="3"/>
  <c r="CK24" i="3"/>
  <c r="N54" i="3"/>
  <c r="N37" i="3"/>
  <c r="CI10" i="3"/>
  <c r="N8" i="3"/>
  <c r="CK22" i="3"/>
  <c r="CK41" i="3"/>
  <c r="O52" i="3"/>
  <c r="N97" i="3"/>
  <c r="O77" i="3"/>
  <c r="CI44" i="3" s="1"/>
  <c r="N80" i="3"/>
  <c r="N55" i="3"/>
  <c r="CI31" i="3" s="1"/>
  <c r="N81" i="3"/>
  <c r="N84" i="3"/>
  <c r="CI45" i="3"/>
  <c r="O5" i="3"/>
  <c r="N47" i="3"/>
  <c r="CI27" i="3" s="1"/>
  <c r="CK46" i="3"/>
  <c r="CI33" i="3"/>
  <c r="O53" i="3"/>
  <c r="O79" i="3"/>
  <c r="N6" i="3"/>
  <c r="N86" i="3"/>
  <c r="CK48" i="3" s="1"/>
  <c r="O32" i="3"/>
  <c r="CI12" i="3"/>
  <c r="CI43" i="3"/>
  <c r="N88" i="3"/>
  <c r="N30" i="3"/>
  <c r="CI25" i="3"/>
  <c r="CK6" i="3"/>
  <c r="CK18" i="3"/>
  <c r="CI18" i="3"/>
  <c r="CK25" i="3"/>
  <c r="N73" i="3"/>
  <c r="CI15" i="3"/>
  <c r="N15" i="3"/>
  <c r="O96" i="3"/>
  <c r="CJ53" i="3" s="1"/>
  <c r="CL53" i="3" s="1"/>
  <c r="CK34" i="3"/>
  <c r="CK8" i="3"/>
  <c r="CI39" i="3"/>
  <c r="CK30" i="3"/>
  <c r="N68" i="3"/>
  <c r="CK39" i="3" s="1"/>
  <c r="CK50" i="3"/>
  <c r="O40" i="3"/>
  <c r="O15" i="3"/>
  <c r="N65" i="3"/>
  <c r="O9" i="3"/>
  <c r="CI7" i="3" s="1"/>
  <c r="CI23" i="3"/>
  <c r="O36" i="3"/>
  <c r="CJ22" i="3" s="1"/>
  <c r="CK23" i="3"/>
  <c r="O61" i="3"/>
  <c r="CJ36" i="3" s="1"/>
  <c r="CI8" i="3"/>
  <c r="CI47" i="3"/>
  <c r="CK37" i="3"/>
  <c r="N13" i="3"/>
  <c r="O68" i="3"/>
  <c r="O57" i="3"/>
  <c r="O65" i="3"/>
  <c r="N40" i="3"/>
  <c r="O31" i="3"/>
  <c r="CJ21" i="3" s="1"/>
  <c r="N92" i="3"/>
  <c r="CK51" i="3" s="1"/>
  <c r="N77" i="3"/>
  <c r="CK45" i="3" s="1"/>
  <c r="CI19" i="3"/>
  <c r="CI50" i="3"/>
  <c r="O25" i="3"/>
  <c r="O37" i="3"/>
  <c r="N5" i="3"/>
  <c r="CJ9" i="3" s="1"/>
  <c r="O72" i="3"/>
  <c r="O84" i="3"/>
  <c r="CI46" i="3" s="1"/>
  <c r="O87" i="3"/>
  <c r="N60" i="3"/>
  <c r="CK35" i="3" s="1"/>
  <c r="O78" i="3"/>
  <c r="O23" i="3"/>
  <c r="N94" i="3"/>
  <c r="CK52" i="3" s="1"/>
  <c r="N39" i="3"/>
  <c r="CK38" i="3"/>
  <c r="CI52" i="3"/>
  <c r="N4" i="3"/>
  <c r="CK7" i="3" s="1"/>
  <c r="CK19" i="3"/>
  <c r="N87" i="3"/>
  <c r="N25" i="3"/>
  <c r="O22" i="3"/>
  <c r="N76" i="3"/>
  <c r="CJ43" i="3" s="1"/>
  <c r="O49" i="3"/>
  <c r="CI29" i="3" s="1"/>
  <c r="N46" i="3"/>
  <c r="CJ28" i="3" s="1"/>
  <c r="N53" i="3"/>
  <c r="CK28" i="3"/>
  <c r="N85" i="3"/>
  <c r="N44" i="3"/>
  <c r="CK27" i="3" s="1"/>
  <c r="N12" i="3"/>
  <c r="CI11" i="3" s="1"/>
  <c r="O54" i="3"/>
  <c r="CI30" i="3" s="1"/>
  <c r="O89" i="3"/>
  <c r="O56" i="3"/>
  <c r="N24" i="3"/>
  <c r="O46" i="3"/>
  <c r="CI28" i="3"/>
  <c r="O21" i="3"/>
  <c r="CI16" i="3" s="1"/>
  <c r="N45" i="3"/>
  <c r="CK29" i="3" s="1"/>
  <c r="CK32" i="3"/>
  <c r="N16" i="3"/>
  <c r="CK10" i="3" s="1"/>
  <c r="CI48" i="3"/>
  <c r="CK26" i="3"/>
  <c r="CJ48" i="3"/>
  <c r="O20" i="3"/>
  <c r="CI14" i="3" s="1"/>
  <c r="N33" i="3"/>
  <c r="N69" i="3"/>
  <c r="O73" i="3"/>
  <c r="O60" i="3"/>
  <c r="CI34" i="3" s="1"/>
  <c r="O63" i="3"/>
  <c r="CI37" i="3" s="1"/>
  <c r="CI40" i="3"/>
  <c r="CK11" i="3"/>
  <c r="O70" i="3"/>
  <c r="CK17" i="3"/>
  <c r="N22" i="3"/>
  <c r="CK42" i="3"/>
  <c r="N78" i="3"/>
  <c r="CK44" i="3" s="1"/>
  <c r="O81" i="3"/>
  <c r="CI13" i="3"/>
  <c r="N14" i="3"/>
  <c r="CK13" i="3"/>
  <c r="N23" i="3"/>
  <c r="N20" i="3"/>
  <c r="CK15" i="3" s="1"/>
  <c r="O24" i="3"/>
  <c r="N17" i="3"/>
  <c r="CK12" i="3" s="1"/>
  <c r="O14" i="3"/>
  <c r="CK33" i="3"/>
  <c r="CK53" i="3"/>
  <c r="CK14" i="3"/>
  <c r="CK49" i="3"/>
  <c r="CK31" i="3"/>
  <c r="CI49" i="3" l="1"/>
  <c r="CK47" i="3"/>
  <c r="CK43" i="3"/>
  <c r="CI38" i="3"/>
  <c r="CI41" i="3"/>
  <c r="CK36" i="3"/>
  <c r="CI24" i="3"/>
  <c r="CI21" i="3"/>
  <c r="CK20" i="3"/>
  <c r="CK16" i="3"/>
  <c r="CL36" i="3"/>
  <c r="CI6"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49" i="3" l="1"/>
  <c r="CM46" i="3" s="1"/>
  <c r="CM45" i="3"/>
  <c r="CM50" i="3"/>
  <c r="CM53" i="3"/>
  <c r="CM48" i="3"/>
  <c r="CM16" i="3"/>
  <c r="CM40" i="3"/>
  <c r="CM30" i="3"/>
  <c r="CM17" i="3"/>
  <c r="CM15" i="3"/>
  <c r="CM34" i="3"/>
  <c r="CM31" i="3"/>
  <c r="CM33" i="3"/>
  <c r="CM47" i="3"/>
  <c r="CM22" i="3"/>
  <c r="CM43" i="3"/>
  <c r="CM21" i="3"/>
  <c r="CM35" i="3"/>
  <c r="CM18"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49" i="3" l="1"/>
  <c r="CN32" i="3" s="1"/>
  <c r="Q53" i="3" s="1"/>
  <c r="CN53" i="3" l="1"/>
  <c r="Q95" i="3" s="1"/>
  <c r="CN34" i="3"/>
  <c r="R65" i="3" s="1"/>
  <c r="CN36" i="3"/>
  <c r="R64" i="3" s="1"/>
  <c r="CN9" i="3"/>
  <c r="Q6" i="3" s="1"/>
  <c r="CN10" i="3"/>
  <c r="Q15" i="3" s="1"/>
  <c r="CN8" i="3"/>
  <c r="Q5" i="3" s="1"/>
  <c r="CN52" i="3"/>
  <c r="R97" i="3" s="1"/>
  <c r="CN18" i="3"/>
  <c r="Q28" i="3" s="1"/>
  <c r="CN19" i="3"/>
  <c r="Q33" i="3" s="1"/>
  <c r="CN50" i="3"/>
  <c r="Q94" i="3" s="1"/>
  <c r="CN6" i="3"/>
  <c r="Q7" i="3" s="1"/>
  <c r="CN37" i="3"/>
  <c r="R61" i="3" s="1"/>
  <c r="CN20" i="3"/>
  <c r="R33" i="3" s="1"/>
  <c r="CN33" i="3"/>
  <c r="Q57" i="3" s="1"/>
  <c r="CN40" i="3"/>
  <c r="R73" i="3" s="1"/>
  <c r="CN48" i="3"/>
  <c r="Q85" i="3" s="1"/>
  <c r="CN12" i="3"/>
  <c r="R15" i="3" s="1"/>
  <c r="CN13" i="3"/>
  <c r="R13" i="3" s="1"/>
  <c r="CN15" i="3"/>
  <c r="Q25" i="3" s="1"/>
  <c r="CN42" i="3"/>
  <c r="Q76" i="3" s="1"/>
  <c r="CN14" i="3"/>
  <c r="Q20" i="3" s="1"/>
  <c r="CN27" i="3"/>
  <c r="R47" i="3" s="1"/>
  <c r="CN24" i="3"/>
  <c r="Q37" i="3" s="1"/>
  <c r="CN26" i="3"/>
  <c r="Q44" i="3" s="1"/>
  <c r="CN35" i="3"/>
  <c r="R63" i="3" s="1"/>
  <c r="CN17" i="3"/>
  <c r="Q24" i="3" s="1"/>
  <c r="CN7" i="3"/>
  <c r="R4" i="3" s="1"/>
  <c r="CN31" i="3"/>
  <c r="R52" i="3" s="1"/>
  <c r="CN46" i="3"/>
  <c r="Q84" i="3" s="1"/>
  <c r="CN51" i="3"/>
  <c r="R92" i="3" s="1"/>
  <c r="CN30" i="3"/>
  <c r="R57" i="3" s="1"/>
  <c r="CN28" i="3"/>
  <c r="R46" i="3" s="1"/>
  <c r="CN21" i="3"/>
  <c r="Q32" i="3" s="1"/>
  <c r="CN25" i="3"/>
  <c r="Q39" i="3" s="1"/>
  <c r="CN11" i="3"/>
  <c r="Q17" i="3" s="1"/>
  <c r="CO12" i="3" s="1"/>
  <c r="CN38" i="3"/>
  <c r="Q70" i="3" s="1"/>
  <c r="CN29" i="3"/>
  <c r="Q47" i="3" s="1"/>
  <c r="CN22" i="3"/>
  <c r="Q36" i="3" s="1"/>
  <c r="CN44" i="3"/>
  <c r="Q77" i="3" s="1"/>
  <c r="CN47" i="3"/>
  <c r="Q89" i="3" s="1"/>
  <c r="CN39" i="3"/>
  <c r="R71" i="3" s="1"/>
  <c r="CN16" i="3"/>
  <c r="R25" i="3" s="1"/>
  <c r="CN23" i="3"/>
  <c r="R36" i="3" s="1"/>
  <c r="CN43" i="3"/>
  <c r="R76" i="3" s="1"/>
  <c r="CN45" i="3"/>
  <c r="Q79" i="3" s="1"/>
  <c r="CN41" i="3"/>
  <c r="Q71" i="3" s="1"/>
  <c r="CN49" i="3"/>
  <c r="Q87" i="3" s="1"/>
  <c r="R89" i="3"/>
  <c r="R56" i="3"/>
  <c r="Q61" i="3"/>
  <c r="R54" i="3"/>
  <c r="Q96" i="3"/>
  <c r="R16" i="3"/>
  <c r="R93" i="3"/>
  <c r="Q8" i="3"/>
  <c r="Q86" i="3" l="1"/>
  <c r="R32" i="3"/>
  <c r="Q93" i="3"/>
  <c r="Q78" i="3"/>
  <c r="R9" i="3"/>
  <c r="Q13" i="3"/>
  <c r="R5" i="3"/>
  <c r="CO8" i="3" s="1"/>
  <c r="Q60" i="3"/>
  <c r="CP12" i="3"/>
  <c r="CQ12" i="3" s="1"/>
  <c r="Q45" i="3"/>
  <c r="R88" i="3"/>
  <c r="R20" i="3"/>
  <c r="R7" i="3"/>
  <c r="CO30" i="3"/>
  <c r="R8" i="3"/>
  <c r="CO9" i="3" s="1"/>
  <c r="R81" i="3"/>
  <c r="R95" i="3"/>
  <c r="CO53" i="3" s="1"/>
  <c r="Q30" i="3"/>
  <c r="Q54" i="3"/>
  <c r="Q52" i="3"/>
  <c r="R94" i="3"/>
  <c r="R23" i="3"/>
  <c r="R86" i="3"/>
  <c r="Q14" i="3"/>
  <c r="R62" i="3"/>
  <c r="Q62" i="3"/>
  <c r="R12" i="3"/>
  <c r="Q41" i="3"/>
  <c r="R44" i="3"/>
  <c r="R48" i="3"/>
  <c r="CO27" i="3" s="1"/>
  <c r="Q63" i="3"/>
  <c r="Q12" i="3"/>
  <c r="CP20" i="3"/>
  <c r="Q31" i="3"/>
  <c r="CO19" i="3" s="1"/>
  <c r="R31" i="3"/>
  <c r="Q29" i="3"/>
  <c r="R53" i="3"/>
  <c r="CP37" i="3"/>
  <c r="Q65" i="3"/>
  <c r="Q64" i="3"/>
  <c r="CP36" i="3" s="1"/>
  <c r="R24" i="3"/>
  <c r="R72" i="3"/>
  <c r="R49" i="3"/>
  <c r="R29" i="3"/>
  <c r="Q40" i="3"/>
  <c r="R96" i="3"/>
  <c r="R30" i="3"/>
  <c r="CO18" i="3" s="1"/>
  <c r="Q21" i="3"/>
  <c r="R38" i="3"/>
  <c r="CP22" i="3" s="1"/>
  <c r="R17" i="3"/>
  <c r="CO35" i="3"/>
  <c r="R70" i="3"/>
  <c r="Q55" i="3"/>
  <c r="CP50" i="3"/>
  <c r="Q69" i="3"/>
  <c r="R40" i="3"/>
  <c r="Q4" i="3"/>
  <c r="Q92" i="3"/>
  <c r="CP51" i="3" s="1"/>
  <c r="R60" i="3"/>
  <c r="Q68" i="3"/>
  <c r="CP39" i="3" s="1"/>
  <c r="Q23" i="3"/>
  <c r="R28" i="3"/>
  <c r="R14" i="3"/>
  <c r="CO22" i="3"/>
  <c r="CP30" i="3"/>
  <c r="R22" i="3"/>
  <c r="R37" i="3"/>
  <c r="Q97" i="3"/>
  <c r="Q16" i="3"/>
  <c r="R55" i="3"/>
  <c r="CP33" i="3" s="1"/>
  <c r="R6" i="3"/>
  <c r="R41" i="3"/>
  <c r="R80" i="3"/>
  <c r="CO43" i="3" s="1"/>
  <c r="Q9" i="3"/>
  <c r="Q48" i="3"/>
  <c r="R78" i="3"/>
  <c r="R21" i="3"/>
  <c r="Q49" i="3"/>
  <c r="CP26" i="3" s="1"/>
  <c r="Q56" i="3"/>
  <c r="R45" i="3"/>
  <c r="Q22" i="3"/>
  <c r="CO15" i="3" s="1"/>
  <c r="Q38" i="3"/>
  <c r="Q46" i="3"/>
  <c r="R79" i="3"/>
  <c r="Q73" i="3"/>
  <c r="R68" i="3"/>
  <c r="R39" i="3"/>
  <c r="R84" i="3"/>
  <c r="R69" i="3"/>
  <c r="R85" i="3"/>
  <c r="CP48" i="3" s="1"/>
  <c r="CO45" i="3"/>
  <c r="CP23" i="3"/>
  <c r="CO23" i="3"/>
  <c r="Q81" i="3"/>
  <c r="CP42" i="3" s="1"/>
  <c r="Q72" i="3"/>
  <c r="R77" i="3"/>
  <c r="Q88" i="3"/>
  <c r="Q80" i="3"/>
  <c r="CP47" i="3"/>
  <c r="R87" i="3"/>
  <c r="CO47" i="3"/>
  <c r="CP53" i="3"/>
  <c r="CP45" i="3"/>
  <c r="CP35" i="3"/>
  <c r="CQ35" i="3" s="1"/>
  <c r="CP34" i="3"/>
  <c r="CO24" i="3"/>
  <c r="CO37" i="3"/>
  <c r="CQ37" i="3" s="1"/>
  <c r="CP38" i="3"/>
  <c r="CP14" i="3"/>
  <c r="CO34" i="3"/>
  <c r="CO50" i="3"/>
  <c r="CQ50" i="3" s="1"/>
  <c r="CQ22" i="3"/>
  <c r="CP40" i="3"/>
  <c r="CP24" i="3"/>
  <c r="CO21" i="3"/>
  <c r="CO40" i="3"/>
  <c r="CO11" i="3"/>
  <c r="CO38" i="3"/>
  <c r="CP31" i="3"/>
  <c r="CP32" i="3"/>
  <c r="CP16" i="3"/>
  <c r="CO42" i="3"/>
  <c r="CQ42" i="3" s="1"/>
  <c r="CO31" i="3"/>
  <c r="CQ30" i="3"/>
  <c r="CO32" i="3"/>
  <c r="CP17" i="3"/>
  <c r="CP9" i="3"/>
  <c r="CQ9" i="3" s="1"/>
  <c r="CP15" i="3"/>
  <c r="CQ15" i="3" s="1"/>
  <c r="CP13" i="3"/>
  <c r="CO17" i="3"/>
  <c r="CP21" i="3"/>
  <c r="CP18" i="3"/>
  <c r="CQ18" i="3" s="1"/>
  <c r="CO16" i="3"/>
  <c r="CO20" i="3"/>
  <c r="CQ20" i="3" s="1"/>
  <c r="CP19" i="3"/>
  <c r="CQ19" i="3" s="1"/>
  <c r="CO14" i="3"/>
  <c r="CP11" i="3"/>
  <c r="CO13" i="3"/>
  <c r="CO7" i="3"/>
  <c r="CO6" i="3"/>
  <c r="CP6" i="3"/>
  <c r="CP8" i="3"/>
  <c r="CQ8" i="3" s="1"/>
  <c r="CP7" i="3"/>
  <c r="CP52" i="3"/>
  <c r="CO52" i="3"/>
  <c r="CO41" i="3"/>
  <c r="CO29" i="3"/>
  <c r="CQ23" i="3"/>
  <c r="CP29" i="3"/>
  <c r="CO51" i="3"/>
  <c r="CQ51" i="3" s="1"/>
  <c r="CO33" i="3"/>
  <c r="CQ33" i="3" s="1"/>
  <c r="CO39" i="3"/>
  <c r="CQ39" i="3" s="1"/>
  <c r="CO25" i="3"/>
  <c r="CP25" i="3"/>
  <c r="CP41" i="3"/>
  <c r="CO36" i="3"/>
  <c r="CQ36" i="3" s="1"/>
  <c r="CQ45" i="3"/>
  <c r="CQ53" i="3"/>
  <c r="CP49" i="3" l="1"/>
  <c r="CO10" i="3"/>
  <c r="CO26" i="3"/>
  <c r="CQ26" i="3" s="1"/>
  <c r="CO28" i="3"/>
  <c r="CP27" i="3"/>
  <c r="CQ27" i="3" s="1"/>
  <c r="CO46" i="3"/>
  <c r="CP10" i="3"/>
  <c r="CP44" i="3"/>
  <c r="CP46" i="3"/>
  <c r="CP28" i="3"/>
  <c r="CQ28" i="3" s="1"/>
  <c r="CO44" i="3"/>
  <c r="CO49" i="3"/>
  <c r="CP43" i="3"/>
  <c r="CQ43" i="3" s="1"/>
  <c r="CQ47" i="3"/>
  <c r="CO48" i="3"/>
  <c r="CQ48" i="3" s="1"/>
  <c r="CQ24" i="3"/>
  <c r="CQ34" i="3"/>
  <c r="CQ14" i="3"/>
  <c r="CQ21" i="3"/>
  <c r="CQ16" i="3"/>
  <c r="CQ40" i="3"/>
  <c r="CQ38" i="3"/>
  <c r="CQ11" i="3"/>
  <c r="CQ31" i="3"/>
  <c r="CQ32" i="3"/>
  <c r="CQ13" i="3"/>
  <c r="CQ17" i="3"/>
  <c r="CQ7" i="3"/>
  <c r="CQ6" i="3"/>
  <c r="CQ41" i="3"/>
  <c r="CQ52" i="3"/>
  <c r="CQ29" i="3"/>
  <c r="CQ25" i="3"/>
  <c r="CQ49" i="3" l="1"/>
  <c r="CQ10" i="3"/>
  <c r="CQ44" i="3"/>
  <c r="CQ46" i="3"/>
  <c r="CR46" i="3" s="1"/>
  <c r="CR50" i="3"/>
  <c r="CR53" i="3"/>
  <c r="CR47" i="3"/>
  <c r="CR48" i="3"/>
  <c r="CR21" i="3"/>
  <c r="CR31" i="3"/>
  <c r="CR26" i="3"/>
  <c r="CR41" i="3"/>
  <c r="CR45" i="3"/>
  <c r="CR44" i="3"/>
  <c r="CR43" i="3"/>
  <c r="CR30" i="3"/>
  <c r="CR42" i="3"/>
  <c r="CR38" i="3"/>
  <c r="CR33" i="3"/>
  <c r="CR40" i="3"/>
  <c r="CR39" i="3"/>
  <c r="CR19" i="3"/>
  <c r="CR35" i="3"/>
  <c r="CR34" i="3"/>
  <c r="CR24" i="3"/>
  <c r="CR36" i="3"/>
  <c r="CR22" i="3"/>
  <c r="CR28" i="3"/>
  <c r="CR17" i="3"/>
  <c r="CR14" i="3"/>
  <c r="CR20" i="3"/>
  <c r="CR15" i="3"/>
  <c r="CR16" i="3"/>
  <c r="CR18" i="3"/>
  <c r="CR10" i="3"/>
  <c r="CR7" i="3"/>
  <c r="CR11" i="3"/>
  <c r="CR32" i="3"/>
  <c r="CR9" i="3"/>
  <c r="CR6" i="3"/>
  <c r="CR8" i="3"/>
  <c r="CR27" i="3"/>
  <c r="CR13" i="3"/>
  <c r="CR12" i="3"/>
  <c r="CR29" i="3"/>
  <c r="CR37" i="3"/>
  <c r="CR23" i="3"/>
  <c r="CR25" i="3"/>
  <c r="CR51" i="3"/>
  <c r="CR52" i="3"/>
  <c r="CR49" i="3" l="1"/>
  <c r="CS24" i="3"/>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l="1"/>
  <c r="U57" i="3"/>
  <c r="T54" i="3"/>
  <c r="T41" i="3"/>
  <c r="U37" i="3"/>
  <c r="CT24" i="3" s="1"/>
  <c r="U33" i="3"/>
  <c r="U25" i="3"/>
  <c r="T21" i="3"/>
  <c r="U32" i="3"/>
  <c r="T84" i="3"/>
  <c r="T86" i="3"/>
  <c r="T29" i="3"/>
  <c r="T12" i="3"/>
  <c r="T61" i="3"/>
  <c r="CT37" i="3" s="1"/>
  <c r="T6" i="3"/>
  <c r="U64" i="3"/>
  <c r="U68" i="3"/>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T88" i="3"/>
  <c r="T56" i="3"/>
  <c r="CT32" i="3" s="1"/>
  <c r="T53" i="3"/>
  <c r="CT33" i="3" s="1"/>
  <c r="U13" i="3"/>
  <c r="CT12" i="3" s="1"/>
  <c r="U49" i="3"/>
  <c r="T16" i="3"/>
  <c r="U52" i="3"/>
  <c r="T64" i="3"/>
  <c r="U14" i="3"/>
  <c r="U60" i="3"/>
  <c r="U54" i="3"/>
  <c r="T76" i="3"/>
  <c r="U12" i="3"/>
  <c r="T94" i="3"/>
  <c r="U28" i="3"/>
  <c r="T68" i="3"/>
  <c r="U21" i="3"/>
  <c r="CT38" i="3"/>
  <c r="U93" i="3"/>
  <c r="T33" i="3"/>
  <c r="U29" i="3"/>
  <c r="T20" i="3"/>
  <c r="CT15" i="3" s="1"/>
  <c r="T96" i="3"/>
  <c r="U72" i="3"/>
  <c r="U96" i="3"/>
  <c r="CT53" i="3" s="1"/>
  <c r="T44" i="3"/>
  <c r="T5" i="3"/>
  <c r="U39" i="3"/>
  <c r="T72" i="3"/>
  <c r="T57" i="3"/>
  <c r="U94" i="3"/>
  <c r="CT50" i="3" s="1"/>
  <c r="U36" i="3"/>
  <c r="CT22" i="3" s="1"/>
  <c r="T65" i="3"/>
  <c r="U61" i="3"/>
  <c r="U17" i="3"/>
  <c r="CT11" i="3" s="1"/>
  <c r="T23" i="3"/>
  <c r="U69" i="3"/>
  <c r="CT40" i="3" s="1"/>
  <c r="T55" i="3"/>
  <c r="U97" i="3"/>
  <c r="CT51" i="3" s="1"/>
  <c r="U6" i="3"/>
  <c r="T25" i="3"/>
  <c r="CT34" i="3"/>
  <c r="U79" i="3"/>
  <c r="T60" i="3"/>
  <c r="CT35" i="3" s="1"/>
  <c r="T4" i="3"/>
  <c r="CT7" i="3" s="1"/>
  <c r="T62" i="3"/>
  <c r="T7" i="3"/>
  <c r="U20" i="3"/>
  <c r="T48" i="3"/>
  <c r="CT28" i="3" s="1"/>
  <c r="U44" i="3"/>
  <c r="U76" i="3"/>
  <c r="CT43" i="3"/>
  <c r="U46" i="3"/>
  <c r="T45" i="3"/>
  <c r="T47" i="3"/>
  <c r="T9" i="3"/>
  <c r="T49" i="3"/>
  <c r="CT31" i="3"/>
  <c r="CT49" i="3" l="1"/>
  <c r="CT47" i="3"/>
  <c r="CT25"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M33" i="3"/>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N122" i="3" s="1"/>
  <c r="AF122" i="3" s="1"/>
  <c r="BF65" i="3"/>
  <c r="BJ65" i="3" s="1"/>
  <c r="BF59" i="3"/>
  <c r="BJ59" i="3" s="1"/>
  <c r="BF63" i="3"/>
  <c r="BJ63"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2" i="3" l="1"/>
  <c r="AG122" i="3" s="1"/>
  <c r="D127" i="3"/>
  <c r="AG127" i="3" s="1"/>
  <c r="D124" i="3"/>
  <c r="AG124" i="3" s="1"/>
  <c r="AG105" i="3"/>
  <c r="D121" i="3"/>
  <c r="AG12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M133" i="3" l="1"/>
  <c r="AA133" i="3" s="1"/>
  <c r="N134" i="3"/>
  <c r="AF134" i="3" s="1"/>
  <c r="D134" i="3" s="1"/>
  <c r="M132" i="3"/>
  <c r="AA132" i="3" s="1"/>
  <c r="D132" i="3" s="1"/>
  <c r="N138" i="3" s="1"/>
  <c r="AF138" i="3" s="1"/>
  <c r="M131" i="3"/>
  <c r="AA131" i="3" s="1"/>
  <c r="D131" i="3" s="1"/>
  <c r="AG131" i="3" s="1"/>
  <c r="D120" i="3"/>
  <c r="BS63" i="3"/>
  <c r="BS68" i="3"/>
  <c r="BS66" i="3"/>
  <c r="BS65" i="3"/>
  <c r="BS58" i="3"/>
  <c r="BS69" i="3"/>
  <c r="BS60" i="3"/>
  <c r="BS64" i="3"/>
  <c r="BS67" i="3"/>
  <c r="BS62" i="3"/>
  <c r="BS61" i="3"/>
  <c r="BS59" i="3"/>
  <c r="C190" i="31"/>
  <c r="AE11" i="45"/>
  <c r="B200" i="31"/>
  <c r="AG126" i="3"/>
  <c r="C212" i="31"/>
  <c r="AI31" i="45"/>
  <c r="AI43" i="45"/>
  <c r="C213" i="31"/>
  <c r="C223" i="31" l="1"/>
  <c r="B223" i="31"/>
  <c r="AG132" i="3"/>
  <c r="AG134" i="3"/>
  <c r="N139" i="3"/>
  <c r="AF139" i="3" s="1"/>
  <c r="AM38" i="45" s="1" a="1"/>
  <c r="AM38" i="45" s="1"/>
  <c r="C217" i="31"/>
  <c r="AI44" i="45"/>
  <c r="AI19" i="45"/>
  <c r="C211" i="31"/>
  <c r="M138" i="3"/>
  <c r="AA138" i="3" s="1"/>
  <c r="AM13" i="45" s="1"/>
  <c r="AI7" i="45"/>
  <c r="C210"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D138" i="3"/>
  <c r="AA147" i="3"/>
  <c r="C228" i="31"/>
  <c r="AM14" i="45"/>
  <c r="C232" i="31" l="1"/>
  <c r="D139" i="3"/>
  <c r="AF147" i="3"/>
  <c r="B247" i="31" s="1"/>
  <c r="H138" i="3"/>
  <c r="AA143" i="3"/>
  <c r="AA152" i="3" s="1"/>
  <c r="C229" i="31"/>
  <c r="B232" i="31"/>
  <c r="C226" i="31"/>
  <c r="C220" i="31"/>
  <c r="C214" i="31"/>
  <c r="AI8" i="45"/>
  <c r="B220" i="31"/>
  <c r="BV61" i="3"/>
  <c r="BV60" i="3"/>
  <c r="BV66" i="3"/>
  <c r="BV69" i="3"/>
  <c r="BV65" i="3"/>
  <c r="BV68" i="3"/>
  <c r="BV62" i="3"/>
  <c r="BV59" i="3"/>
  <c r="BV64" i="3"/>
  <c r="BV58" i="3"/>
  <c r="BV67" i="3"/>
  <c r="BV63" i="3"/>
  <c r="H147" i="3"/>
  <c r="AA151" i="3"/>
  <c r="AG139" i="3"/>
  <c r="N143" i="3"/>
  <c r="N147" i="3"/>
  <c r="AU26" i="45"/>
  <c r="C241" i="31"/>
  <c r="C240" i="31"/>
  <c r="C247" i="31"/>
  <c r="AU25" i="45"/>
  <c r="AG138" i="3"/>
  <c r="M147" i="3"/>
  <c r="M143" i="3"/>
  <c r="D143" i="3" l="1"/>
  <c r="AG143" i="3" s="1"/>
  <c r="AQ31" i="45"/>
  <c r="C236" i="31"/>
  <c r="AA150" i="3"/>
  <c r="D147" i="3"/>
  <c r="AG147" i="3" s="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M139" i="3" l="1"/>
  <c r="AA139" i="3" s="1"/>
  <c r="AG133" i="3"/>
  <c r="AJ155" i="3" s="1"/>
  <c r="C221" i="31"/>
  <c r="C215" i="31"/>
  <c r="B221" i="31"/>
  <c r="AI20" i="45"/>
  <c r="B222" i="31"/>
  <c r="C222" i="31"/>
  <c r="AI32" i="45"/>
  <c r="C216" i="31"/>
  <c r="AJ151" i="3" l="1"/>
  <c r="AF143" i="3"/>
  <c r="H139" i="3"/>
  <c r="C227" i="31"/>
  <c r="AM37" i="45"/>
  <c r="C233" i="31"/>
  <c r="B233" i="31"/>
  <c r="C244" i="31" l="1"/>
  <c r="C237" i="31"/>
  <c r="AQ32" i="45"/>
  <c r="B244" i="31"/>
  <c r="BL33" i="45"/>
  <c r="BK33" i="45" s="1"/>
  <c r="BJ33" i="45" s="1"/>
  <c r="BI33" i="45" s="1"/>
  <c r="BH33" i="45" s="1"/>
  <c r="BL21" i="45"/>
  <c r="BK21" i="45" s="1"/>
  <c r="BJ21" i="45" s="1"/>
  <c r="BI21" i="45" s="1"/>
  <c r="BH21" i="45" s="1"/>
  <c r="BL15" i="45"/>
  <c r="BK15" i="45" s="1"/>
  <c r="BJ15" i="45" s="1"/>
  <c r="BI15" i="45" s="1"/>
  <c r="BH15" i="45" s="1"/>
  <c r="BL5" i="45"/>
  <c r="BK5" i="45" s="1"/>
  <c r="BJ5" i="45" s="1"/>
  <c r="BI5" i="45" s="1"/>
  <c r="BH5" i="45" s="1"/>
  <c r="BL7" i="45"/>
  <c r="BK7" i="45" s="1"/>
  <c r="BJ7" i="45" s="1"/>
  <c r="BI7" i="45" s="1"/>
  <c r="BH7" i="45" s="1"/>
  <c r="BL51" i="45"/>
  <c r="BK51" i="45" s="1"/>
  <c r="BJ51" i="45" s="1"/>
  <c r="BI51" i="45" s="1"/>
  <c r="BH51" i="45" s="1"/>
  <c r="BL14" i="45"/>
  <c r="BK14" i="45" s="1"/>
  <c r="BJ14" i="45" s="1"/>
  <c r="BI14" i="45" s="1"/>
  <c r="BH14" i="45" s="1"/>
  <c r="BL24" i="45"/>
  <c r="BK24" i="45" s="1"/>
  <c r="BJ24" i="45" s="1"/>
  <c r="BI24" i="45" s="1"/>
  <c r="BH24" i="45" s="1"/>
  <c r="BL29" i="45"/>
  <c r="BK29" i="45" s="1"/>
  <c r="BJ29" i="45" s="1"/>
  <c r="BI29" i="45" s="1"/>
  <c r="BH29" i="45" s="1"/>
  <c r="BL25" i="45"/>
  <c r="BK25" i="45" s="1"/>
  <c r="BJ25" i="45" s="1"/>
  <c r="BI25" i="45" s="1"/>
  <c r="BH25" i="45" s="1"/>
  <c r="BL36" i="45"/>
  <c r="BK36" i="45" s="1"/>
  <c r="BJ36" i="45" s="1"/>
  <c r="BI36" i="45" s="1"/>
  <c r="BH36" i="45" s="1"/>
  <c r="BL37" i="45"/>
  <c r="BK37" i="45" s="1"/>
  <c r="BJ37" i="45" s="1"/>
  <c r="BI37" i="45" s="1"/>
  <c r="BH37" i="45" s="1"/>
  <c r="BL39" i="45"/>
  <c r="BK39" i="45" s="1"/>
  <c r="BJ39" i="45" s="1"/>
  <c r="BI39" i="45" s="1"/>
  <c r="BH39" i="45" s="1"/>
  <c r="BL18" i="45"/>
  <c r="BK18" i="45" s="1"/>
  <c r="BJ18" i="45" s="1"/>
  <c r="BI18" i="45" s="1"/>
  <c r="BH18" i="45" s="1"/>
  <c r="BL28" i="45"/>
  <c r="BK28" i="45" s="1"/>
  <c r="BJ28" i="45" s="1"/>
  <c r="BI28" i="45" s="1"/>
  <c r="BH28" i="45" s="1"/>
  <c r="BL23" i="45"/>
  <c r="BK23" i="45" s="1"/>
  <c r="BJ23" i="45" s="1"/>
  <c r="BI23" i="45" s="1"/>
  <c r="BH23" i="45" s="1"/>
  <c r="BL49" i="45"/>
  <c r="BK49" i="45" s="1"/>
  <c r="BJ49" i="45" s="1"/>
  <c r="BI49" i="45" s="1"/>
  <c r="BH49" i="45" s="1"/>
  <c r="BL44" i="45"/>
  <c r="BK44" i="45" s="1"/>
  <c r="BJ44" i="45" s="1"/>
  <c r="BI44" i="45" s="1"/>
  <c r="BH44" i="45" s="1"/>
  <c r="BL6" i="45"/>
  <c r="BK6" i="45" s="1"/>
  <c r="BJ6" i="45" s="1"/>
  <c r="BI6" i="45" s="1"/>
  <c r="BH6" i="45" s="1"/>
  <c r="BL48" i="45"/>
  <c r="BK48" i="45" s="1"/>
  <c r="BJ48" i="45" s="1"/>
  <c r="BI48" i="45" s="1"/>
  <c r="BH48" i="45" s="1"/>
  <c r="BL11" i="45"/>
  <c r="BK11" i="45" s="1"/>
  <c r="BJ11" i="45" s="1"/>
  <c r="BI11" i="45" s="1"/>
  <c r="BH11" i="45" s="1"/>
  <c r="BL45" i="45"/>
  <c r="BK45" i="45" s="1"/>
  <c r="BJ45" i="45" s="1"/>
  <c r="BI45" i="45" s="1"/>
  <c r="BH45" i="45" s="1"/>
  <c r="BL13" i="45"/>
  <c r="BK13" i="45" s="1"/>
  <c r="BJ13" i="45" s="1"/>
  <c r="BI13" i="45" s="1"/>
  <c r="BH13" i="45" s="1"/>
  <c r="BL20" i="45"/>
  <c r="BK20" i="45" s="1"/>
  <c r="BJ20" i="45" s="1"/>
  <c r="BI20" i="45" s="1"/>
  <c r="BH20" i="45" s="1"/>
  <c r="BL47" i="45"/>
  <c r="BK47" i="45" s="1"/>
  <c r="BJ47" i="45" s="1"/>
  <c r="BI47" i="45" s="1"/>
  <c r="BH47" i="45" s="1"/>
  <c r="BL38" i="45"/>
  <c r="BK38" i="45" s="1"/>
  <c r="BJ38" i="45" s="1"/>
  <c r="BI38" i="45" s="1"/>
  <c r="BH38" i="45" s="1"/>
  <c r="BL10" i="45"/>
  <c r="BK10" i="45" s="1"/>
  <c r="BJ10" i="45" s="1"/>
  <c r="BI10" i="45" s="1"/>
  <c r="BH10" i="45" s="1"/>
  <c r="BL17" i="45"/>
  <c r="BK17" i="45" s="1"/>
  <c r="BJ17" i="45" s="1"/>
  <c r="BI17" i="45" s="1"/>
  <c r="BH17" i="45" s="1"/>
  <c r="BL8" i="45"/>
  <c r="BK8" i="45" s="1"/>
  <c r="BJ8" i="45" s="1"/>
  <c r="BI8" i="45" s="1"/>
  <c r="BH8" i="45" s="1"/>
  <c r="BL27" i="45"/>
  <c r="BK27" i="45" s="1"/>
  <c r="BJ27" i="45" s="1"/>
  <c r="BI27" i="45" s="1"/>
  <c r="BH27" i="45" s="1"/>
  <c r="BL12" i="45"/>
  <c r="BK12" i="45" s="1"/>
  <c r="BJ12" i="45" s="1"/>
  <c r="BI12" i="45" s="1"/>
  <c r="BH12" i="45" s="1"/>
  <c r="BL50" i="45"/>
  <c r="BK50" i="45" s="1"/>
  <c r="BJ50" i="45" s="1"/>
  <c r="BI50" i="45" s="1"/>
  <c r="BH50" i="45" s="1"/>
  <c r="BL40" i="45"/>
  <c r="BK40" i="45" s="1"/>
  <c r="BJ40" i="45" s="1"/>
  <c r="BI40" i="45" s="1"/>
  <c r="BH40" i="45" s="1"/>
  <c r="BL34" i="45"/>
  <c r="BK34" i="45" s="1"/>
  <c r="BJ34" i="45" s="1"/>
  <c r="BI34" i="45" s="1"/>
  <c r="BH34" i="45" s="1"/>
  <c r="BL32" i="45"/>
  <c r="BK32" i="45" s="1"/>
  <c r="BJ32" i="45" s="1"/>
  <c r="BI32" i="45" s="1"/>
  <c r="BH32" i="45" s="1"/>
  <c r="BL30" i="45"/>
  <c r="BK30" i="45" s="1"/>
  <c r="BJ30" i="45" s="1"/>
  <c r="BI30" i="45" s="1"/>
  <c r="BH30" i="45" s="1"/>
  <c r="BL9" i="45"/>
  <c r="BK9" i="45" s="1"/>
  <c r="BJ9" i="45" s="1"/>
  <c r="BI9" i="45" s="1"/>
  <c r="BH9" i="45" s="1"/>
  <c r="BL16" i="45"/>
  <c r="BK16" i="45" s="1"/>
  <c r="BJ16" i="45" s="1"/>
  <c r="BI16" i="45" s="1"/>
  <c r="BH16" i="45" s="1"/>
  <c r="BL46" i="45"/>
  <c r="BK46" i="45" s="1"/>
  <c r="BJ46" i="45" s="1"/>
  <c r="BI46" i="45" s="1"/>
  <c r="BH46" i="45" s="1"/>
  <c r="BL41" i="45"/>
  <c r="BK41" i="45" s="1"/>
  <c r="BJ41" i="45" s="1"/>
  <c r="BI41" i="45" s="1"/>
  <c r="BH41" i="45" s="1"/>
  <c r="BL22" i="45"/>
  <c r="BK22" i="45" s="1"/>
  <c r="BJ22" i="45" s="1"/>
  <c r="BI22" i="45" s="1"/>
  <c r="BH22" i="45" s="1"/>
  <c r="BL26" i="45"/>
  <c r="BK26" i="45" s="1"/>
  <c r="BJ26" i="45" s="1"/>
  <c r="BI26" i="45" s="1"/>
  <c r="BH26" i="45" s="1"/>
  <c r="BL31" i="45"/>
  <c r="BK31" i="45" s="1"/>
  <c r="BJ31" i="45" s="1"/>
  <c r="BI31" i="45" s="1"/>
  <c r="BH31" i="45" s="1"/>
  <c r="BL43" i="45"/>
  <c r="BK43" i="45" s="1"/>
  <c r="BJ43" i="45" s="1"/>
  <c r="BI43" i="45" s="1"/>
  <c r="BH43" i="45" s="1"/>
  <c r="BL35" i="45"/>
  <c r="BK35" i="45" s="1"/>
  <c r="BJ35" i="45" s="1"/>
  <c r="BI35" i="45" s="1"/>
  <c r="BH35" i="45" s="1"/>
  <c r="BL19" i="45"/>
  <c r="BK19" i="45" s="1"/>
  <c r="BJ19" i="45" s="1"/>
  <c r="BI19" i="45" s="1"/>
  <c r="BH19" i="45" s="1"/>
  <c r="BL42" i="45"/>
  <c r="BK42" i="45" s="1"/>
  <c r="BJ42" i="45" s="1"/>
  <c r="BI42" i="45" s="1"/>
  <c r="BH42" i="45" s="1"/>
  <c r="BL4" i="45"/>
  <c r="BK4" i="45" s="1"/>
  <c r="BJ4" i="45" s="1"/>
  <c r="BI4" i="45" s="1"/>
  <c r="BH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<sst xmlns="http://schemas.openxmlformats.org/spreadsheetml/2006/main" count="6764" uniqueCount="1521">
  <si>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</si>
  <si>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</si>
  <si>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</si>
  <si>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</si>
  <si>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</si>
  <si>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</si>
  <si>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</si>
  <si>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</si>
  <si>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</si>
  <si>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</si>
  <si>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</si>
  <si>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</si>
  <si>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</si>
  <si>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</si>
  <si>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</si>
  <si>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</si>
  <si>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</si>
  <si>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</si>
  <si>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</si>
  <si>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</si>
  <si>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</si>
  <si>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</si>
  <si>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</si>
  <si>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</si>
  <si>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</si>
  <si>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</si>
  <si>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</si>
  <si>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</si>
  <si>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</si>
  <si>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</si>
  <si>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</si>
  <si>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</si>
  <si>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</si>
  <si>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</si>
  <si>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</si>
  <si>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</si>
  <si>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</si>
  <si>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</si>
  <si>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</si>
  <si>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</si>
  <si>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</si>
  <si>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</si>
  <si>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</si>
  <si>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</si>
  <si>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</si>
  <si>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</si>
  <si>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</si>
  <si>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</si>
  <si>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</si>
  <si>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</si>
  <si>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</si>
  <si>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</si>
  <si>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</si>
  <si>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</si>
  <si>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</si>
  <si>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</si>
  <si>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</si>
  <si>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</si>
  <si>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</si>
  <si>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</si>
  <si>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</si>
  <si>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</si>
  <si>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</si>
  <si>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</si>
  <si>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</si>
  <si>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</si>
  <si>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</si>
  <si>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</si>
  <si>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</si>
  <si>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</si>
  <si>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</si>
  <si>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</si>
  <si>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</si>
  <si>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</si>
  <si>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</si>
  <si>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</si>
  <si>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</si>
  <si>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</si>
  <si>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</si>
  <si>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</si>
  <si>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</si>
  <si>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</si>
  <si>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</si>
  <si>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</si>
  <si>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</si>
  <si>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</si>
  <si>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</si>
  <si>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</si>
  <si>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</si>
  <si>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</si>
  <si>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</si>
  <si>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</si>
  <si>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</si>
  <si>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</si>
  <si>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</si>
  <si>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</si>
  <si>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</si>
  <si>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</si>
  <si>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</si>
  <si>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</si>
  <si>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</si>
  <si>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</si>
  <si>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</si>
  <si>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</si>
  <si>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</si>
  <si>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</si>
  <si>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</si>
  <si>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</si>
  <si>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</si>
  <si>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</si>
  <si>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</si>
  <si>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</si>
  <si>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</si>
  <si>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</si>
  <si>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</si>
  <si>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</si>
  <si>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</si>
  <si>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</si>
  <si>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</si>
  <si>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</si>
  <si>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</si>
  <si>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</si>
  <si>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</si>
  <si>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</si>
  <si>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</si>
  <si>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</si>
  <si>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</si>
  <si>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</si>
  <si>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</si>
  <si>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</si>
  <si>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</si>
  <si>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</si>
  <si>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</si>
  <si>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</si>
  <si>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</si>
  <si>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</si>
  <si>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</si>
  <si>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</si>
  <si>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</si>
  <si>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</si>
  <si>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</si>
  <si>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</si>
  <si>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</si>
  <si>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</si>
  <si>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</si>
  <si>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</si>
  <si>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</si>
  <si>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</si>
  <si>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</si>
  <si>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</si>
  <si>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</si>
  <si>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</si>
  <si>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</si>
  <si>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</si>
  <si>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</si>
  <si>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</si>
  <si>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</si>
  <si>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</si>
  <si>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</si>
  <si>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</si>
  <si>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</si>
  <si>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</si>
  <si>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</si>
  <si>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</si>
  <si>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</si>
  <si>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</si>
  <si>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</si>
  <si>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</si>
  <si>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</si>
  <si>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</si>
  <si>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</si>
  <si>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</si>
  <si>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</si>
  <si>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</si>
  <si>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</si>
  <si>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</si>
  <si>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</si>
  <si>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</si>
  <si>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</si>
  <si>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</si>
  <si>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</si>
  <si>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</si>
  <si>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</si>
  <si>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</si>
  <si>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</si>
  <si>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</si>
  <si>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</si>
  <si>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</si>
  <si>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</si>
  <si>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</si>
  <si>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</si>
  <si>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</si>
  <si>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</si>
  <si>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</si>
  <si>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</si>
  <si>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</si>
  <si>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</si>
  <si>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</si>
  <si>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</si>
  <si>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</si>
  <si>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</si>
  <si>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</si>
  <si>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</si>
  <si>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</si>
  <si>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</si>
  <si>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</si>
  <si>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</si>
  <si>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</si>
  <si>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</si>
  <si>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</si>
  <si>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</si>
  <si>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</si>
  <si>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</si>
  <si>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</si>
  <si>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</si>
  <si>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</si>
  <si>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</si>
  <si>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</si>
  <si>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</si>
  <si>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</si>
  <si>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</si>
  <si>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</si>
  <si>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</si>
  <si>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</si>
  <si>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</si>
  <si>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</si>
  <si>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</si>
  <si>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</si>
  <si>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</si>
  <si>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</si>
  <si>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</si>
  <si>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</si>
  <si>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</si>
  <si>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</si>
  <si>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</si>
  <si>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</si>
  <si>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</si>
  <si>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</si>
  <si>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</si>
  <si>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</si>
  <si>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</si>
  <si>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</si>
  <si>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</si>
  <si>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</si>
  <si>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</si>
  <si>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</si>
  <si>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</si>
  <si>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</si>
  <si>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</si>
  <si>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</si>
  <si>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</si>
  <si>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</si>
  <si>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</si>
  <si>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</si>
  <si>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</si>
  <si>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</si>
  <si>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</si>
  <si>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</si>
  <si>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</si>
  <si>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</si>
  <si>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</si>
  <si>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</si>
  <si>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</si>
  <si>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</si>
  <si>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</si>
  <si>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</si>
  <si>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</si>
  <si>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</si>
  <si>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</si>
  <si>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</si>
  <si>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</si>
  <si>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</si>
  <si>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</si>
  <si>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</si>
  <si>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</si>
  <si>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</si>
  <si>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</si>
  <si>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</si>
  <si>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</si>
  <si>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</si>
  <si>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</si>
  <si>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</si>
  <si>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</si>
  <si>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</si>
  <si>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</si>
  <si>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</si>
  <si>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</si>
  <si>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</si>
  <si>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</si>
  <si>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</si>
  <si>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</si>
  <si>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</si>
  <si>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</si>
  <si>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</si>
  <si>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</si>
  <si>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</si>
  <si>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</si>
  <si>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</si>
  <si>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</si>
  <si>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</si>
  <si>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</si>
  <si>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</si>
  <si>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</si>
  <si>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</si>
  <si>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</si>
  <si>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</si>
  <si>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</si>
  <si>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</si>
  <si>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</si>
  <si>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</si>
  <si>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</si>
  <si>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</si>
  <si>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</si>
  <si>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</si>
  <si>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</si>
  <si>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</si>
  <si>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</si>
  <si>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</si>
  <si>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</si>
  <si>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</si>
  <si>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</si>
  <si>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</si>
  <si>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</si>
  <si>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</si>
  <si>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</si>
  <si>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</si>
  <si>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</si>
  <si>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</si>
  <si>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</si>
  <si>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</si>
  <si>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</si>
  <si>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</si>
  <si>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</si>
  <si>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</si>
  <si>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</si>
  <si>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</si>
  <si>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</si>
  <si>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</si>
  <si>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</si>
  <si>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</si>
  <si>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</si>
  <si>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</si>
  <si>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</si>
  <si>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</si>
  <si>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</si>
  <si>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</si>
  <si>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</si>
  <si>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</si>
  <si>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</si>
  <si>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</si>
  <si>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</si>
  <si>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</si>
  <si>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</si>
  <si>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</si>
  <si>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</si>
  <si>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</si>
  <si>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</si>
  <si>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</si>
  <si>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</si>
  <si>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</si>
  <si>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</si>
  <si>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</si>
  <si>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</si>
  <si>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</si>
  <si>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</si>
  <si>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</si>
  <si>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</si>
  <si>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</si>
  <si>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</si>
  <si>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</si>
  <si>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</si>
  <si>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</si>
  <si>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</si>
  <si>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</si>
  <si>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</si>
  <si>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</si>
  <si>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</si>
  <si>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</si>
  <si>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</si>
  <si>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</si>
  <si>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</si>
  <si>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</si>
  <si>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</si>
  <si>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</si>
  <si>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</si>
  <si>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</si>
  <si>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</si>
  <si>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</si>
  <si>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</si>
  <si>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</si>
  <si>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</si>
  <si>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</si>
  <si>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</si>
  <si>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</si>
  <si>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</si>
  <si>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</si>
  <si>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</si>
  <si>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</si>
  <si>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</si>
  <si>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</si>
  <si>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</si>
  <si>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</si>
  <si>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</si>
  <si>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</si>
  <si>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</si>
  <si>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</si>
  <si>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</si>
  <si>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</si>
  <si>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</si>
  <si>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</si>
  <si>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</si>
  <si>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</si>
  <si>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</si>
  <si>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</si>
  <si>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</si>
  <si>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</si>
  <si>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</si>
  <si>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</si>
  <si>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</si>
  <si>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</si>
  <si>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</si>
  <si>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</si>
  <si>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</si>
  <si>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</si>
  <si>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</si>
  <si>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</si>
  <si>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</si>
  <si>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</si>
  <si>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</si>
  <si>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</si>
  <si>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</si>
  <si>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</si>
  <si>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</si>
  <si>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</si>
  <si>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</si>
  <si>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</si>
  <si>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</si>
  <si>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</si>
  <si>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</si>
  <si>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</si>
  <si>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</si>
  <si>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</si>
  <si>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</si>
  <si>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</si>
  <si>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</si>
  <si>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</si>
  <si>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</si>
  <si>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</si>
  <si>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</si>
  <si>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</si>
  <si>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</si>
  <si>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</si>
  <si>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</si>
  <si>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</si>
  <si>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</si>
  <si>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</si>
  <si>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</si>
  <si>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</si>
  <si>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</si>
  <si>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</si>
  <si>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</si>
  <si>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</si>
  <si>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</si>
  <si>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</si>
  <si>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</si>
  <si>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</si>
  <si>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</si>
  <si>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</si>
  <si>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</si>
  <si>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</si>
  <si>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</si>
  <si>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</si>
  <si>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</si>
  <si>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</si>
  <si>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</si>
  <si>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</si>
  <si>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</si>
  <si>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</si>
  <si>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</si>
  <si>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</si>
  <si>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</si>
  <si>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</si>
  <si>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</si>
  <si>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</si>
  <si>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</si>
  <si>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</si>
  <si>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</si>
  <si>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</si>
  <si>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</si>
  <si>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</si>
  <si>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</si>
  <si>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</si>
  <si>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</si>
  <si>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</si>
  <si>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</si>
  <si>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</si>
  <si>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</si>
  <si>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</si>
  <si>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</si>
  <si>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</si>
  <si>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</si>
  <si>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</si>
  <si>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</si>
  <si>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</si>
  <si>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</si>
  <si>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</si>
  <si>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</si>
  <si>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</si>
  <si>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</si>
  <si>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</si>
  <si>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</si>
  <si>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</si>
  <si>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</si>
  <si>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</si>
  <si>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</si>
  <si>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</si>
  <si>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</si>
  <si>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</si>
  <si>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</si>
  <si>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</si>
  <si>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</si>
  <si>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</si>
  <si>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</si>
  <si>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</si>
  <si>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</si>
  <si>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</si>
  <si>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</si>
  <si>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</si>
  <si>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</si>
  <si>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</si>
  <si>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</si>
  <si>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</si>
  <si>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</si>
  <si>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</si>
  <si>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</si>
  <si>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</si>
  <si>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</si>
  <si>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</si>
  <si>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</si>
  <si>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</si>
  <si>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</si>
  <si>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</si>
  <si>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</si>
  <si>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</si>
  <si>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</si>
  <si>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</si>
  <si>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</si>
  <si>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</si>
  <si>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</si>
  <si>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</si>
  <si>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</si>
  <si>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</si>
  <si>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</si>
  <si>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</si>
  <si>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</si>
  <si>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</si>
  <si>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</si>
  <si>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</si>
  <si>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</si>
  <si>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</si>
  <si>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</si>
  <si>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</si>
  <si>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</si>
  <si>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</si>
  <si>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</si>
  <si>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</si>
  <si>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</si>
  <si>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</si>
  <si>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</si>
  <si>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</si>
  <si>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</si>
  <si>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</si>
  <si>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</si>
  <si>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</si>
  <si>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</si>
  <si>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</si>
  <si>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</si>
  <si>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</si>
  <si>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</si>
  <si>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</si>
  <si>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</si>
  <si>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</si>
  <si>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</si>
  <si>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</si>
  <si>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</si>
  <si>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</si>
  <si>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</si>
  <si>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</si>
  <si>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</si>
  <si>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</si>
  <si>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</si>
  <si>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</si>
  <si>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</si>
  <si>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</si>
  <si>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</si>
  <si>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</si>
  <si>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</si>
  <si>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</si>
  <si>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</si>
  <si>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</si>
  <si>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</si>
  <si>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</si>
  <si>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</si>
  <si>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</si>
  <si>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</si>
  <si>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</si>
  <si>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</si>
  <si>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</si>
  <si>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</si>
  <si>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</si>
  <si>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</si>
  <si>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</si>
  <si>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</si>
  <si>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</si>
  <si>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</si>
  <si>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</si>
  <si>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</si>
  <si>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</si>
  <si>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</si>
  <si>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</si>
  <si>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</si>
  <si>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</si>
  <si>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</si>
  <si>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</si>
  <si>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</si>
  <si>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</si>
  <si>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</si>
  <si>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</si>
  <si>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</si>
  <si>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</si>
  <si>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</si>
  <si>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</si>
  <si>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</si>
  <si>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</si>
  <si>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</si>
  <si>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</si>
  <si>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</si>
  <si>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</si>
  <si>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</si>
  <si>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</si>
  <si>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</si>
  <si>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</si>
  <si>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</si>
  <si>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</si>
  <si>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</si>
  <si>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</si>
  <si>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</si>
  <si>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</si>
  <si>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</si>
  <si>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</si>
  <si>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</si>
  <si>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</si>
  <si>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</si>
  <si>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</si>
  <si>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</si>
  <si>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</si>
  <si>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</si>
  <si>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</si>
  <si>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</si>
  <si>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</si>
  <si>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</si>
  <si>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</si>
  <si>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</si>
  <si>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</si>
  <si>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</si>
  <si>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</si>
  <si>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</si>
  <si>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</si>
  <si>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</si>
  <si>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</si>
  <si>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</si>
  <si>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</si>
  <si>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</si>
  <si>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</si>
  <si>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</si>
  <si>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</si>
  <si>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</si>
  <si>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</si>
  <si>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</si>
  <si>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</si>
  <si>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</si>
  <si>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</si>
  <si>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</si>
  <si>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</si>
  <si>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</si>
  <si>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</si>
  <si>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</si>
  <si>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</si>
  <si>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</si>
  <si>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</si>
  <si>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</si>
  <si>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</si>
  <si>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</si>
  <si>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</si>
  <si>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</si>
  <si>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</si>
  <si>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</si>
  <si>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</si>
  <si>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</si>
  <si>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</si>
  <si>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</si>
  <si>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</si>
  <si>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</si>
  <si>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</si>
  <si>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</si>
  <si>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</si>
  <si>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</si>
  <si>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</si>
  <si>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</si>
  <si>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</si>
  <si>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</si>
  <si>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</si>
  <si>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</si>
  <si>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</si>
  <si>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</si>
  <si>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</si>
  <si>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</si>
  <si>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</si>
  <si>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</si>
  <si>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</si>
  <si>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</si>
  <si>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</si>
  <si>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</si>
  <si>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</si>
  <si>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</si>
  <si>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</si>
  <si>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</si>
  <si>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</si>
  <si>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</si>
  <si>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</si>
  <si>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</si>
  <si>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</si>
  <si>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</si>
  <si>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</si>
  <si>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</si>
  <si>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</si>
  <si>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</si>
  <si>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</si>
  <si>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</si>
  <si>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</si>
  <si>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</si>
  <si>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</si>
  <si>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</si>
  <si>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</si>
  <si>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</si>
  <si>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</si>
  <si>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</si>
  <si>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</si>
  <si>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</si>
  <si>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</si>
  <si>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</si>
  <si>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</si>
  <si>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</si>
  <si>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</si>
  <si>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</si>
  <si>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</si>
  <si>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</si>
  <si>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</si>
  <si>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</si>
  <si>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</si>
  <si>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</si>
  <si>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</si>
  <si>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</si>
  <si>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</si>
  <si>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</si>
  <si>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</si>
  <si>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</si>
  <si>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</si>
  <si>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</si>
  <si>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</si>
  <si>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</si>
  <si>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</si>
  <si>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</si>
  <si>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</si>
  <si>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</si>
  <si>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</si>
  <si>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</si>
  <si>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</si>
  <si>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</si>
  <si>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</si>
  <si>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</si>
  <si>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</si>
  <si>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</si>
  <si>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</si>
  <si>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</si>
  <si>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</si>
  <si>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</si>
  <si>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</si>
  <si>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</si>
  <si>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</si>
  <si>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</si>
  <si>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</si>
  <si>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</si>
  <si>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</si>
  <si>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</si>
  <si>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</si>
  <si>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</si>
  <si>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</si>
  <si>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</si>
  <si>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</si>
  <si>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</si>
  <si>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</si>
  <si>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</si>
  <si>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</si>
  <si>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</si>
  <si>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</si>
  <si>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</si>
  <si>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</si>
  <si>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</si>
  <si>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</si>
  <si>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</si>
  <si>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</si>
  <si>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</si>
  <si>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</si>
  <si>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</si>
  <si>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</si>
  <si>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</si>
  <si>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</si>
  <si>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</si>
  <si>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</si>
  <si>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</si>
  <si>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</si>
  <si>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</si>
  <si>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</si>
  <si>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</si>
  <si>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</si>
  <si>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</si>
  <si>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</si>
  <si>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</si>
  <si>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</si>
  <si>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</si>
  <si>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</si>
  <si>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</si>
  <si>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</si>
  <si>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</si>
  <si>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</si>
  <si>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</si>
  <si>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</si>
  <si>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</si>
  <si>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</si>
  <si>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</si>
  <si>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</si>
  <si>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</si>
  <si>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</si>
  <si>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</si>
  <si>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</si>
  <si>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</si>
  <si>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</si>
  <si>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</si>
  <si>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</si>
  <si>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</si>
  <si>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</si>
  <si>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</si>
  <si>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</si>
  <si>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</si>
  <si>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</si>
  <si>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</si>
  <si>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</si>
  <si>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</si>
  <si>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</si>
  <si>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</si>
  <si>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</si>
  <si>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</si>
  <si>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</si>
  <si>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</si>
  <si>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</si>
  <si>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</si>
  <si>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</si>
  <si>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</si>
  <si>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</si>
  <si>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</si>
  <si>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</si>
  <si>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</si>
  <si>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</si>
  <si>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</si>
  <si>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</si>
  <si>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</si>
  <si>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</si>
  <si>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</si>
  <si>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</si>
  <si>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</si>
  <si>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</si>
  <si>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</si>
  <si>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</si>
  <si>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</si>
  <si>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</si>
  <si>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</si>
  <si>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</si>
  <si>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</si>
  <si>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</si>
  <si>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</si>
  <si>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</si>
  <si>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</si>
  <si>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</si>
  <si>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</si>
  <si>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</si>
  <si>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</si>
  <si>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</si>
  <si>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</si>
  <si>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</si>
  <si>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</si>
  <si>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</si>
  <si>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</si>
  <si>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</si>
  <si>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</si>
  <si>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</si>
  <si>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</si>
  <si>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</si>
  <si>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</si>
  <si>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</si>
  <si>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</si>
  <si>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</si>
  <si>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</si>
  <si>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</si>
  <si>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</si>
  <si>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</si>
  <si>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</si>
  <si>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</si>
  <si>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</si>
  <si>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</si>
  <si>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</si>
  <si>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</si>
  <si>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</si>
  <si>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</si>
  <si>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</si>
  <si>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</si>
  <si>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</si>
  <si>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</si>
  <si>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</si>
  <si>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</si>
  <si>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</si>
  <si>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</si>
  <si>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</si>
  <si>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</si>
  <si>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</si>
  <si>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</si>
  <si>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</si>
  <si>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</si>
  <si>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</si>
  <si>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</si>
  <si>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</si>
  <si>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</si>
  <si>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</si>
  <si>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</si>
  <si>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</si>
  <si>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</si>
  <si>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</si>
  <si>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</si>
  <si>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</si>
  <si>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</si>
  <si>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</si>
  <si>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</si>
  <si>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</si>
  <si>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</si>
  <si>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</si>
  <si>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</si>
  <si>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</si>
  <si>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</si>
  <si>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</si>
  <si>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</si>
  <si>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</si>
  <si>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</si>
  <si>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</si>
  <si>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</si>
  <si>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</si>
  <si>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</si>
  <si>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</si>
  <si>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</si>
  <si>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</si>
  <si>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</si>
  <si>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</si>
  <si>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</si>
  <si>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</si>
  <si>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</si>
  <si>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</si>
  <si>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</si>
  <si>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</si>
  <si>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</si>
  <si>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</si>
  <si>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</si>
  <si>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</si>
  <si>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</si>
  <si>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</si>
  <si>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</si>
  <si>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</si>
  <si>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</si>
  <si>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</si>
  <si>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</si>
  <si>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</si>
  <si>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</si>
  <si>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</si>
  <si>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</si>
  <si>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</si>
  <si>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</si>
  <si>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</si>
  <si>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</si>
  <si>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</si>
  <si>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</si>
  <si>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</si>
  <si>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</si>
  <si>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</si>
  <si>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</si>
  <si>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</si>
  <si>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</si>
  <si>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</si>
  <si>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</si>
  <si>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</si>
  <si>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</si>
  <si>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</si>
  <si>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</si>
  <si>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</si>
  <si>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</si>
  <si>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</si>
  <si>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</si>
  <si>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</si>
  <si>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</si>
  <si>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</si>
  <si>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</si>
  <si>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</si>
  <si>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</si>
  <si>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</si>
  <si>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</si>
  <si>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</si>
  <si>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</si>
  <si>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</si>
  <si>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</si>
  <si>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</si>
  <si>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</si>
  <si>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</si>
  <si>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</si>
  <si>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</si>
  <si>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</si>
  <si>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</si>
  <si>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</si>
  <si>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</si>
  <si>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</si>
  <si>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</si>
  <si>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</si>
  <si>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</si>
  <si>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</si>
  <si>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</si>
  <si>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</si>
  <si>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</si>
  <si>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</si>
  <si>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</si>
  <si>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</si>
  <si>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</si>
  <si>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</si>
  <si>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</si>
  <si>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</si>
  <si>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</si>
  <si>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</si>
  <si>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</si>
  <si>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</si>
  <si>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</si>
  <si>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</si>
  <si>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</si>
  <si>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</si>
  <si>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</si>
  <si>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</si>
  <si>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</si>
  <si>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</si>
  <si>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</si>
  <si>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</si>
  <si>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</si>
  <si>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</si>
  <si>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</si>
  <si>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</si>
  <si>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</si>
  <si>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</si>
  <si>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</si>
  <si>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</si>
  <si>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</si>
  <si>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</si>
  <si>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</si>
  <si>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</si>
  <si>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</si>
  <si>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</si>
  <si>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</si>
  <si>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</si>
  <si>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</si>
  <si>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</si>
  <si>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</si>
  <si>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</si>
  <si>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</si>
  <si>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</si>
  <si>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</si>
  <si>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</si>
  <si>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</si>
  <si>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</si>
  <si>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</si>
  <si>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</si>
  <si>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</si>
  <si>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</si>
  <si>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</si>
  <si>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</si>
  <si>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</si>
  <si>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</si>
  <si>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</si>
  <si>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</si>
  <si>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</si>
  <si>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</si>
  <si>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</si>
  <si>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</si>
  <si>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</si>
  <si>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</si>
  <si>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</si>
  <si>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</si>
  <si>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</si>
  <si>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</si>
  <si>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</si>
  <si>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</si>
  <si>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</si>
  <si>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</si>
  <si>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</si>
  <si>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</si>
  <si>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</si>
  <si>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</si>
  <si>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</si>
  <si>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</si>
  <si>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</si>
  <si>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</si>
  <si>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</si>
  <si>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</si>
  <si>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</si>
  <si>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</si>
  <si>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</si>
  <si>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</si>
  <si>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</si>
  <si>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</si>
  <si>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</si>
  <si>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</si>
  <si>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</si>
  <si>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</si>
  <si>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</si>
  <si>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</si>
  <si>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</si>
  <si>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</si>
  <si>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</si>
  <si>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</si>
  <si>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</si>
  <si>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</si>
  <si>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</si>
  <si>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</si>
  <si>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</si>
  <si>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</si>
  <si>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</si>
  <si>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</si>
  <si>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</si>
  <si>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</si>
  <si>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</si>
  <si>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</si>
  <si>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</si>
  <si>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</si>
  <si>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</si>
  <si>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</si>
  <si>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</si>
  <si>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</si>
  <si>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</si>
  <si>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</si>
  <si>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</si>
  <si>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</si>
  <si>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</si>
  <si>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</si>
  <si>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</si>
  <si>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</si>
  <si>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</si>
  <si>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</si>
  <si>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</si>
  <si>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</si>
  <si>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</si>
  <si>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</si>
  <si>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</si>
  <si>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</si>
  <si>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</si>
  <si>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</si>
  <si>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</si>
  <si>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</si>
  <si>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</si>
  <si>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</si>
  <si>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</si>
  <si>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</si>
  <si>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</si>
  <si>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</si>
  <si>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</si>
  <si>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</si>
  <si>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</si>
  <si>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</si>
  <si>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</si>
  <si>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</si>
  <si>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</si>
  <si>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</si>
  <si>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</si>
  <si>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</si>
  <si>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</si>
  <si>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</si>
  <si>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</si>
  <si>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</si>
  <si>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</si>
  <si>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</si>
  <si>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</si>
  <si>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</si>
  <si>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</si>
  <si>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</si>
  <si>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</si>
  <si>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</si>
  <si>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</si>
  <si>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</si>
  <si>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</si>
  <si>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</si>
  <si>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</si>
  <si>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</si>
  <si>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</si>
  <si>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</si>
  <si>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</si>
  <si>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</si>
  <si>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</si>
  <si>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</si>
  <si>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</si>
  <si>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</si>
  <si>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</si>
  <si>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</si>
  <si>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</si>
  <si>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</si>
  <si>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</si>
  <si>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</si>
  <si>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</si>
  <si>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</si>
  <si>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</si>
  <si>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</si>
  <si>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</si>
  <si>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</si>
  <si>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</si>
  <si>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</si>
  <si>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</si>
  <si>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</si>
  <si>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</si>
  <si>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</si>
  <si>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</si>
  <si>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</si>
  <si>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</si>
  <si>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</si>
  <si>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</si>
  <si>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</si>
  <si>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</si>
  <si>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</si>
  <si>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</si>
  <si>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</si>
  <si>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</si>
  <si>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</si>
  <si>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</si>
  <si>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</si>
  <si>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</si>
  <si>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</si>
  <si>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</si>
  <si>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</si>
  <si>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</si>
  <si>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</si>
  <si>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</si>
  <si>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</si>
  <si>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</si>
  <si>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</si>
  <si>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</si>
  <si>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</si>
  <si>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</si>
  <si>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</si>
  <si>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</si>
  <si>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</si>
  <si>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</si>
  <si>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</si>
  <si>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</si>
  <si>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</si>
  <si>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</si>
  <si>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</si>
  <si>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</si>
  <si>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</si>
  <si>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</si>
  <si>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</si>
  <si>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</si>
  <si>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</si>
  <si>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</si>
  <si>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</si>
  <si>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</si>
  <si>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</si>
  <si>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</si>
  <si>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</si>
  <si>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</si>
  <si>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</si>
  <si>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</si>
  <si>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</si>
  <si>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</si>
  <si>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</si>
  <si>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</si>
  <si>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</si>
  <si>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</si>
  <si>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</si>
  <si>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</si>
  <si>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</si>
  <si>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</si>
  <si>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</si>
  <si>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</si>
  <si>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</si>
  <si>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</si>
  <si>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</si>
  <si>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</si>
  <si>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</si>
  <si>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</si>
  <si>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</si>
  <si>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</si>
  <si>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</si>
  <si>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</si>
  <si>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</si>
  <si>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</si>
  <si>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</si>
  <si>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</si>
  <si>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</si>
  <si>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</si>
  <si>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</si>
  <si>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</si>
  <si>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</si>
  <si>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</si>
  <si>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</si>
  <si>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</si>
  <si>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</si>
  <si>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</si>
  <si>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</si>
  <si>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</si>
  <si>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</si>
  <si>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</si>
  <si>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</si>
  <si>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</si>
  <si>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</si>
  <si>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</si>
  <si>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</si>
  <si>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</si>
  <si>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</si>
  <si>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</si>
  <si>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</si>
  <si>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</si>
  <si>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</si>
  <si>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</si>
  <si>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</si>
  <si>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</si>
  <si>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</si>
  <si>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</si>
  <si>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</si>
  <si>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</si>
  <si>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</si>
  <si>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</si>
  <si>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</si>
  <si>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</si>
  <si>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</si>
  <si>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</si>
  <si>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</si>
  <si>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</si>
  <si>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</si>
  <si>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</si>
  <si>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</si>
  <si>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</si>
  <si>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</si>
  <si>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</si>
  <si>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</si>
  <si>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</si>
  <si>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</si>
  <si>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</si>
  <si>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</si>
  <si>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</si>
  <si>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</si>
  <si>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</si>
  <si>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</si>
  <si>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</si>
  <si>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</si>
  <si>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</si>
  <si>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</si>
  <si>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</si>
  <si>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</si>
  <si>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</si>
  <si>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</si>
  <si>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</si>
  <si>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</si>
  <si>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</si>
  <si>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</si>
  <si>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</si>
  <si>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</si>
  <si>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</si>
  <si>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</si>
  <si>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</si>
  <si>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</si>
  <si>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</si>
  <si>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</si>
  <si>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</si>
  <si>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</si>
  <si>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</si>
  <si>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</si>
  <si>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</si>
  <si>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</si>
  <si>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</si>
  <si>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</si>
  <si>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</si>
  <si>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</si>
  <si>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</si>
  <si>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</si>
  <si>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</si>
  <si>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</si>
  <si>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</si>
  <si>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</si>
  <si>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</si>
  <si>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</si>
  <si>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</si>
  <si>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</si>
  <si>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</si>
  <si>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</si>
  <si>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</si>
  <si>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</si>
  <si>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</si>
  <si>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</si>
  <si>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</si>
  <si>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</si>
  <si>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</si>
  <si>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</si>
  <si>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</si>
  <si>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</si>
  <si>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</si>
  <si>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</si>
  <si>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</si>
  <si>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</si>
  <si>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</si>
  <si>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</si>
  <si>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</si>
  <si>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</si>
  <si>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</si>
  <si>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</si>
  <si>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</si>
  <si>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</si>
  <si>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</si>
  <si>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</si>
  <si>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</si>
  <si>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</si>
  <si>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</si>
  <si>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</si>
  <si>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</si>
  <si>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</si>
  <si>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</si>
  <si>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</si>
  <si>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</si>
  <si>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</si>
  <si>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</si>
  <si>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</si>
  <si>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</si>
  <si>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</si>
  <si>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</si>
  <si>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</si>
  <si>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</si>
  <si>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</si>
  <si>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</si>
  <si>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</si>
  <si>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</si>
  <si>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</si>
  <si>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</si>
  <si>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</si>
  <si>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</si>
  <si>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</si>
  <si>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</si>
  <si>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</si>
  <si>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</si>
  <si>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</si>
  <si>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</si>
  <si>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</si>
  <si>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</si>
  <si>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</si>
  <si>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</si>
  <si>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</si>
  <si>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</si>
  <si>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</si>
  <si>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</si>
  <si>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</si>
  <si>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</si>
  <si>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</si>
  <si>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</si>
  <si>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</si>
  <si>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</si>
  <si>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</si>
  <si>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</si>
  <si>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</si>
  <si>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</si>
  <si>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</si>
  <si>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</si>
  <si>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</si>
  <si>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</si>
  <si>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</si>
  <si>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</si>
  <si>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</si>
  <si>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</si>
  <si>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</si>
  <si>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</si>
  <si>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</si>
  <si>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</si>
  <si>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</si>
  <si>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</si>
  <si>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</si>
  <si>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</si>
  <si>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</si>
  <si>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</si>
  <si>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</si>
  <si>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</si>
  <si>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</si>
  <si>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</si>
  <si>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</si>
  <si>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</si>
  <si>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</si>
  <si>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</si>
  <si>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</si>
  <si>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</si>
  <si>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</si>
  <si>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</si>
  <si>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</si>
  <si>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Mayli</t>
  </si>
  <si>
    <t>Erling Haland</t>
  </si>
  <si>
    <t>Lamine Yamal</t>
  </si>
  <si>
    <t>Haland</t>
  </si>
  <si>
    <t>Mbapee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</si>
</sst>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5</v>
  </rv>
  <rv s="1">
    <v>5</v>
    <v>5</v>
  </rv>
  <rv s="1">
    <v>6</v>
    <v>5</v>
  </rv>
  <rv s="1">
    <v>7</v>
    <v>5</v>
  </rv>
  <rv s="1">
    <v>8</v>
    <v>5</v>
  </rv>
  <rv s="1">
    <v>9</v>
    <v>5</v>
  </rv>
  <rv s="1">
    <v>10</v>
    <v>5</v>
  </rv>
  <rv s="1">
    <v>11</v>
    <v>5</v>
  </rv>
  <rv s="1">
    <v>12</v>
    <v>5</v>
  </rv>
  <rv s="1">
    <v>13</v>
    <v>5</v>
  </rv>
  <rv s="1">
    <v>14</v>
    <v>5</v>
  </rv>
  <rv s="1">
    <v>15</v>
    <v>5</v>
  </rv>
  <rv s="1">
    <v>16</v>
    <v>5</v>
  </rv>
  <rv s="1">
    <v>17</v>
    <v>5</v>
  </rv>
  <rv s="1">
    <v>18</v>
    <v>5</v>
  </rv>
  <rv s="1">
    <v>19</v>
    <v>5</v>
  </rv>
  <rv s="1">
    <v>20</v>
    <v>5</v>
  </rv>
  <rv s="1">
    <v>21</v>
    <v>5</v>
  </rv>
  <rv s="1">
    <v>22</v>
    <v>5</v>
  </rv>
  <rv s="1">
    <v>23</v>
    <v>5</v>
  </rv>
  <rv s="1">
    <v>24</v>
    <v>5</v>
  </rv>
  <rv s="1">
    <v>25</v>
    <v>5</v>
  </rv>
  <rv s="1">
    <v>26</v>
    <v>5</v>
  </rv>
  <rv s="1">
    <v>27</v>
    <v>5</v>
  </rv>
  <rv s="1">
    <v>28</v>
    <v>5</v>
  </rv>
  <rv s="1">
    <v>0</v>
    <v>4</v>
  </rv>
  <rv s="1">
    <v>29</v>
    <v>5</v>
  </rv>
  <rv s="1">
    <v>30</v>
    <v>5</v>
  </rv>
  <rv s="1">
    <v>31</v>
    <v>5</v>
  </rv>
  <rv s="1">
    <v>32</v>
    <v>5</v>
  </rv>
  <rv s="1">
    <v>33</v>
    <v>5</v>
  </rv>
  <rv s="1">
    <v>34</v>
    <v>5</v>
  </rv>
  <rv s="1">
    <v>35</v>
    <v>5</v>
  </rv>
  <rv s="1">
    <v>36</v>
    <v>5</v>
  </rv>
  <rv s="1">
    <v>37</v>
    <v>5</v>
  </rv>
  <rv s="1">
    <v>38</v>
    <v>5</v>
  </rv>
  <rv s="1">
    <v>39</v>
    <v>5</v>
  </rv>
  <rv s="1">
    <v>40</v>
    <v>5</v>
  </rv>
  <rv s="1">
    <v>41</v>
    <v>5</v>
  </rv>
  <rv s="1">
    <v>42</v>
    <v>5</v>
  </rv>
  <rv s="1">
    <v>43</v>
    <v>5</v>
  </rv>
  <rv s="1">
    <v>44</v>
    <v>5</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99" customWidth="1"/>
    <col min="2" max="2" width="15.77734375" style="299" customWidth="1"/>
    <col min="3" max="3" width="26.77734375" style="299" customWidth="1"/>
    <col min="4" max="4" width="5.77734375" style="299" customWidth="1"/>
    <col min="5" max="9" width="11.33203125" style="319" customWidth="1"/>
    <col min="10" max="10" width="5.77734375" style="319" customWidth="1"/>
    <col min="11" max="11" width="26.77734375" style="319" customWidth="1"/>
    <col min="12" max="12" width="15.77734375" style="299" customWidth="1"/>
    <col min="13" max="13" width="10.44140625" style="299" customWidth="1"/>
    <col min="14" max="15" width="10.77734375" style="299" customWidth="1"/>
    <col min="16" max="16" width="12.109375" style="299" customWidth="1"/>
    <col min="17" max="17" width="6.109375" style="299" customWidth="1"/>
    <col min="18" max="31" width="10.77734375" style="299" customWidth="1"/>
    <col min="32" max="16384" width="10.777343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4.950000000000003"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19.95"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0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19.95"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0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19.95"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0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19.95"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0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0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049999999999997"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049999999999997"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0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19.95"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4" zoomScaleNormal="100" workbookViewId="0">
      <selection activeCell="AA158" sqref="AA158"/>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87" customWidth="1"/>
    <col min="35" max="35" width="3.33203125" style="18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90" customWidth="1"/>
    <col min="48" max="48" width="18.44140625" style="19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0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8" t="s">
        <v>0</v>
      </c>
      <c r="X4" s="24">
        <f ca="1">Horarios!C4</f>
        <v>46184.875</v>
      </c>
      <c r="Y4" s="25">
        <f ca="1">Horarios!C4</f>
        <v>46184.875</v>
      </c>
      <c r="Z4" s="26" t="str">
        <f>Idiomas!D61</f>
        <v>J1</v>
      </c>
      <c r="AA4" s="27" t="str">
        <f ca="1">+A5</f>
        <v>México</v>
      </c>
      <c r="AB4" s="49" t="str" cm="1">
        <f t="array" aca="1" ref="AB4" ca="1">Ver_flag_local</f>
        <v/>
      </c>
      <c r="AC4" s="50">
        <v>1</v>
      </c>
      <c r="AD4" s="51">
        <v>0</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05" customHeight="1">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8"/>
      <c r="X5" s="24">
        <f ca="1">Horarios!C5</f>
        <v>46185.166666666664</v>
      </c>
      <c r="Y5" s="25">
        <f ca="1">Horarios!C5</f>
        <v>46185.166666666664</v>
      </c>
      <c r="Z5" s="26" t="str">
        <f>$Z$4</f>
        <v>J1</v>
      </c>
      <c r="AA5" s="27" t="str">
        <f ca="1">A7</f>
        <v>Corea del Sur</v>
      </c>
      <c r="AB5" s="49" t="str" cm="1">
        <f t="array" aca="1" ref="AB5" ca="1">Ver_flag_local</f>
        <v/>
      </c>
      <c r="AC5" s="50">
        <v>2</v>
      </c>
      <c r="AD5" s="51">
        <v>1</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8"/>
      <c r="X6" s="24">
        <f ca="1">Horarios!C6</f>
        <v>46191.75</v>
      </c>
      <c r="Y6" s="25">
        <f ca="1">Horarios!C6</f>
        <v>46191.75</v>
      </c>
      <c r="Z6" s="26" t="str">
        <f>Idiomas!D62</f>
        <v>J2</v>
      </c>
      <c r="AA6" s="27" t="str">
        <f ca="1">A8</f>
        <v>República Checa</v>
      </c>
      <c r="AB6" s="49" t="str" cm="1">
        <f t="array" aca="1" ref="AB6" ca="1">Ver_flag_local</f>
        <v/>
      </c>
      <c r="AC6" s="50">
        <v>2</v>
      </c>
      <c r="AD6" s="51">
        <v>0</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Corea del Sur</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2</v>
      </c>
      <c r="AT6" s="41">
        <f t="shared" ca="1" si="15"/>
        <v>4</v>
      </c>
      <c r="AU6" s="330">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5</v>
      </c>
      <c r="BF6" s="16">
        <f ca="1">+BG6+BH6+BI6</f>
        <v>3</v>
      </c>
      <c r="BG6" s="16">
        <f t="shared" ref="BG6:BG53" ca="1" si="17">+COUNTIFS(FGLocal,BD6,Ganador,"Local")+COUNTIFS(FGVisitante,BD6,Ganador,"Visitante")</f>
        <v>1</v>
      </c>
      <c r="BH6" s="16">
        <f t="shared" ref="BH6:BH53" ca="1" si="18">+COUNTIFS(FGLocal,BD6,Ganador,"Empate")+COUNTIFS(FGVisitante,BD6,Ganador,"Empate")</f>
        <v>2</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3</v>
      </c>
      <c r="BK6" s="16">
        <f t="shared" ref="BK6:BK53" ca="1" si="21">+SUMIFS(FG_GolesLocal,FGVisitante,BD6,Ganador,"&lt;&gt;"&amp;"Pendiente",FG_GolesLocal,"&lt;&gt;"&amp;"",FG_GolesVisitante,"&lt;&gt;"&amp;"")+SUMIFS(FG_GolesVisitante,FGLocal,BD6,Ganador,"&lt;&gt;"&amp;"Pendiente",FG_GolesLocal,"&lt;&gt;"&amp;"",FG_GolesVisitante,"&lt;&gt;"&amp;"")</f>
        <v>2</v>
      </c>
      <c r="BL6" s="16">
        <f ca="1">+BJ6-BK6</f>
        <v>1</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5</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Corea del Sur</v>
      </c>
    </row>
    <row r="7" spans="1:121" ht="16.0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8"/>
      <c r="X7" s="24">
        <f ca="1">Horarios!C7</f>
        <v>46192.125</v>
      </c>
      <c r="Y7" s="25">
        <f ca="1">Horarios!C7</f>
        <v>46192.125</v>
      </c>
      <c r="Z7" s="26" t="str">
        <f>$Z$6</f>
        <v>J2</v>
      </c>
      <c r="AA7" s="27" t="str">
        <f ca="1">A5</f>
        <v>México</v>
      </c>
      <c r="AB7" s="49" t="str" cm="1">
        <f t="array" aca="1" ref="AB7" ca="1">Ver_flag_local</f>
        <v/>
      </c>
      <c r="AC7" s="50">
        <v>1</v>
      </c>
      <c r="AD7" s="51">
        <v>1</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México</v>
      </c>
      <c r="AM7" s="38">
        <f t="shared" ca="1" si="15"/>
        <v>5</v>
      </c>
      <c r="AN7" s="39">
        <f t="shared" ca="1" si="15"/>
        <v>3</v>
      </c>
      <c r="AO7" s="39">
        <f t="shared" ca="1" si="15"/>
        <v>1</v>
      </c>
      <c r="AP7" s="39">
        <f t="shared" ca="1" si="15"/>
        <v>2</v>
      </c>
      <c r="AQ7" s="39">
        <f t="shared" ca="1" si="15"/>
        <v>0</v>
      </c>
      <c r="AR7" s="39">
        <f t="shared" ca="1" si="15"/>
        <v>3</v>
      </c>
      <c r="AS7" s="39">
        <f t="shared" ca="1" si="15"/>
        <v>2</v>
      </c>
      <c r="AT7" s="43">
        <f t="shared" ca="1" si="15"/>
        <v>1</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0</v>
      </c>
      <c r="BK7" s="16">
        <f t="shared" ca="1" si="21"/>
        <v>6</v>
      </c>
      <c r="BL7" s="16">
        <f t="shared" ref="BL7:BL53" ca="1" si="42">+BJ7-BK7</f>
        <v>-6</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México</v>
      </c>
    </row>
    <row r="8" spans="1:121" ht="16.0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8"/>
      <c r="X8" s="24">
        <f ca="1">Horarios!C8</f>
        <v>46198.125</v>
      </c>
      <c r="Y8" s="25">
        <f ca="1">Horarios!C8</f>
        <v>46198.125</v>
      </c>
      <c r="Z8" s="26" t="str">
        <f>Idiomas!D63</f>
        <v>J3</v>
      </c>
      <c r="AA8" s="27" t="str">
        <f ca="1">A8</f>
        <v>República Checa</v>
      </c>
      <c r="AB8" s="49" t="str" cm="1">
        <f t="array" aca="1" ref="AB8" ca="1">Ver_flag_local</f>
        <v/>
      </c>
      <c r="AC8" s="50">
        <v>1</v>
      </c>
      <c r="AD8" s="51">
        <v>1</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4</v>
      </c>
      <c r="AS8" s="39">
        <f t="shared" ca="1" si="15"/>
        <v>3</v>
      </c>
      <c r="AT8" s="43">
        <f t="shared" ca="1" si="15"/>
        <v>1</v>
      </c>
      <c r="AU8" s="330">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7</v>
      </c>
      <c r="BF8" s="16">
        <f t="shared" ca="1" si="41"/>
        <v>3</v>
      </c>
      <c r="BG8" s="16">
        <f t="shared" ca="1" si="17"/>
        <v>2</v>
      </c>
      <c r="BH8" s="16">
        <f t="shared" ca="1" si="18"/>
        <v>1</v>
      </c>
      <c r="BI8" s="16">
        <f t="shared" ca="1" si="19"/>
        <v>0</v>
      </c>
      <c r="BJ8" s="16">
        <f t="shared" ca="1" si="20"/>
        <v>6</v>
      </c>
      <c r="BK8" s="16">
        <f t="shared" ca="1" si="21"/>
        <v>2</v>
      </c>
      <c r="BL8" s="16">
        <f t="shared" ca="1" si="42"/>
        <v>4</v>
      </c>
      <c r="BM8" s="16" t="str">
        <f t="shared" ca="1" si="22"/>
        <v>1A</v>
      </c>
      <c r="BN8" s="16" t="str">
        <f t="shared" ca="1" si="23"/>
        <v>1A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7</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5"/>
        <v>1</v>
      </c>
      <c r="DG8" s="16" t="str">
        <f ca="1">IF(DB8="-","-",COUNTIFS(DF$6:DF$53,"&lt;"&amp;DF8,$BC$6:$BC$53,INDEX(T_Equipos[Grupo],MATCH(BD8,T_Equipos[NombreEquipo],0))))</f>
        <v>-</v>
      </c>
      <c r="DH8" s="16">
        <f ca="1">DA8+COUNTIFS(DB$6:DB$53,DB8,DG$6:DG$53,"&lt;"&amp;DG8,$BC$6:$BC$53,INDEX(T_Equipos[Grupo],MATCH(BD8,T_Equipos[NombreEquipo],0)))</f>
        <v>1</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9"/>
      <c r="X9" s="28">
        <f ca="1">Horarios!C9</f>
        <v>46198.125</v>
      </c>
      <c r="Y9" s="29">
        <f ca="1">Horarios!C9</f>
        <v>46198.125</v>
      </c>
      <c r="Z9" s="30" t="str">
        <f>$Z$8</f>
        <v>J3</v>
      </c>
      <c r="AA9" s="31" t="str">
        <f ca="1">A6</f>
        <v>Sudáfrica</v>
      </c>
      <c r="AB9" s="52" t="str" cm="1">
        <f t="array" aca="1" ref="AB9" ca="1">Ver_flag_local</f>
        <v/>
      </c>
      <c r="AC9" s="53">
        <v>0</v>
      </c>
      <c r="AD9" s="54">
        <v>3</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0</v>
      </c>
      <c r="AS9" s="47">
        <f t="shared" ca="1" si="15"/>
        <v>6</v>
      </c>
      <c r="AT9" s="48">
        <f t="shared" ca="1" si="15"/>
        <v>-6</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4</v>
      </c>
      <c r="BK9" s="16">
        <f t="shared" ca="1" si="21"/>
        <v>3</v>
      </c>
      <c r="BL9" s="16">
        <f t="shared" ca="1" si="42"/>
        <v>1</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1</v>
      </c>
      <c r="BF10" s="16">
        <f t="shared" ca="1" si="41"/>
        <v>3</v>
      </c>
      <c r="BG10" s="16">
        <f t="shared" ca="1" si="17"/>
        <v>0</v>
      </c>
      <c r="BH10" s="16">
        <f t="shared" ca="1" si="18"/>
        <v>1</v>
      </c>
      <c r="BI10" s="16">
        <f t="shared" ca="1" si="19"/>
        <v>2</v>
      </c>
      <c r="BJ10" s="16">
        <f t="shared" ca="1" si="20"/>
        <v>0</v>
      </c>
      <c r="BK10" s="16">
        <f t="shared" ca="1" si="21"/>
        <v>3</v>
      </c>
      <c r="BL10" s="16">
        <f t="shared" ca="1" si="42"/>
        <v>-3</v>
      </c>
      <c r="BM10" s="16" t="str">
        <f t="shared" ca="1" si="22"/>
        <v>3B</v>
      </c>
      <c r="BN10" s="16" t="str">
        <f t="shared" ca="1" si="23"/>
        <v>3B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1</v>
      </c>
      <c r="BS10" s="16">
        <f ca="1">BP10+COUNTIFS($BQ$6:$BQ$53,BQ10,$BR$6:BR$53,"&gt;"&amp;BR10,$BC$6:$BC$53,INDEX(T_Equipos[Grupo],MATCH(BD10,T_Equipos[NombreEquipo],0)))</f>
        <v>3</v>
      </c>
      <c r="BT10" s="16" t="str">
        <f ca="1">IF(COUNTIFS($BS$6:$BS$53,BS10,$BC$6:$BC$53,INDEX(T_Equipos[Grupo],MATCH(BD10,T_Equipos[NombreEquipo],0)))=1,"-","P."&amp;BS10&amp;" ("&amp;COUNTIFS($BS$6:$BS$53,BS10,$BC$6:$BC$53,INDEX(T_Equipos[Grupo],MATCH(BD10,T_Equipos[NombreEquipo],0)))&amp;")")</f>
        <v>P.3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P.3 (2)</v>
      </c>
      <c r="CA10" s="16">
        <f t="shared" ca="1" si="27"/>
        <v>0</v>
      </c>
      <c r="CB10" s="16">
        <f t="shared" ca="1" si="28"/>
        <v>0</v>
      </c>
      <c r="CC10" s="16">
        <f t="shared" ref="CC10:CC53" ca="1" si="49">IF($BZ10="-","-",CA10-CB10)</f>
        <v>0</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P.3 (2)</v>
      </c>
      <c r="CF10" s="16">
        <f t="shared" ca="1" si="29"/>
        <v>0</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P.3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P.3 (2)</v>
      </c>
      <c r="CO10" s="16">
        <f t="shared" ca="1" si="33"/>
        <v>0</v>
      </c>
      <c r="CP10" s="16">
        <f t="shared" ca="1" si="34"/>
        <v>0</v>
      </c>
      <c r="CQ10" s="16">
        <f t="shared" ref="CQ10:CQ53" ca="1" si="51">IF($CN10="-","-",CO10-CP10)</f>
        <v>0</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P.3 (2)</v>
      </c>
      <c r="CT10" s="16">
        <f t="shared" ca="1" si="35"/>
        <v>0</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P.3 (2)</v>
      </c>
      <c r="CW10" s="16">
        <f t="shared" ca="1" si="36"/>
        <v>-3</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ref="DF10:DF53" ca="1" si="52">IF(OR(INDEX($AW$6:$AW$97,MATCH($BD10,$AV$6:$AV$97,0))="",DB10="-"),DD10,INDEX($AW$6:$AW$97,MATCH($BD10,$AV$6:$AV$97,0))+DD10/1000)</f>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6</v>
      </c>
      <c r="BF11" s="16">
        <f t="shared" ca="1" si="41"/>
        <v>3</v>
      </c>
      <c r="BG11" s="16">
        <f t="shared" ca="1" si="17"/>
        <v>2</v>
      </c>
      <c r="BH11" s="16">
        <f t="shared" ca="1" si="18"/>
        <v>0</v>
      </c>
      <c r="BI11" s="16">
        <f t="shared" ca="1" si="19"/>
        <v>1</v>
      </c>
      <c r="BJ11" s="16">
        <f t="shared" ca="1" si="20"/>
        <v>4</v>
      </c>
      <c r="BK11" s="16">
        <f t="shared" ca="1" si="21"/>
        <v>2</v>
      </c>
      <c r="BL11" s="16">
        <f t="shared" ca="1" si="42"/>
        <v>2</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6</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Bosnia y Herzegovina</v>
      </c>
    </row>
    <row r="12" spans="1:121" ht="16.05" customHeight="1" thickBot="1">
      <c r="A12" s="16" t="s">
        <v>32</v>
      </c>
      <c r="B12" s="16" t="s">
        <v>1</v>
      </c>
      <c r="C12" s="16">
        <f>COUNTIF(Equipos!$C$2:$C$49,WORLDCUP!B12)</f>
        <v>4</v>
      </c>
      <c r="D12" s="16" t="str">
        <f t="shared" ref="D12:D17" si="53">IF(OR(AC12="",AD12=""),"Pendiente",IF(AC12&gt;AD12,"Local",IF(AC12&lt;AD12,"Visitante","Empate")))</f>
        <v>Visitante</v>
      </c>
      <c r="E12" s="16" t="str">
        <f t="shared" ref="E12:E17" ca="1" si="54">IF(D12="Pendiente","-",INDEX($BT$6:$BT$53,MATCH($AA12,$BD$6:$BD$53,0)))</f>
        <v>P.3 (2)</v>
      </c>
      <c r="F12" s="16" t="str">
        <f t="shared" ref="F12:F17" ca="1" si="55">IF(D12="Pendiente","-",INDEX($BT$6:$BT$53,MATCH($AF12,$BD$6:$BD$53,0)))</f>
        <v>-</v>
      </c>
      <c r="G12" s="16"/>
      <c r="H12" s="16" t="str">
        <f t="shared" ref="H12:H17" ca="1" si="56">IF(D12="Pendiente","-",INDEX($BZ$6:$BZ$53,MATCH($AA12,$BD$6:$BD$53,0)))</f>
        <v>P.3 (2)</v>
      </c>
      <c r="I12" s="16" t="str">
        <f t="shared" ref="I12:I17" ca="1" si="57">IF(D12="Pendiente","-",INDEX($BZ$6:$BZ$53,MATCH($AF12,$BD$6:$BD$53,0)))</f>
        <v>-</v>
      </c>
      <c r="J12" s="16"/>
      <c r="K12" s="16" t="str">
        <f t="shared" ref="K12:K17" ca="1" si="58">IF(D12="Pendiente","-",INDEX($CE$6:$CE$53,MATCH($AA12,$BD$6:$BD$53,0)))</f>
        <v>P.3 (2)</v>
      </c>
      <c r="L12" s="16" t="str">
        <f t="shared" ref="L12:L17" ca="1" si="59">IF(D12="Pendiente","-",INDEX($CE$6:$CE$53,MATCH($AF12,$BD$6:$BD$53,0)))</f>
        <v>-</v>
      </c>
      <c r="M12" s="16"/>
      <c r="N12" s="16" t="str">
        <f t="shared" ref="N12:N17" ca="1" si="60">IF(D12="Pendiente","-",INDEX($CH$6:$CH$53,MATCH($AA12,$BD$6:$BD$53,0)))</f>
        <v>P.3 (2)</v>
      </c>
      <c r="O12" s="16" t="str">
        <f t="shared" ref="O12:O17" ca="1" si="61">IF(D12="Pendiente","-",INDEX($CH$6:$CH$53,MATCH($AF12,$BD$6:$BD$53,0)))</f>
        <v>-</v>
      </c>
      <c r="P12" s="16"/>
      <c r="Q12" s="16" t="str">
        <f t="shared" ref="Q12:Q17" ca="1" si="62">IF(D12="Pendiente","-",INDEX($CN$6:$CN$53,MATCH($AA12,$BD$6:$BD$53,0)))</f>
        <v>P.3 (2)</v>
      </c>
      <c r="R12" s="16" t="str">
        <f t="shared" ref="R12:R17" ca="1" si="63">IF(D12="Pendiente","-",INDEX($CN$6:$CN$53,MATCH($AF12,$BD$6:$BD$53,0)))</f>
        <v>-</v>
      </c>
      <c r="S12" s="16"/>
      <c r="T12" s="16" t="str">
        <f t="shared" ref="T12:T17" ca="1" si="64">IF(D12="Pendiente","-",INDEX($CS$6:$CS$53,MATCH($AA12,$BD$6:$BD$53,0)))</f>
        <v>P.3 (2)</v>
      </c>
      <c r="U12" s="16" t="str">
        <f t="shared" ref="U12:U17" ca="1" si="65">IF(D12="Pendiente","-",INDEX($CS$6:$CS$53,MATCH($AF12,$BD$6:$BD$53,0)))</f>
        <v>-</v>
      </c>
      <c r="V12" s="17"/>
      <c r="W12" s="640" t="s">
        <v>1</v>
      </c>
      <c r="X12" s="24">
        <f ca="1">Horarios!C12</f>
        <v>46185.875</v>
      </c>
      <c r="Y12" s="25">
        <f ca="1">Horarios!C12</f>
        <v>46185.875</v>
      </c>
      <c r="Z12" s="26" t="str">
        <f>$Z$4</f>
        <v>J1</v>
      </c>
      <c r="AA12" s="27" t="str">
        <f ca="1">A13</f>
        <v>Canadá</v>
      </c>
      <c r="AB12" s="49" t="str" cm="1">
        <f t="array" aca="1" ref="AB12" ca="1">Ver_flag_local</f>
        <v/>
      </c>
      <c r="AC12" s="50">
        <v>0</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0</v>
      </c>
      <c r="BK12" s="16">
        <f t="shared" ca="1" si="21"/>
        <v>5</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1</v>
      </c>
      <c r="BW12" s="16">
        <f t="shared" ca="1" si="26"/>
        <v>0</v>
      </c>
      <c r="BX12" s="16">
        <f t="shared" ca="1" si="48"/>
        <v>1</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0</v>
      </c>
      <c r="CB12" s="16">
        <f t="shared" ca="1" si="28"/>
        <v>0</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0</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1</v>
      </c>
      <c r="CK12" s="16">
        <f t="shared" ca="1" si="32"/>
        <v>0</v>
      </c>
      <c r="CL12" s="16">
        <f t="shared" ca="1" si="50"/>
        <v>1</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0</v>
      </c>
      <c r="CP12" s="16">
        <f t="shared" ca="1" si="34"/>
        <v>0</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0</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-5</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Canadá</v>
      </c>
    </row>
    <row r="13" spans="1:121" ht="16.05" customHeight="1">
      <c r="A13" s="16" t="str">
        <f ca="1">+Equipos!B6</f>
        <v>Canadá</v>
      </c>
      <c r="B13" s="16"/>
      <c r="C13" s="16"/>
      <c r="D13" s="16" t="str">
        <f t="shared" si="53"/>
        <v>Visitante</v>
      </c>
      <c r="E13" s="16" t="str">
        <f t="shared" ca="1" si="54"/>
        <v>P.3 (2)</v>
      </c>
      <c r="F13" s="16" t="str">
        <f t="shared" ca="1" si="55"/>
        <v>-</v>
      </c>
      <c r="G13" s="16"/>
      <c r="H13" s="16" t="str">
        <f t="shared" ca="1" si="56"/>
        <v>P.3 (2)</v>
      </c>
      <c r="I13" s="16" t="str">
        <f t="shared" ca="1" si="57"/>
        <v>-</v>
      </c>
      <c r="J13" s="16"/>
      <c r="K13" s="16" t="str">
        <f t="shared" ca="1" si="58"/>
        <v>P.3 (2)</v>
      </c>
      <c r="L13" s="16" t="str">
        <f t="shared" ca="1" si="59"/>
        <v>-</v>
      </c>
      <c r="M13" s="16"/>
      <c r="N13" s="16" t="str">
        <f t="shared" ca="1" si="60"/>
        <v>P.3 (2)</v>
      </c>
      <c r="O13" s="16" t="str">
        <f t="shared" ca="1" si="61"/>
        <v>-</v>
      </c>
      <c r="P13" s="16"/>
      <c r="Q13" s="16" t="str">
        <f t="shared" ca="1" si="62"/>
        <v>P.3 (2)</v>
      </c>
      <c r="R13" s="16" t="str">
        <f t="shared" ca="1" si="63"/>
        <v>-</v>
      </c>
      <c r="S13" s="16"/>
      <c r="T13" s="16" t="str">
        <f t="shared" ca="1" si="64"/>
        <v>P.3 (2)</v>
      </c>
      <c r="U13" s="16" t="str">
        <f t="shared" ca="1" si="65"/>
        <v>-</v>
      </c>
      <c r="V13" s="17"/>
      <c r="W13" s="640"/>
      <c r="X13" s="24">
        <f ca="1">Horarios!C13</f>
        <v>46186.875</v>
      </c>
      <c r="Y13" s="25">
        <f ca="1">Horarios!C13</f>
        <v>46186.875</v>
      </c>
      <c r="Z13" s="26" t="str">
        <f>$Z$4</f>
        <v>J1</v>
      </c>
      <c r="AA13" s="27" t="str">
        <f ca="1">A15</f>
        <v>Catar</v>
      </c>
      <c r="AB13" s="49" t="str" cm="1">
        <f t="array" aca="1" ref="AB13" ca="1">Ver_flag_local</f>
        <v/>
      </c>
      <c r="AC13" s="50">
        <v>0</v>
      </c>
      <c r="AD13" s="51">
        <v>3</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7</v>
      </c>
      <c r="BK13" s="16">
        <f t="shared" ca="1" si="21"/>
        <v>1</v>
      </c>
      <c r="BL13" s="16">
        <f t="shared" ca="1" si="42"/>
        <v>6</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40"/>
      <c r="X14" s="24">
        <f ca="1">Horarios!C14</f>
        <v>46191.875</v>
      </c>
      <c r="Y14" s="25">
        <f ca="1">Horarios!C14</f>
        <v>46191.875</v>
      </c>
      <c r="Z14" s="26" t="str">
        <f>$Z$6</f>
        <v>J2</v>
      </c>
      <c r="AA14" s="27" t="str">
        <f ca="1">A16</f>
        <v>Suiza</v>
      </c>
      <c r="AB14" s="49" t="str" cm="1">
        <f t="array" aca="1" ref="AB14" ca="1">Ver_flag_local</f>
        <v/>
      </c>
      <c r="AC14" s="50">
        <v>2</v>
      </c>
      <c r="AD14" s="51">
        <v>1</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7</v>
      </c>
      <c r="AS14" s="36">
        <f t="shared" ca="1" si="69"/>
        <v>1</v>
      </c>
      <c r="AT14" s="72">
        <f t="shared" ca="1" si="69"/>
        <v>6</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9</v>
      </c>
      <c r="BK14" s="16">
        <f t="shared" ca="1" si="21"/>
        <v>2</v>
      </c>
      <c r="BL14" s="16">
        <f t="shared" ca="1" si="42"/>
        <v>7</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05" customHeight="1">
      <c r="A15" s="16" t="str">
        <f ca="1">+Equipos!B8</f>
        <v>Catar</v>
      </c>
      <c r="B15" s="16"/>
      <c r="C15" s="16"/>
      <c r="D15" s="16" t="str">
        <f t="shared" si="53"/>
        <v>Empate</v>
      </c>
      <c r="E15" s="16" t="str">
        <f t="shared" ca="1" si="54"/>
        <v>P.3 (2)</v>
      </c>
      <c r="F15" s="16" t="str">
        <f t="shared" ca="1" si="55"/>
        <v>P.3 (2)</v>
      </c>
      <c r="G15" s="16"/>
      <c r="H15" s="16" t="str">
        <f t="shared" ca="1" si="56"/>
        <v>P.3 (2)</v>
      </c>
      <c r="I15" s="16" t="str">
        <f t="shared" ca="1" si="57"/>
        <v>P.3 (2)</v>
      </c>
      <c r="J15" s="16"/>
      <c r="K15" s="16" t="str">
        <f t="shared" ca="1" si="58"/>
        <v>P.3 (2)</v>
      </c>
      <c r="L15" s="16" t="str">
        <f t="shared" ca="1" si="59"/>
        <v>P.3 (2)</v>
      </c>
      <c r="M15" s="16"/>
      <c r="N15" s="16" t="str">
        <f t="shared" ca="1" si="60"/>
        <v>P.3 (2)</v>
      </c>
      <c r="O15" s="16" t="str">
        <f t="shared" ca="1" si="61"/>
        <v>P.3 (2)</v>
      </c>
      <c r="P15" s="16"/>
      <c r="Q15" s="16" t="str">
        <f t="shared" ca="1" si="62"/>
        <v>P.3 (2)</v>
      </c>
      <c r="R15" s="16" t="str">
        <f t="shared" ca="1" si="63"/>
        <v>P.3 (2)</v>
      </c>
      <c r="S15" s="16"/>
      <c r="T15" s="16" t="str">
        <f t="shared" ca="1" si="64"/>
        <v>P.3 (2)</v>
      </c>
      <c r="U15" s="16" t="str">
        <f t="shared" ca="1" si="65"/>
        <v>P.3 (2)</v>
      </c>
      <c r="V15" s="17"/>
      <c r="W15" s="640"/>
      <c r="X15" s="24">
        <f ca="1">Horarios!C15</f>
        <v>46192</v>
      </c>
      <c r="Y15" s="25">
        <f ca="1">Horarios!C15</f>
        <v>46192</v>
      </c>
      <c r="Z15" s="26" t="str">
        <f>$Z$6</f>
        <v>J2</v>
      </c>
      <c r="AA15" s="27" t="str">
        <f ca="1">A13</f>
        <v>Canadá</v>
      </c>
      <c r="AB15" s="49" t="str" cm="1">
        <f t="array" aca="1" ref="AB15" ca="1">Ver_flag_local</f>
        <v/>
      </c>
      <c r="AC15" s="50">
        <v>0</v>
      </c>
      <c r="AD15" s="51">
        <v>0</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Bosnia y Herzegovina</v>
      </c>
      <c r="AM15" s="38">
        <f t="shared" ca="1" si="69"/>
        <v>6</v>
      </c>
      <c r="AN15" s="39">
        <f t="shared" ca="1" si="69"/>
        <v>3</v>
      </c>
      <c r="AO15" s="39">
        <f t="shared" ca="1" si="69"/>
        <v>2</v>
      </c>
      <c r="AP15" s="39">
        <f t="shared" ca="1" si="69"/>
        <v>0</v>
      </c>
      <c r="AQ15" s="39">
        <f t="shared" ca="1" si="69"/>
        <v>1</v>
      </c>
      <c r="AR15" s="39">
        <f t="shared" ca="1" si="69"/>
        <v>4</v>
      </c>
      <c r="AS15" s="39">
        <f t="shared" ca="1" si="69"/>
        <v>2</v>
      </c>
      <c r="AT15" s="74">
        <f t="shared" ca="1" si="69"/>
        <v>2</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7</v>
      </c>
      <c r="BK15" s="16">
        <f t="shared" ca="1" si="21"/>
        <v>3</v>
      </c>
      <c r="BL15" s="16">
        <f t="shared" ca="1" si="42"/>
        <v>4</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05" customHeight="1">
      <c r="A16" s="16" t="str">
        <f ca="1">+Equipos!B9</f>
        <v>Suiza</v>
      </c>
      <c r="B16" s="16"/>
      <c r="C16" s="16"/>
      <c r="D16" s="16" t="str">
        <f t="shared" si="53"/>
        <v>Local</v>
      </c>
      <c r="E16" s="16" t="str">
        <f t="shared" ca="1" si="54"/>
        <v>-</v>
      </c>
      <c r="F16" s="16" t="str">
        <f t="shared" ca="1" si="55"/>
        <v>P.3 (2)</v>
      </c>
      <c r="G16" s="16"/>
      <c r="H16" s="16" t="str">
        <f t="shared" ca="1" si="56"/>
        <v>-</v>
      </c>
      <c r="I16" s="16" t="str">
        <f t="shared" ca="1" si="57"/>
        <v>P.3 (2)</v>
      </c>
      <c r="J16" s="16"/>
      <c r="K16" s="16" t="str">
        <f t="shared" ca="1" si="58"/>
        <v>-</v>
      </c>
      <c r="L16" s="16" t="str">
        <f t="shared" ca="1" si="59"/>
        <v>P.3 (2)</v>
      </c>
      <c r="M16" s="16"/>
      <c r="N16" s="16" t="str">
        <f t="shared" ca="1" si="60"/>
        <v>-</v>
      </c>
      <c r="O16" s="16" t="str">
        <f t="shared" ca="1" si="61"/>
        <v>P.3 (2)</v>
      </c>
      <c r="P16" s="16"/>
      <c r="Q16" s="16" t="str">
        <f t="shared" ca="1" si="62"/>
        <v>-</v>
      </c>
      <c r="R16" s="16" t="str">
        <f t="shared" ca="1" si="63"/>
        <v>P.3 (2)</v>
      </c>
      <c r="S16" s="16"/>
      <c r="T16" s="16" t="str">
        <f t="shared" ca="1" si="64"/>
        <v>-</v>
      </c>
      <c r="U16" s="16" t="str">
        <f t="shared" ca="1" si="65"/>
        <v>P.3 (2)</v>
      </c>
      <c r="V16" s="17"/>
      <c r="W16" s="640"/>
      <c r="X16" s="24">
        <f ca="1">Horarios!C16</f>
        <v>46197.875</v>
      </c>
      <c r="Y16" s="25">
        <f ca="1">Horarios!C16</f>
        <v>46197.875</v>
      </c>
      <c r="Z16" s="26" t="str">
        <f>$Z$8</f>
        <v>J3</v>
      </c>
      <c r="AA16" s="27" t="str">
        <f ca="1">A16</f>
        <v>Suiza</v>
      </c>
      <c r="AB16" s="49" t="str" cm="1">
        <f t="array" aca="1" ref="AB16" ca="1">Ver_flag_local</f>
        <v/>
      </c>
      <c r="AC16" s="50">
        <v>2</v>
      </c>
      <c r="AD16" s="51">
        <v>0</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Canadá</v>
      </c>
      <c r="AM16" s="38">
        <f t="shared" ca="1" si="69"/>
        <v>1</v>
      </c>
      <c r="AN16" s="39">
        <f t="shared" ca="1" si="69"/>
        <v>3</v>
      </c>
      <c r="AO16" s="39">
        <f t="shared" ca="1" si="69"/>
        <v>0</v>
      </c>
      <c r="AP16" s="39">
        <f t="shared" ca="1" si="69"/>
        <v>1</v>
      </c>
      <c r="AQ16" s="39">
        <f t="shared" ca="1" si="69"/>
        <v>2</v>
      </c>
      <c r="AR16" s="39">
        <f t="shared" ca="1" si="69"/>
        <v>0</v>
      </c>
      <c r="AS16" s="39">
        <f t="shared" ca="1" si="69"/>
        <v>3</v>
      </c>
      <c r="AT16" s="74">
        <f t="shared" ca="1" si="69"/>
        <v>-3</v>
      </c>
      <c r="AU16" s="330">
        <f ca="1">INDEX($DL$6:$DL$53,MATCH(AI16,$DP$6:$DP$53,0))</f>
        <v>1</v>
      </c>
      <c r="AV16" s="182" t="str">
        <f ca="1">INDEX($BD$6:$BD$53,MATCH(AI16,$BM$6:$BM$53,0))</f>
        <v>Canadá</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P.3 (2)</v>
      </c>
      <c r="G17" s="16"/>
      <c r="H17" s="16" t="str">
        <f t="shared" ca="1" si="56"/>
        <v>-</v>
      </c>
      <c r="I17" s="16" t="str">
        <f t="shared" ca="1" si="57"/>
        <v>P.3 (2)</v>
      </c>
      <c r="J17" s="16"/>
      <c r="K17" s="16" t="str">
        <f t="shared" ca="1" si="58"/>
        <v>-</v>
      </c>
      <c r="L17" s="16" t="str">
        <f t="shared" ca="1" si="59"/>
        <v>P.3 (2)</v>
      </c>
      <c r="M17" s="16"/>
      <c r="N17" s="16" t="str">
        <f t="shared" ca="1" si="60"/>
        <v>-</v>
      </c>
      <c r="O17" s="16" t="str">
        <f t="shared" ca="1" si="61"/>
        <v>P.3 (2)</v>
      </c>
      <c r="P17" s="16"/>
      <c r="Q17" s="16" t="str">
        <f t="shared" ca="1" si="62"/>
        <v>-</v>
      </c>
      <c r="R17" s="16" t="str">
        <f t="shared" ca="1" si="63"/>
        <v>P.3 (2)</v>
      </c>
      <c r="S17" s="16"/>
      <c r="T17" s="16" t="str">
        <f t="shared" ca="1" si="64"/>
        <v>-</v>
      </c>
      <c r="U17" s="16" t="str">
        <f t="shared" ca="1" si="65"/>
        <v>P.3 (2)</v>
      </c>
      <c r="V17" s="17"/>
      <c r="W17" s="641"/>
      <c r="X17" s="28">
        <f ca="1">Horarios!C17</f>
        <v>46197.875</v>
      </c>
      <c r="Y17" s="29">
        <f ca="1">Horarios!C17</f>
        <v>46197.875</v>
      </c>
      <c r="Z17" s="30" t="str">
        <f>$Z$8</f>
        <v>J3</v>
      </c>
      <c r="AA17" s="31" t="str">
        <f ca="1">A14</f>
        <v>Bosnia y Herzegovina</v>
      </c>
      <c r="AB17" s="52" t="str" cm="1">
        <f t="array" aca="1" ref="AB17" ca="1">Ver_flag_local</f>
        <v/>
      </c>
      <c r="AC17" s="53">
        <v>2</v>
      </c>
      <c r="AD17" s="54">
        <v>0</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0</v>
      </c>
      <c r="AS17" s="78">
        <f t="shared" ca="1" si="69"/>
        <v>5</v>
      </c>
      <c r="AT17" s="79">
        <f t="shared" ca="1" si="69"/>
        <v>-5</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6</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4</v>
      </c>
      <c r="BK18" s="16">
        <f t="shared" ca="1" si="21"/>
        <v>3</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3</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Estados Unidos</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9" t="s">
        <v>2</v>
      </c>
      <c r="X20" s="24">
        <f ca="1">Horarios!C20</f>
        <v>46187</v>
      </c>
      <c r="Y20" s="25">
        <f ca="1">Horarios!C20</f>
        <v>46187</v>
      </c>
      <c r="Z20" s="26" t="str">
        <f>$Z$4</f>
        <v>J1</v>
      </c>
      <c r="AA20" s="27" t="str">
        <f ca="1">A21</f>
        <v>Brasil</v>
      </c>
      <c r="AB20" s="49" t="str" cm="1">
        <f t="array" aca="1" ref="AB20" ca="1">Ver_flag_local</f>
        <v/>
      </c>
      <c r="AC20" s="50">
        <v>2</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2</v>
      </c>
      <c r="BK20" s="16">
        <f t="shared" ca="1" si="21"/>
        <v>5</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9"/>
      <c r="X21" s="24">
        <f ca="1">Horarios!C21</f>
        <v>46187.125</v>
      </c>
      <c r="Y21" s="25">
        <f ca="1">Horarios!C21</f>
        <v>46187.125</v>
      </c>
      <c r="Z21" s="26" t="str">
        <f>$Z$4</f>
        <v>J1</v>
      </c>
      <c r="AA21" s="27" t="str">
        <f ca="1">A23</f>
        <v>Haití</v>
      </c>
      <c r="AB21" s="49" t="str" cm="1">
        <f t="array" aca="1" ref="AB21" ca="1">Ver_flag_local</f>
        <v/>
      </c>
      <c r="AC21" s="50">
        <v>0</v>
      </c>
      <c r="AD21" s="51">
        <v>2</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5</v>
      </c>
      <c r="BK21" s="16">
        <f t="shared" ca="1" si="21"/>
        <v>2</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9"/>
      <c r="X22" s="24">
        <f ca="1">Horarios!C22</f>
        <v>46193</v>
      </c>
      <c r="Y22" s="25">
        <f ca="1">Horarios!C22</f>
        <v>46193</v>
      </c>
      <c r="Z22" s="26" t="str">
        <f>$Z$6</f>
        <v>J2</v>
      </c>
      <c r="AA22" s="27" t="str">
        <f ca="1">A24</f>
        <v>Escocia</v>
      </c>
      <c r="AB22" s="49" t="str" cm="1">
        <f t="array" aca="1" ref="AB22" ca="1">Ver_flag_local</f>
        <v/>
      </c>
      <c r="AC22" s="50">
        <v>1</v>
      </c>
      <c r="AD22" s="51">
        <v>3</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9</v>
      </c>
      <c r="AS22" s="36">
        <f t="shared" ca="1" si="87"/>
        <v>2</v>
      </c>
      <c r="AT22" s="41">
        <f t="shared" ca="1" si="87"/>
        <v>7</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9"/>
      <c r="X23" s="24">
        <f ca="1">Horarios!C23</f>
        <v>46193.104166666664</v>
      </c>
      <c r="Y23" s="25">
        <f ca="1">Horarios!C23</f>
        <v>46193.104166666664</v>
      </c>
      <c r="Z23" s="26" t="str">
        <f>$Z$6</f>
        <v>J2</v>
      </c>
      <c r="AA23" s="27" t="str">
        <f ca="1">A21</f>
        <v>Brasil</v>
      </c>
      <c r="AB23" s="49" t="str" cm="1">
        <f t="array" aca="1" ref="AB23" ca="1">Ver_flag_local</f>
        <v/>
      </c>
      <c r="AC23" s="50">
        <v>4</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7</v>
      </c>
      <c r="AS23" s="39">
        <f t="shared" ca="1" si="87"/>
        <v>3</v>
      </c>
      <c r="AT23" s="43">
        <f t="shared" ca="1" si="87"/>
        <v>4</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10</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9"/>
      <c r="X24" s="24">
        <f ca="1">Horarios!C24</f>
        <v>46198</v>
      </c>
      <c r="Y24" s="25">
        <f ca="1">Horarios!C24</f>
        <v>46198</v>
      </c>
      <c r="Z24" s="26" t="str">
        <f>$Z$8</f>
        <v>J3</v>
      </c>
      <c r="AA24" s="27" t="str">
        <f ca="1">A24</f>
        <v>Escocia</v>
      </c>
      <c r="AB24" s="49" t="str" cm="1">
        <f t="array" aca="1" ref="AB24" ca="1">Ver_flag_local</f>
        <v/>
      </c>
      <c r="AC24" s="50">
        <v>1</v>
      </c>
      <c r="AD24" s="51">
        <v>3</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6</v>
      </c>
      <c r="AT24" s="43">
        <f t="shared" ca="1" si="87"/>
        <v>-2</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6</v>
      </c>
      <c r="BK24" s="16">
        <f t="shared" ca="1" si="21"/>
        <v>5</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50"/>
      <c r="X25" s="28">
        <f ca="1">Horarios!C25</f>
        <v>46198</v>
      </c>
      <c r="Y25" s="29">
        <f ca="1">Horarios!C25</f>
        <v>46198</v>
      </c>
      <c r="Z25" s="30" t="str">
        <f>$Z$8</f>
        <v>J3</v>
      </c>
      <c r="AA25" s="31" t="str">
        <f ca="1">A22</f>
        <v>Marruecos</v>
      </c>
      <c r="AB25" s="52" t="str" cm="1">
        <f t="array" aca="1" ref="AB25" ca="1">Ver_flag_local</f>
        <v/>
      </c>
      <c r="AC25" s="53">
        <v>3</v>
      </c>
      <c r="AD25" s="54">
        <v>0</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5</v>
      </c>
      <c r="BF25" s="16">
        <f t="shared" ca="1" si="41"/>
        <v>3</v>
      </c>
      <c r="BG25" s="16">
        <f t="shared" ca="1" si="17"/>
        <v>1</v>
      </c>
      <c r="BH25" s="16">
        <f t="shared" ca="1" si="18"/>
        <v>2</v>
      </c>
      <c r="BI25" s="16">
        <f t="shared" ca="1" si="19"/>
        <v>0</v>
      </c>
      <c r="BJ25" s="16">
        <f t="shared" ca="1" si="20"/>
        <v>6</v>
      </c>
      <c r="BK25" s="16">
        <f t="shared" ca="1" si="21"/>
        <v>3</v>
      </c>
      <c r="BL25" s="16">
        <f t="shared" ca="1" si="42"/>
        <v>3</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5</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5</v>
      </c>
      <c r="BF26" s="16">
        <f t="shared" ca="1" si="41"/>
        <v>3</v>
      </c>
      <c r="BG26" s="16">
        <f t="shared" ca="1" si="17"/>
        <v>1</v>
      </c>
      <c r="BH26" s="16">
        <f t="shared" ca="1" si="18"/>
        <v>2</v>
      </c>
      <c r="BI26" s="16">
        <f t="shared" ca="1" si="19"/>
        <v>0</v>
      </c>
      <c r="BJ26" s="16">
        <f t="shared" ca="1" si="20"/>
        <v>6</v>
      </c>
      <c r="BK26" s="16">
        <f t="shared" ca="1" si="21"/>
        <v>3</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5</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(3)</v>
      </c>
      <c r="BU26" s="16">
        <f t="shared" ca="1" si="24"/>
        <v>0</v>
      </c>
      <c r="BV26" s="16">
        <f t="shared" ca="1" si="25"/>
        <v>2</v>
      </c>
      <c r="BW26" s="16">
        <f t="shared" ca="1" si="26"/>
        <v>0</v>
      </c>
      <c r="BX26" s="16">
        <f t="shared" ca="1" si="48"/>
        <v>2</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(3)</v>
      </c>
      <c r="CA26" s="16">
        <f t="shared" ca="1" si="27"/>
        <v>2</v>
      </c>
      <c r="CB26" s="16">
        <f t="shared" ca="1" si="28"/>
        <v>2</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(3)</v>
      </c>
      <c r="CF26" s="16">
        <f t="shared" ca="1" si="29"/>
        <v>2</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(3)</v>
      </c>
      <c r="CI26" s="16">
        <f t="shared" ca="1" si="30"/>
        <v>0</v>
      </c>
      <c r="CJ26" s="16">
        <f t="shared" ca="1" si="31"/>
        <v>2</v>
      </c>
      <c r="CK26" s="16">
        <f t="shared" ca="1" si="32"/>
        <v>0</v>
      </c>
      <c r="CL26" s="16">
        <f t="shared" ca="1" si="50"/>
        <v>2</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(3)</v>
      </c>
      <c r="CO26" s="16">
        <f t="shared" ca="1" si="33"/>
        <v>2</v>
      </c>
      <c r="CP26" s="16">
        <f t="shared" ca="1" si="34"/>
        <v>2</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(3)</v>
      </c>
      <c r="CT26" s="16">
        <f t="shared" ca="1" si="35"/>
        <v>2</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(3)</v>
      </c>
      <c r="CW26" s="16">
        <f t="shared" ca="1" si="36"/>
        <v>3</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5</v>
      </c>
      <c r="BK27" s="16">
        <f t="shared" ca="1" si="21"/>
        <v>3</v>
      </c>
      <c r="BL27" s="16">
        <f t="shared" ca="1" si="42"/>
        <v>2</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1</v>
      </c>
      <c r="BT27" s="16" t="str">
        <f ca="1">IF(COUNTIFS($BS$6:$BS$53,BS27,$BC$6:$BC$53,INDEX(T_Equipos[Grupo],MATCH(BD27,T_Equipos[NombreEquipo],0)))=1,"-","P."&amp;BS27&amp;" ("&amp;COUNTIFS($BS$6:$BS$53,BS27,$BC$6:$BC$53,INDEX(T_Equipos[Grupo],MATCH(BD27,T_Equipos[NombreEquipo],0)))&amp;")")</f>
        <v>P.1 (3)</v>
      </c>
      <c r="BU27" s="16">
        <f t="shared" ca="1" si="24"/>
        <v>0</v>
      </c>
      <c r="BV27" s="16">
        <f t="shared" ca="1" si="25"/>
        <v>2</v>
      </c>
      <c r="BW27" s="16">
        <f t="shared" ca="1" si="26"/>
        <v>0</v>
      </c>
      <c r="BX27" s="16">
        <f t="shared" ca="1" si="48"/>
        <v>2</v>
      </c>
      <c r="BY27" s="16">
        <f ca="1">BS27+COUNTIFS($BT$6:$BT$53,BT27,$BX$6:BX$53,"&gt;"&amp;BX27,$BC$6:$BC$53,INDEX(T_Equipos[Grupo],MATCH(BD27,T_Equipos[NombreEquipo],0)))</f>
        <v>1</v>
      </c>
      <c r="BZ27" s="16" t="str">
        <f ca="1">IF(COUNTIFS($BY$6:$BY$53,BY27,$BC$6:$BC$53,INDEX(T_Equipos[Grupo],MATCH(BD27,T_Equipos[NombreEquipo],0)))=1,"-","P."&amp;BY27&amp;" ("&amp;COUNTIFS($BY$6:$BY$53,BY27,$BC$6:$BC$53,INDEX(T_Equipos[Grupo],MATCH(BD27,T_Equipos[NombreEquipo],0)))&amp;")")</f>
        <v>P.1 (3)</v>
      </c>
      <c r="CA27" s="16">
        <f t="shared" ca="1" si="27"/>
        <v>2</v>
      </c>
      <c r="CB27" s="16">
        <f t="shared" ca="1" si="28"/>
        <v>2</v>
      </c>
      <c r="CC27" s="16">
        <f t="shared" ca="1" si="49"/>
        <v>0</v>
      </c>
      <c r="CD27" s="16">
        <f ca="1">BY27+COUNTIFS($BZ$6:$BZ$53,BZ27,$CC$6:CC$53,"&gt;"&amp;CC27,$BC$6:$BC$53,INDEX(T_Equipos[Grupo],MATCH(BD27,T_Equipos[NombreEquipo],0)))</f>
        <v>1</v>
      </c>
      <c r="CE27" s="16" t="str">
        <f ca="1">IF(COUNTIFS($CD$6:$CD$53,CD27,$BC$6:$BC$53,INDEX(T_Equipos[Grupo],MATCH(BD27,T_Equipos[NombreEquipo],0)))=1,"-","P."&amp;CD27&amp;" ("&amp;COUNTIFS($CD$6:$CD$53,CD27,$BC$6:$BC$53,INDEX(T_Equipos[Grupo],MATCH(BD27,T_Equipos[NombreEquipo],0)))&amp;")")</f>
        <v>P.1 (3)</v>
      </c>
      <c r="CF27" s="16">
        <f t="shared" ca="1" si="29"/>
        <v>2</v>
      </c>
      <c r="CG27" s="16">
        <f ca="1">CD27+COUNTIFS($CE$6:$CE$53,CE27,$CF$6:CF$53,"&gt;"&amp;CF27,$BC$6:$BC$53,INDEX(T_Equipos[Grupo],MATCH(BD27,T_Equipos[NombreEquipo],0)))</f>
        <v>1</v>
      </c>
      <c r="CH27" s="16" t="str">
        <f ca="1">IF(COUNTIFS($CG$6:$CG$53,CG27,$BC$6:$BC$53,INDEX(T_Equipos[Grupo],MATCH(BD27,T_Equipos[NombreEquipo],0)))=1,"-","P."&amp;CG27&amp;" ("&amp;COUNTIFS($CG$6:$CG$53,CG27,$BC$6:$BC$53,INDEX(T_Equipos[Grupo],MATCH(BD27,T_Equipos[NombreEquipo],0)))&amp;")")</f>
        <v>P.1 (3)</v>
      </c>
      <c r="CI27" s="16">
        <f t="shared" ca="1" si="30"/>
        <v>0</v>
      </c>
      <c r="CJ27" s="16">
        <f t="shared" ca="1" si="31"/>
        <v>2</v>
      </c>
      <c r="CK27" s="16">
        <f t="shared" ca="1" si="32"/>
        <v>0</v>
      </c>
      <c r="CL27" s="16">
        <f t="shared" ca="1" si="50"/>
        <v>2</v>
      </c>
      <c r="CM27" s="16">
        <f ca="1">CG27+COUNTIFS($CH$6:$CH$53,CH27,$CL$6:CL$53,"&gt;"&amp;CL27,$BC$6:$BC$53,INDEX(T_Equipos[Grupo],MATCH(BD27,T_Equipos[NombreEquipo],0)))</f>
        <v>1</v>
      </c>
      <c r="CN27" s="16" t="str">
        <f ca="1">IF(COUNTIFS($CM$6:$CM$53,CM27,$BC$6:$BC$53,INDEX(T_Equipos[Grupo],MATCH(BD27,T_Equipos[NombreEquipo],0)))=1,"-","P."&amp;CM27&amp;" ("&amp;COUNTIFS($CM$6:$CM$53,CM27,$BC$6:$BC$53,INDEX(T_Equipos[Grupo],MATCH(BD27,T_Equipos[NombreEquipo],0)))&amp;")")</f>
        <v>P.1 (3)</v>
      </c>
      <c r="CO27" s="16">
        <f t="shared" ca="1" si="33"/>
        <v>2</v>
      </c>
      <c r="CP27" s="16">
        <f t="shared" ca="1" si="34"/>
        <v>2</v>
      </c>
      <c r="CQ27" s="16">
        <f t="shared" ca="1" si="51"/>
        <v>0</v>
      </c>
      <c r="CR27" s="16">
        <f ca="1">CM27+COUNTIFS($CN$6:$CN$53,CN27,$CQ$6:CQ$53,"&gt;"&amp;CQ27,$BC$6:$BC$53,INDEX(T_Equipos[Grupo],MATCH(BD27,T_Equipos[NombreEquipo],0)))</f>
        <v>1</v>
      </c>
      <c r="CS27" s="16" t="str">
        <f ca="1">IF(COUNTIFS($CR$6:$CR$53,CR27,$BC$6:$BC$53,INDEX(T_Equipos[Grupo],MATCH(BD27,T_Equipos[NombreEquipo],0)))=1,"-","P."&amp;CR27&amp;" ("&amp;COUNTIFS($CR$6:$CR$53,CR27,$BC$6:$BC$53,INDEX(T_Equipos[Grupo],MATCH(BD27,T_Equipos[NombreEquipo],0)))&amp;")")</f>
        <v>P.1 (3)</v>
      </c>
      <c r="CT27" s="16">
        <f t="shared" ca="1" si="35"/>
        <v>2</v>
      </c>
      <c r="CU27" s="16">
        <f ca="1">CR27+COUNTIFS($CS$6:$CS$53,CS27,$CT$6:CT$53,"&gt;"&amp;CT27,$BC$6:$BC$53,INDEX(T_Equipos[Grupo],MATCH(BD27,T_Equipos[NombreEquipo],0)))</f>
        <v>1</v>
      </c>
      <c r="CV27" s="16" t="str">
        <f ca="1">IF(COUNTIFS($CU$6:$CU$53,CU27,$BC$6:$BC$53,INDEX(T_Equipos[Grupo],MATCH(BD27,T_Equipos[NombreEquipo],0)))=1,"-","P."&amp;CU27&amp;" ("&amp;COUNTIFS($CU$6:$CU$53,CU27,$BC$6:$BC$53,INDEX(T_Equipos[Grupo],MATCH(BD27,T_Equipos[NombreEquipo],0)))&amp;")")</f>
        <v>P.1 (3)</v>
      </c>
      <c r="CW27" s="16">
        <f t="shared" ca="1" si="36"/>
        <v>2</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0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1" t="s">
        <v>74</v>
      </c>
      <c r="X28" s="24">
        <f ca="1">Horarios!C28</f>
        <v>46186.125</v>
      </c>
      <c r="Y28" s="25">
        <f ca="1">Horarios!C28</f>
        <v>46186.125</v>
      </c>
      <c r="Z28" s="26" t="str">
        <f>$Z$4</f>
        <v>J1</v>
      </c>
      <c r="AA28" s="27" t="str">
        <f ca="1">A29</f>
        <v>Estados Unidos</v>
      </c>
      <c r="AB28" s="49" t="str" cm="1">
        <f t="array" aca="1" ref="AB28" ca="1">Ver_flag_local</f>
        <v/>
      </c>
      <c r="AC28" s="50">
        <v>2</v>
      </c>
      <c r="AD28" s="51">
        <v>0</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5</v>
      </c>
      <c r="BF28" s="16">
        <f t="shared" ca="1" si="41"/>
        <v>3</v>
      </c>
      <c r="BG28" s="16">
        <f t="shared" ca="1" si="17"/>
        <v>1</v>
      </c>
      <c r="BH28" s="16">
        <f t="shared" ca="1" si="18"/>
        <v>2</v>
      </c>
      <c r="BI28" s="16">
        <f t="shared" ca="1" si="19"/>
        <v>0</v>
      </c>
      <c r="BJ28" s="16">
        <f t="shared" ca="1" si="20"/>
        <v>4</v>
      </c>
      <c r="BK28" s="16">
        <f t="shared" ca="1" si="21"/>
        <v>3</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5</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(3)</v>
      </c>
      <c r="BU28" s="16">
        <f t="shared" ca="1" si="24"/>
        <v>0</v>
      </c>
      <c r="BV28" s="16">
        <f t="shared" ca="1" si="25"/>
        <v>2</v>
      </c>
      <c r="BW28" s="16">
        <f t="shared" ca="1" si="26"/>
        <v>0</v>
      </c>
      <c r="BX28" s="16">
        <f t="shared" ca="1" si="48"/>
        <v>2</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(3)</v>
      </c>
      <c r="CA28" s="16">
        <f t="shared" ca="1" si="27"/>
        <v>2</v>
      </c>
      <c r="CB28" s="16">
        <f t="shared" ca="1" si="28"/>
        <v>2</v>
      </c>
      <c r="CC28" s="16">
        <f t="shared" ca="1" si="49"/>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(3)</v>
      </c>
      <c r="CF28" s="16">
        <f t="shared" ca="1" si="29"/>
        <v>2</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(3)</v>
      </c>
      <c r="CI28" s="16">
        <f t="shared" ca="1" si="30"/>
        <v>0</v>
      </c>
      <c r="CJ28" s="16">
        <f t="shared" ca="1" si="31"/>
        <v>2</v>
      </c>
      <c r="CK28" s="16">
        <f t="shared" ca="1" si="32"/>
        <v>0</v>
      </c>
      <c r="CL28" s="16">
        <f t="shared" ca="1" si="50"/>
        <v>2</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(3)</v>
      </c>
      <c r="CO28" s="16">
        <f t="shared" ca="1" si="33"/>
        <v>2</v>
      </c>
      <c r="CP28" s="16">
        <f t="shared" ca="1" si="34"/>
        <v>2</v>
      </c>
      <c r="CQ28" s="16">
        <f t="shared" ca="1" si="51"/>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(3)</v>
      </c>
      <c r="CT28" s="16">
        <f t="shared" ca="1" si="35"/>
        <v>2</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(3)</v>
      </c>
      <c r="CW28" s="16">
        <f t="shared" ca="1" si="36"/>
        <v>1</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1"/>
      <c r="X29" s="24">
        <f ca="1">Horarios!C29</f>
        <v>46187.25</v>
      </c>
      <c r="Y29" s="25">
        <f ca="1">Horarios!C29</f>
        <v>46187.25</v>
      </c>
      <c r="Z29" s="26" t="str">
        <f>$Z$4</f>
        <v>J1</v>
      </c>
      <c r="AA29" s="27" t="str">
        <f ca="1">A31</f>
        <v>Australia</v>
      </c>
      <c r="AB29" s="49" t="str" cm="1">
        <f t="array" aca="1" ref="AB29" ca="1">Ver_flag_local</f>
        <v/>
      </c>
      <c r="AC29" s="50">
        <v>1</v>
      </c>
      <c r="AD29" s="51">
        <v>2</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3</v>
      </c>
      <c r="BK29" s="16">
        <f t="shared" ca="1" si="21"/>
        <v>9</v>
      </c>
      <c r="BL29" s="16">
        <f t="shared" ca="1" si="42"/>
        <v>-6</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1"/>
      <c r="X30" s="24">
        <f ca="1">Horarios!C30</f>
        <v>46192.875</v>
      </c>
      <c r="Y30" s="25">
        <f ca="1">Horarios!C30</f>
        <v>46192.875</v>
      </c>
      <c r="Z30" s="26" t="str">
        <f>$Z$6</f>
        <v>J2</v>
      </c>
      <c r="AA30" s="27" t="str">
        <f ca="1">A29</f>
        <v>Estados Unidos</v>
      </c>
      <c r="AB30" s="49" t="str" cm="1">
        <f t="array" aca="1" ref="AB30" ca="1">Ver_flag_local</f>
        <v/>
      </c>
      <c r="AC30" s="50">
        <v>2</v>
      </c>
      <c r="AD30" s="51">
        <v>1</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2</v>
      </c>
      <c r="AT30" s="41">
        <f t="shared" ca="1" si="107"/>
        <v>3</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05" customHeight="1">
      <c r="A31" s="16" t="str">
        <f ca="1">+Equipos!B16</f>
        <v>Australia</v>
      </c>
      <c r="B31" s="16"/>
      <c r="C31" s="16"/>
      <c r="D31" s="16" t="str">
        <f t="shared" si="91"/>
        <v>Empate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1"/>
      <c r="X31" s="24">
        <f ca="1">Horarios!C31</f>
        <v>46193.208333333336</v>
      </c>
      <c r="Y31" s="25">
        <f ca="1">Horarios!C31</f>
        <v>46193.208333333336</v>
      </c>
      <c r="Z31" s="26" t="str">
        <f>$Z$6</f>
        <v>J2</v>
      </c>
      <c r="AA31" s="27" t="str">
        <f ca="1">A32</f>
        <v>Turquía</v>
      </c>
      <c r="AB31" s="49" t="str" cm="1">
        <f t="array" aca="1" ref="AB31" ca="1">Ver_flag_local</f>
        <v/>
      </c>
      <c r="AC31" s="50">
        <v>1</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Estados Unidos</v>
      </c>
      <c r="AM31" s="38">
        <f t="shared" ca="1" si="107"/>
        <v>6</v>
      </c>
      <c r="AN31" s="39">
        <f t="shared" ca="1" si="107"/>
        <v>3</v>
      </c>
      <c r="AO31" s="39">
        <f t="shared" ca="1" si="107"/>
        <v>2</v>
      </c>
      <c r="AP31" s="39">
        <f t="shared" ca="1" si="107"/>
        <v>0</v>
      </c>
      <c r="AQ31" s="39">
        <f t="shared" ca="1" si="107"/>
        <v>1</v>
      </c>
      <c r="AR31" s="39">
        <f t="shared" ca="1" si="107"/>
        <v>4</v>
      </c>
      <c r="AS31" s="39">
        <f t="shared" ca="1" si="107"/>
        <v>3</v>
      </c>
      <c r="AT31" s="43">
        <f t="shared" ca="1" si="107"/>
        <v>1</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4</v>
      </c>
      <c r="BK31" s="16">
        <f t="shared" ca="1" si="21"/>
        <v>2</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0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1"/>
      <c r="X32" s="24">
        <f ca="1">Horarios!C32</f>
        <v>46199.166666666664</v>
      </c>
      <c r="Y32" s="25">
        <f ca="1">Horarios!C32</f>
        <v>46199.166666666664</v>
      </c>
      <c r="Z32" s="26" t="str">
        <f>$Z$8</f>
        <v>J3</v>
      </c>
      <c r="AA32" s="27" t="str">
        <f ca="1">A32</f>
        <v>Turquía</v>
      </c>
      <c r="AB32" s="49" t="str" cm="1">
        <f t="array" aca="1" ref="AB32" ca="1">Ver_flag_local</f>
        <v/>
      </c>
      <c r="AC32" s="50">
        <v>2</v>
      </c>
      <c r="AD32" s="51">
        <v>0</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3</v>
      </c>
      <c r="AT32" s="43">
        <f t="shared" ca="1" si="107"/>
        <v>-1</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3</v>
      </c>
      <c r="BK32" s="16">
        <f t="shared" ca="1" si="21"/>
        <v>4</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2"/>
      <c r="X33" s="28">
        <f ca="1">Horarios!C33</f>
        <v>46199.166666666664</v>
      </c>
      <c r="Y33" s="29">
        <f ca="1">Horarios!C33</f>
        <v>46199.166666666664</v>
      </c>
      <c r="Z33" s="30" t="str">
        <f>$Z$8</f>
        <v>J3</v>
      </c>
      <c r="AA33" s="31" t="str">
        <f ca="1">A30</f>
        <v>Paraguay</v>
      </c>
      <c r="AB33" s="52" t="str" cm="1">
        <f t="array" aca="1" ref="AB33" ca="1">Ver_flag_local</f>
        <v/>
      </c>
      <c r="AC33" s="53">
        <v>1</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2</v>
      </c>
      <c r="AS33" s="47">
        <f t="shared" ca="1" si="107"/>
        <v>5</v>
      </c>
      <c r="AT33" s="48">
        <f t="shared" ca="1" si="107"/>
        <v>-3</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5</v>
      </c>
      <c r="BL33" s="16">
        <f t="shared" ca="1" si="42"/>
        <v>-5</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0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12</v>
      </c>
      <c r="BK34" s="16">
        <f t="shared" ca="1" si="21"/>
        <v>1</v>
      </c>
      <c r="BL34" s="16">
        <f t="shared" ca="1" si="42"/>
        <v>11</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10</v>
      </c>
      <c r="BL35" s="16">
        <f t="shared" ca="1" si="42"/>
        <v>-9</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3" t="s">
        <v>3</v>
      </c>
      <c r="X36" s="24">
        <f ca="1">Horarios!C36</f>
        <v>46187.791666666664</v>
      </c>
      <c r="Y36" s="25">
        <f ca="1">Horarios!C36</f>
        <v>46187.791666666664</v>
      </c>
      <c r="Z36" s="26" t="str">
        <f>$Z$4</f>
        <v>J1</v>
      </c>
      <c r="AA36" s="27" t="str">
        <f ca="1">A37</f>
        <v>Alemania</v>
      </c>
      <c r="AB36" s="49" t="str" cm="1">
        <f t="array" aca="1" ref="AB36" ca="1">Ver_flag_local</f>
        <v/>
      </c>
      <c r="AC36" s="50">
        <v>4</v>
      </c>
      <c r="AD36" s="51">
        <v>0</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6</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Empate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3"/>
      <c r="X37" s="24">
        <f ca="1">Horarios!C37</f>
        <v>46188.041666666664</v>
      </c>
      <c r="Y37" s="25">
        <f ca="1">Horarios!C37</f>
        <v>46188.041666666664</v>
      </c>
      <c r="Z37" s="26" t="str">
        <f>$Z$4</f>
        <v>J1</v>
      </c>
      <c r="AA37" s="27" t="str">
        <f ca="1">A39</f>
        <v>Costa de Marfil</v>
      </c>
      <c r="AB37" s="49" t="str" cm="1">
        <f t="array" aca="1" ref="AB37" ca="1">Ver_flag_local</f>
        <v/>
      </c>
      <c r="AC37" s="50">
        <v>2</v>
      </c>
      <c r="AD37" s="51">
        <v>2</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4</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3"/>
      <c r="X38" s="24">
        <f ca="1">Horarios!C38</f>
        <v>46193.916666666664</v>
      </c>
      <c r="Y38" s="25">
        <f ca="1">Horarios!C38</f>
        <v>46193.916666666664</v>
      </c>
      <c r="Z38" s="26" t="str">
        <f>$Z$6</f>
        <v>J2</v>
      </c>
      <c r="AA38" s="27" t="str">
        <f ca="1">A37</f>
        <v>Alemania</v>
      </c>
      <c r="AB38" s="49" t="str" cm="1">
        <f t="array" aca="1" ref="AB38" ca="1">Ver_flag_local</f>
        <v/>
      </c>
      <c r="AC38" s="50">
        <v>2</v>
      </c>
      <c r="AD38" s="51">
        <v>1</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7</v>
      </c>
      <c r="AS38" s="36">
        <f t="shared" ca="1" si="127"/>
        <v>2</v>
      </c>
      <c r="AT38" s="41">
        <f t="shared" ca="1" si="127"/>
        <v>5</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3"/>
      <c r="X39" s="24">
        <f ca="1">Horarios!C39</f>
        <v>46194.083333333336</v>
      </c>
      <c r="Y39" s="25">
        <f ca="1">Horarios!C39</f>
        <v>46194.083333333336</v>
      </c>
      <c r="Z39" s="26" t="str">
        <f>$Z$6</f>
        <v>J2</v>
      </c>
      <c r="AA39" s="27" t="str">
        <f ca="1">A40</f>
        <v>Ecuador</v>
      </c>
      <c r="AB39" s="49" t="str" cm="1">
        <f t="array" aca="1" ref="AB39" ca="1">Ver_flag_local</f>
        <v/>
      </c>
      <c r="AC39" s="50">
        <v>3</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Ecuador</v>
      </c>
      <c r="AM39" s="38">
        <f t="shared" ca="1" si="127"/>
        <v>5</v>
      </c>
      <c r="AN39" s="39">
        <f t="shared" ca="1" si="127"/>
        <v>3</v>
      </c>
      <c r="AO39" s="39">
        <f t="shared" ca="1" si="127"/>
        <v>1</v>
      </c>
      <c r="AP39" s="39">
        <f t="shared" ca="1" si="127"/>
        <v>2</v>
      </c>
      <c r="AQ39" s="39">
        <f t="shared" ca="1" si="127"/>
        <v>0</v>
      </c>
      <c r="AR39" s="39">
        <f t="shared" ca="1" si="127"/>
        <v>6</v>
      </c>
      <c r="AS39" s="39">
        <f t="shared" ca="1" si="127"/>
        <v>3</v>
      </c>
      <c r="AT39" s="43">
        <f t="shared" ca="1" si="127"/>
        <v>3</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2</v>
      </c>
      <c r="BK39" s="16">
        <f t="shared" ca="1" si="21"/>
        <v>4</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3"/>
      <c r="X40" s="24">
        <f ca="1">Horarios!C40</f>
        <v>46198.916666666664</v>
      </c>
      <c r="Y40" s="25">
        <f ca="1">Horarios!C40</f>
        <v>46198.916666666664</v>
      </c>
      <c r="Z40" s="26" t="str">
        <f>$Z$8</f>
        <v>J3</v>
      </c>
      <c r="AA40" s="27" t="str">
        <f ca="1">A38</f>
        <v>Curazao</v>
      </c>
      <c r="AB40" s="49" t="str" cm="1">
        <f t="array" aca="1" ref="AB40" ca="1">Ver_flag_local</f>
        <v/>
      </c>
      <c r="AC40" s="50">
        <v>1</v>
      </c>
      <c r="AD40" s="51">
        <v>3</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6</v>
      </c>
      <c r="AS40" s="39">
        <f t="shared" ca="1" si="127"/>
        <v>5</v>
      </c>
      <c r="AT40" s="43">
        <f t="shared" ca="1" si="127"/>
        <v>1</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8</v>
      </c>
      <c r="BL40" s="16">
        <f t="shared" ca="1" si="42"/>
        <v>-8</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Empate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4"/>
      <c r="X41" s="28">
        <f ca="1">Horarios!C41</f>
        <v>46198.916666666664</v>
      </c>
      <c r="Y41" s="29">
        <f ca="1">Horarios!C41</f>
        <v>46198.916666666664</v>
      </c>
      <c r="Z41" s="30" t="str">
        <f>$Z$8</f>
        <v>J3</v>
      </c>
      <c r="AA41" s="31" t="str">
        <f ca="1">A40</f>
        <v>Ecuador</v>
      </c>
      <c r="AB41" s="52" t="str" cm="1">
        <f t="array" aca="1" ref="AB41" ca="1">Ver_flag_local</f>
        <v/>
      </c>
      <c r="AC41" s="53">
        <v>1</v>
      </c>
      <c r="AD41" s="54">
        <v>1</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10</v>
      </c>
      <c r="AT41" s="48">
        <f t="shared" ca="1" si="127"/>
        <v>-9</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6</v>
      </c>
      <c r="BK41" s="16">
        <f t="shared" ca="1" si="21"/>
        <v>2</v>
      </c>
      <c r="BL41" s="16">
        <f t="shared" ca="1" si="42"/>
        <v>4</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9</v>
      </c>
      <c r="BK42" s="16">
        <f t="shared" ca="1" si="21"/>
        <v>1</v>
      </c>
      <c r="BL42" s="16">
        <f t="shared" ca="1" si="42"/>
        <v>8</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3</v>
      </c>
      <c r="BK43" s="16">
        <f t="shared" ca="1" si="21"/>
        <v>4</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P.1 (3)</v>
      </c>
      <c r="F44" s="16" t="str">
        <f t="shared" ref="F44:F49" ca="1" si="133">IF(D44="Pendiente","-",INDEX($BT$6:$BT$53,MATCH($AF44,$BD$6:$BD$53,0)))</f>
        <v>P.1 (3)</v>
      </c>
      <c r="G44" s="16"/>
      <c r="H44" s="16" t="str">
        <f t="shared" ref="H44:H49" ca="1" si="134">IF(D44="Pendiente","-",INDEX($BZ$6:$BZ$53,MATCH($AA44,$BD$6:$BD$53,0)))</f>
        <v>P.1 (3)</v>
      </c>
      <c r="I44" s="16" t="str">
        <f t="shared" ref="I44:I49" ca="1" si="135">IF(D44="Pendiente","-",INDEX($BZ$6:$BZ$53,MATCH($AF44,$BD$6:$BD$53,0)))</f>
        <v>P.1 (3)</v>
      </c>
      <c r="J44" s="16"/>
      <c r="K44" s="16" t="str">
        <f t="shared" ref="K44:K49" ca="1" si="136">IF(D44="Pendiente","-",INDEX($CE$6:$CE$53,MATCH($AA44,$BD$6:$BD$53,0)))</f>
        <v>P.1 (3)</v>
      </c>
      <c r="L44" s="16" t="str">
        <f t="shared" ref="L44:L49" ca="1" si="137">IF(D44="Pendiente","-",INDEX($CE$6:$CE$53,MATCH($AF44,$BD$6:$BD$53,0)))</f>
        <v>P.1 (3)</v>
      </c>
      <c r="M44" s="16"/>
      <c r="N44" s="16" t="str">
        <f t="shared" ref="N44:N49" ca="1" si="138">IF(D44="Pendiente","-",INDEX($CH$6:$CH$53,MATCH($AA44,$BD$6:$BD$53,0)))</f>
        <v>P.1 (3)</v>
      </c>
      <c r="O44" s="16" t="str">
        <f t="shared" ref="O44:O49" ca="1" si="139">IF(D44="Pendiente","-",INDEX($CH$6:$CH$53,MATCH($AF44,$BD$6:$BD$53,0)))</f>
        <v>P.1 (3)</v>
      </c>
      <c r="P44" s="16"/>
      <c r="Q44" s="16" t="str">
        <f t="shared" ref="Q44:Q49" ca="1" si="140">IF(D44="Pendiente","-",INDEX($CN$6:$CN$53,MATCH($AA44,$BD$6:$BD$53,0)))</f>
        <v>P.1 (3)</v>
      </c>
      <c r="R44" s="16" t="str">
        <f t="shared" ref="R44:R49" ca="1" si="141">IF(D44="Pendiente","-",INDEX($CN$6:$CN$53,MATCH($AF44,$BD$6:$BD$53,0)))</f>
        <v>P.1 (3)</v>
      </c>
      <c r="S44" s="16"/>
      <c r="T44" s="16" t="str">
        <f t="shared" ref="T44:T49" ca="1" si="142">IF(D44="Pendiente","-",INDEX($CS$6:$CS$53,MATCH($AA44,$BD$6:$BD$53,0)))</f>
        <v>P.1 (3)</v>
      </c>
      <c r="U44" s="16" t="str">
        <f t="shared" ref="U44:U49" ca="1" si="143">IF(D44="Pendiente","-",INDEX($CS$6:$CS$53,MATCH($AF44,$BD$6:$BD$53,0)))</f>
        <v>P.1 (3)</v>
      </c>
      <c r="V44" s="17"/>
      <c r="W44" s="663" t="s">
        <v>4</v>
      </c>
      <c r="X44" s="24">
        <f ca="1">Horarios!C44</f>
        <v>46187.916666666664</v>
      </c>
      <c r="Y44" s="25">
        <f ca="1">Horarios!C44</f>
        <v>46187.916666666664</v>
      </c>
      <c r="Z44" s="26" t="str">
        <f>$Z$4</f>
        <v>J1</v>
      </c>
      <c r="AA44" s="27" t="str">
        <f ca="1">A45</f>
        <v>Países Bajos</v>
      </c>
      <c r="AB44" s="49" t="str" cm="1">
        <f t="array" aca="1" ref="AB44" ca="1">Ver_flag_local</f>
        <v/>
      </c>
      <c r="AC44" s="50">
        <v>1</v>
      </c>
      <c r="AD44" s="51">
        <v>1</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3</v>
      </c>
      <c r="BK44" s="16">
        <f t="shared" ca="1" si="21"/>
        <v>3</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Local</v>
      </c>
      <c r="E45" s="16" t="str">
        <f t="shared" ca="1" si="132"/>
        <v>P.1 (3)</v>
      </c>
      <c r="F45" s="16" t="str">
        <f t="shared" ca="1" si="133"/>
        <v>-</v>
      </c>
      <c r="G45" s="16"/>
      <c r="H45" s="16" t="str">
        <f t="shared" ca="1" si="134"/>
        <v>P.1 (3)</v>
      </c>
      <c r="I45" s="16" t="str">
        <f t="shared" ca="1" si="135"/>
        <v>-</v>
      </c>
      <c r="J45" s="16"/>
      <c r="K45" s="16" t="str">
        <f t="shared" ca="1" si="136"/>
        <v>P.1 (3)</v>
      </c>
      <c r="L45" s="16" t="str">
        <f t="shared" ca="1" si="137"/>
        <v>-</v>
      </c>
      <c r="M45" s="16"/>
      <c r="N45" s="16" t="str">
        <f t="shared" ca="1" si="138"/>
        <v>P.1 (3)</v>
      </c>
      <c r="O45" s="16" t="str">
        <f t="shared" ca="1" si="139"/>
        <v>-</v>
      </c>
      <c r="P45" s="16"/>
      <c r="Q45" s="16" t="str">
        <f t="shared" ca="1" si="140"/>
        <v>P.1 (3)</v>
      </c>
      <c r="R45" s="16" t="str">
        <f t="shared" ca="1" si="141"/>
        <v>-</v>
      </c>
      <c r="S45" s="16"/>
      <c r="T45" s="16" t="str">
        <f t="shared" ca="1" si="142"/>
        <v>P.1 (3)</v>
      </c>
      <c r="U45" s="16" t="str">
        <f t="shared" ca="1" si="143"/>
        <v>-</v>
      </c>
      <c r="V45" s="17"/>
      <c r="W45" s="663"/>
      <c r="X45" s="24">
        <f ca="1">Horarios!C45</f>
        <v>46188.166666666664</v>
      </c>
      <c r="Y45" s="25">
        <f ca="1">Horarios!C45</f>
        <v>46188.166666666664</v>
      </c>
      <c r="Z45" s="26" t="str">
        <f>$Z$4</f>
        <v>J1</v>
      </c>
      <c r="AA45" s="27" t="str">
        <f ca="1">A47</f>
        <v>Suecia</v>
      </c>
      <c r="AB45" s="49" t="str" cm="1">
        <f t="array" aca="1" ref="AB45" ca="1">Ver_flag_local</f>
        <v/>
      </c>
      <c r="AC45" s="50">
        <v>2</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7</v>
      </c>
      <c r="BL45" s="16">
        <f t="shared" ca="1" si="42"/>
        <v>-7</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05" customHeight="1">
      <c r="A46" s="16" t="str">
        <f ca="1">+Equipos!B23</f>
        <v>Japón</v>
      </c>
      <c r="B46" s="16"/>
      <c r="C46" s="16"/>
      <c r="D46" s="16" t="str">
        <f t="shared" si="131"/>
        <v>Empate</v>
      </c>
      <c r="E46" s="16" t="str">
        <f t="shared" ca="1" si="132"/>
        <v>P.1 (3)</v>
      </c>
      <c r="F46" s="16" t="str">
        <f t="shared" ca="1" si="133"/>
        <v>P.1 (3)</v>
      </c>
      <c r="G46" s="16"/>
      <c r="H46" s="16" t="str">
        <f t="shared" ca="1" si="134"/>
        <v>P.1 (3)</v>
      </c>
      <c r="I46" s="16" t="str">
        <f t="shared" ca="1" si="135"/>
        <v>P.1 (3)</v>
      </c>
      <c r="J46" s="16"/>
      <c r="K46" s="16" t="str">
        <f t="shared" ca="1" si="136"/>
        <v>P.1 (3)</v>
      </c>
      <c r="L46" s="16" t="str">
        <f t="shared" ca="1" si="137"/>
        <v>P.1 (3)</v>
      </c>
      <c r="M46" s="16"/>
      <c r="N46" s="16" t="str">
        <f t="shared" ca="1" si="138"/>
        <v>P.1 (3)</v>
      </c>
      <c r="O46" s="16" t="str">
        <f t="shared" ca="1" si="139"/>
        <v>P.1 (3)</v>
      </c>
      <c r="P46" s="16"/>
      <c r="Q46" s="16" t="str">
        <f t="shared" ca="1" si="140"/>
        <v>P.1 (3)</v>
      </c>
      <c r="R46" s="16" t="str">
        <f t="shared" ca="1" si="141"/>
        <v>P.1 (3)</v>
      </c>
      <c r="S46" s="16"/>
      <c r="T46" s="16" t="str">
        <f t="shared" ca="1" si="142"/>
        <v>P.1 (3)</v>
      </c>
      <c r="U46" s="16" t="str">
        <f t="shared" ca="1" si="143"/>
        <v>P.1 (3)</v>
      </c>
      <c r="V46" s="17"/>
      <c r="W46" s="663"/>
      <c r="X46" s="24">
        <f ca="1">Horarios!C46</f>
        <v>46193.791666666664</v>
      </c>
      <c r="Y46" s="25">
        <f ca="1">Horarios!C46</f>
        <v>46193.791666666664</v>
      </c>
      <c r="Z46" s="26" t="str">
        <f>$Z$6</f>
        <v>J2</v>
      </c>
      <c r="AA46" s="27" t="str">
        <f ca="1">A45</f>
        <v>Países Bajos</v>
      </c>
      <c r="AB46" s="49" t="str" cm="1">
        <f t="array" aca="1" ref="AB46" ca="1">Ver_flag_local</f>
        <v/>
      </c>
      <c r="AC46" s="50">
        <v>1</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5</v>
      </c>
      <c r="AN46" s="36">
        <f t="shared" ca="1" si="147"/>
        <v>3</v>
      </c>
      <c r="AO46" s="36">
        <f t="shared" ca="1" si="147"/>
        <v>1</v>
      </c>
      <c r="AP46" s="36">
        <f t="shared" ca="1" si="147"/>
        <v>2</v>
      </c>
      <c r="AQ46" s="36">
        <f t="shared" ca="1" si="147"/>
        <v>0</v>
      </c>
      <c r="AR46" s="36">
        <f t="shared" ca="1" si="147"/>
        <v>6</v>
      </c>
      <c r="AS46" s="36">
        <f t="shared" ca="1" si="147"/>
        <v>3</v>
      </c>
      <c r="AT46" s="41">
        <f t="shared" ca="1" si="147"/>
        <v>3</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6</v>
      </c>
      <c r="BK46" s="16">
        <f t="shared" ca="1" si="21"/>
        <v>1</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5</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P.1 (3)</v>
      </c>
      <c r="G47" s="16"/>
      <c r="H47" s="16" t="str">
        <f t="shared" ca="1" si="134"/>
        <v>-</v>
      </c>
      <c r="I47" s="16" t="str">
        <f t="shared" ca="1" si="135"/>
        <v>P.1 (3)</v>
      </c>
      <c r="J47" s="16"/>
      <c r="K47" s="16" t="str">
        <f t="shared" ca="1" si="136"/>
        <v>-</v>
      </c>
      <c r="L47" s="16" t="str">
        <f t="shared" ca="1" si="137"/>
        <v>P.1 (3)</v>
      </c>
      <c r="M47" s="16"/>
      <c r="N47" s="16" t="str">
        <f t="shared" ca="1" si="138"/>
        <v>-</v>
      </c>
      <c r="O47" s="16" t="str">
        <f t="shared" ca="1" si="139"/>
        <v>P.1 (3)</v>
      </c>
      <c r="P47" s="16"/>
      <c r="Q47" s="16" t="str">
        <f t="shared" ca="1" si="140"/>
        <v>-</v>
      </c>
      <c r="R47" s="16" t="str">
        <f t="shared" ca="1" si="141"/>
        <v>P.1 (3)</v>
      </c>
      <c r="S47" s="16"/>
      <c r="T47" s="16" t="str">
        <f t="shared" ca="1" si="142"/>
        <v>-</v>
      </c>
      <c r="U47" s="16" t="str">
        <f t="shared" ca="1" si="143"/>
        <v>P.1 (3)</v>
      </c>
      <c r="V47" s="17"/>
      <c r="W47" s="663"/>
      <c r="X47" s="24">
        <f ca="1">Horarios!C47</f>
        <v>46194.25</v>
      </c>
      <c r="Y47" s="25">
        <f ca="1">Horarios!C47</f>
        <v>46194.25</v>
      </c>
      <c r="Z47" s="26" t="str">
        <f>$Z$6</f>
        <v>J2</v>
      </c>
      <c r="AA47" s="27" t="str">
        <f ca="1">A48</f>
        <v>Túnez</v>
      </c>
      <c r="AB47" s="49" t="str" cm="1">
        <f t="array" aca="1" ref="AB47" ca="1">Ver_flag_local</f>
        <v/>
      </c>
      <c r="AC47" s="50">
        <v>1</v>
      </c>
      <c r="AD47" s="51">
        <v>3</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5</v>
      </c>
      <c r="AS47" s="39">
        <f t="shared" ca="1" si="147"/>
        <v>3</v>
      </c>
      <c r="AT47" s="43">
        <f t="shared" ca="1" si="147"/>
        <v>2</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6</v>
      </c>
      <c r="BL47" s="16">
        <f t="shared" ca="1" si="42"/>
        <v>-4</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-4</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37"/>
        <v>2</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6.05" customHeight="1">
      <c r="A48" s="16" t="str">
        <f ca="1">+Equipos!B25</f>
        <v>Túnez</v>
      </c>
      <c r="B48" s="16"/>
      <c r="C48" s="16"/>
      <c r="D48" s="16" t="str">
        <f t="shared" si="131"/>
        <v>Empate</v>
      </c>
      <c r="E48" s="16" t="str">
        <f t="shared" ca="1" si="132"/>
        <v>P.1 (3)</v>
      </c>
      <c r="F48" s="16" t="str">
        <f t="shared" ca="1" si="133"/>
        <v>P.1 (3)</v>
      </c>
      <c r="G48" s="16"/>
      <c r="H48" s="16" t="str">
        <f t="shared" ca="1" si="134"/>
        <v>P.1 (3)</v>
      </c>
      <c r="I48" s="16" t="str">
        <f t="shared" ca="1" si="135"/>
        <v>P.1 (3)</v>
      </c>
      <c r="J48" s="16"/>
      <c r="K48" s="16" t="str">
        <f t="shared" ca="1" si="136"/>
        <v>P.1 (3)</v>
      </c>
      <c r="L48" s="16" t="str">
        <f t="shared" ca="1" si="137"/>
        <v>P.1 (3)</v>
      </c>
      <c r="M48" s="16"/>
      <c r="N48" s="16" t="str">
        <f t="shared" ca="1" si="138"/>
        <v>P.1 (3)</v>
      </c>
      <c r="O48" s="16" t="str">
        <f t="shared" ca="1" si="139"/>
        <v>P.1 (3)</v>
      </c>
      <c r="P48" s="16"/>
      <c r="Q48" s="16" t="str">
        <f t="shared" ca="1" si="140"/>
        <v>P.1 (3)</v>
      </c>
      <c r="R48" s="16" t="str">
        <f t="shared" ca="1" si="141"/>
        <v>P.1 (3)</v>
      </c>
      <c r="S48" s="16"/>
      <c r="T48" s="16" t="str">
        <f t="shared" ca="1" si="142"/>
        <v>P.1 (3)</v>
      </c>
      <c r="U48" s="16" t="str">
        <f t="shared" ca="1" si="143"/>
        <v>P.1 (3)</v>
      </c>
      <c r="V48" s="17"/>
      <c r="W48" s="663"/>
      <c r="X48" s="24">
        <f ca="1">Horarios!C48</f>
        <v>46199.041666666664</v>
      </c>
      <c r="Y48" s="25">
        <f ca="1">Horarios!C48</f>
        <v>46199.041666666664</v>
      </c>
      <c r="Z48" s="26" t="str">
        <f>$Z$8</f>
        <v>J3</v>
      </c>
      <c r="AA48" s="27" t="str">
        <f ca="1">A46</f>
        <v>Japón</v>
      </c>
      <c r="AB48" s="49" t="str" cm="1">
        <f t="array" aca="1" ref="AB48" ca="1">Ver_flag_local</f>
        <v/>
      </c>
      <c r="AC48" s="50">
        <v>1</v>
      </c>
      <c r="AD48" s="51">
        <v>1</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5</v>
      </c>
      <c r="AN48" s="39">
        <f t="shared" ca="1" si="147"/>
        <v>3</v>
      </c>
      <c r="AO48" s="39">
        <f t="shared" ca="1" si="147"/>
        <v>1</v>
      </c>
      <c r="AP48" s="39">
        <f t="shared" ca="1" si="147"/>
        <v>2</v>
      </c>
      <c r="AQ48" s="39">
        <f t="shared" ca="1" si="147"/>
        <v>0</v>
      </c>
      <c r="AR48" s="39">
        <f t="shared" ca="1" si="147"/>
        <v>4</v>
      </c>
      <c r="AS48" s="39">
        <f t="shared" ca="1" si="147"/>
        <v>3</v>
      </c>
      <c r="AT48" s="43">
        <f t="shared" ca="1" si="147"/>
        <v>1</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5</v>
      </c>
      <c r="BL48" s="16">
        <f t="shared" ca="1" si="42"/>
        <v>-4</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-4</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37"/>
        <v>1</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v>
      </c>
      <c r="F49" s="16" t="str">
        <f t="shared" ca="1" si="133"/>
        <v>P.1 (3)</v>
      </c>
      <c r="G49" s="16"/>
      <c r="H49" s="16" t="str">
        <f t="shared" ca="1" si="134"/>
        <v>-</v>
      </c>
      <c r="I49" s="16" t="str">
        <f t="shared" ca="1" si="135"/>
        <v>P.1 (3)</v>
      </c>
      <c r="J49" s="16"/>
      <c r="K49" s="16" t="str">
        <f t="shared" ca="1" si="136"/>
        <v>-</v>
      </c>
      <c r="L49" s="16" t="str">
        <f t="shared" ca="1" si="137"/>
        <v>P.1 (3)</v>
      </c>
      <c r="M49" s="16"/>
      <c r="N49" s="16" t="str">
        <f t="shared" ca="1" si="138"/>
        <v>-</v>
      </c>
      <c r="O49" s="16" t="str">
        <f t="shared" ca="1" si="139"/>
        <v>P.1 (3)</v>
      </c>
      <c r="P49" s="16"/>
      <c r="Q49" s="16" t="str">
        <f t="shared" ca="1" si="140"/>
        <v>-</v>
      </c>
      <c r="R49" s="16" t="str">
        <f t="shared" ca="1" si="141"/>
        <v>P.1 (3)</v>
      </c>
      <c r="S49" s="16"/>
      <c r="T49" s="16" t="str">
        <f t="shared" ca="1" si="142"/>
        <v>-</v>
      </c>
      <c r="U49" s="16" t="str">
        <f t="shared" ca="1" si="143"/>
        <v>P.1 (3)</v>
      </c>
      <c r="V49" s="17"/>
      <c r="W49" s="664"/>
      <c r="X49" s="28">
        <f ca="1">Horarios!C49</f>
        <v>46199.041666666664</v>
      </c>
      <c r="Y49" s="29">
        <f ca="1">Horarios!C49</f>
        <v>46199.041666666664</v>
      </c>
      <c r="Z49" s="30" t="str">
        <f>$Z$8</f>
        <v>J3</v>
      </c>
      <c r="AA49" s="31" t="str">
        <f ca="1">A48</f>
        <v>Túnez</v>
      </c>
      <c r="AB49" s="52" t="str" cm="1">
        <f t="array" aca="1" ref="AB49" ca="1">Ver_flag_local</f>
        <v/>
      </c>
      <c r="AC49" s="53">
        <v>1</v>
      </c>
      <c r="AD49" s="54">
        <v>4</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3</v>
      </c>
      <c r="AS49" s="47">
        <f t="shared" ca="1" si="147"/>
        <v>9</v>
      </c>
      <c r="AT49" s="48">
        <f t="shared" ca="1" si="147"/>
        <v>-6</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3</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1</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4</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83" t="s">
        <v>6</v>
      </c>
      <c r="X52" s="24">
        <f ca="1">Horarios!C52</f>
        <v>46188.875</v>
      </c>
      <c r="Y52" s="25">
        <f ca="1">Horarios!C52</f>
        <v>46188.875</v>
      </c>
      <c r="Z52" s="26" t="str">
        <f>$Z$4</f>
        <v>J1</v>
      </c>
      <c r="AA52" s="27" t="str">
        <f ca="1">A53</f>
        <v>Bélgica</v>
      </c>
      <c r="AB52" s="49" t="str" cm="1">
        <f t="array" aca="1" ref="AB52" ca="1">Ver_flag_local</f>
        <v/>
      </c>
      <c r="AC52" s="50">
        <v>1</v>
      </c>
      <c r="AD52" s="51">
        <v>1</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4</v>
      </c>
      <c r="BK52" s="16">
        <f t="shared" ca="1" si="21"/>
        <v>5</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83"/>
      <c r="X53" s="24">
        <f ca="1">Horarios!C53</f>
        <v>46189.125</v>
      </c>
      <c r="Y53" s="25">
        <f ca="1">Horarios!C53</f>
        <v>46189.125</v>
      </c>
      <c r="Z53" s="26" t="str">
        <f>$Z$4</f>
        <v>J1</v>
      </c>
      <c r="AA53" s="27" t="str">
        <f ca="1">A55</f>
        <v>Irán</v>
      </c>
      <c r="AB53" s="49" t="str" cm="1">
        <f t="array" aca="1" ref="AB53" ca="1">Ver_flag_local</f>
        <v/>
      </c>
      <c r="AC53" s="50">
        <v>1</v>
      </c>
      <c r="AD53" s="51">
        <v>0</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2</v>
      </c>
      <c r="BK53" s="16">
        <f t="shared" ca="1" si="21"/>
        <v>9</v>
      </c>
      <c r="BL53" s="16">
        <f t="shared" ca="1" si="42"/>
        <v>-7</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83"/>
      <c r="X54" s="24">
        <f ca="1">Horarios!C54</f>
        <v>46194.875</v>
      </c>
      <c r="Y54" s="25">
        <f ca="1">Horarios!C54</f>
        <v>46194.875</v>
      </c>
      <c r="Z54" s="26" t="str">
        <f>$Z$6</f>
        <v>J2</v>
      </c>
      <c r="AA54" s="27" t="str">
        <f ca="1">A53</f>
        <v>Bélgica</v>
      </c>
      <c r="AB54" s="49" t="str" cm="1">
        <f t="array" aca="1" ref="AB54" ca="1">Ver_flag_local</f>
        <v/>
      </c>
      <c r="AC54" s="50">
        <v>3</v>
      </c>
      <c r="AD54" s="51">
        <v>1</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83"/>
      <c r="X55" s="24">
        <f ca="1">Horarios!C55</f>
        <v>46195.125</v>
      </c>
      <c r="Y55" s="25">
        <f ca="1">Horarios!C55</f>
        <v>46195.125</v>
      </c>
      <c r="Z55" s="26" t="str">
        <f>$Z$6</f>
        <v>J2</v>
      </c>
      <c r="AA55" s="27" t="str">
        <f ca="1">A56</f>
        <v>Nueva Zelanda</v>
      </c>
      <c r="AB55" s="49" t="str" cm="1">
        <f t="array" aca="1" ref="AB55" ca="1">Ver_flag_local</f>
        <v/>
      </c>
      <c r="AC55" s="50">
        <v>0</v>
      </c>
      <c r="AD55" s="51">
        <v>2</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4</v>
      </c>
      <c r="AS55" s="39">
        <f t="shared" ca="1" si="165"/>
        <v>2</v>
      </c>
      <c r="AT55" s="43">
        <f t="shared" ca="1" si="165"/>
        <v>2</v>
      </c>
      <c r="AU55" s="330">
        <f ca="1">INDEX($DL$6:$DL$53,MATCH(AI55,$DP$6:$DP$53,0))</f>
        <v>1</v>
      </c>
      <c r="AV55" s="182" t="str">
        <f ca="1">INDEX($BD$6:$BD$53,MATCH(AI55,$BM$6:$BM$53,0))</f>
        <v>Egipto</v>
      </c>
      <c r="AW55" s="210"/>
      <c r="AX55" s="171"/>
      <c r="AY55" s="203" t="str">
        <f ca="1">+A54</f>
        <v>Egipto</v>
      </c>
      <c r="AZ55" s="204"/>
      <c r="BA55" s="176"/>
    </row>
    <row r="56" spans="1:121" ht="16.05" customHeight="1">
      <c r="A56" s="16" t="str">
        <f ca="1">+Equipos!B29</f>
        <v>Nueva Zelanda</v>
      </c>
      <c r="B56" s="16"/>
      <c r="C56" s="16"/>
      <c r="D56" s="16" t="str">
        <f t="shared" si="149"/>
        <v>Empate</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83"/>
      <c r="X56" s="24">
        <f ca="1">Horarios!C56</f>
        <v>46200.208333333336</v>
      </c>
      <c r="Y56" s="25">
        <f ca="1">Horarios!C56</f>
        <v>46200.208333333336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3</v>
      </c>
      <c r="AS56" s="39">
        <f t="shared" ca="1" si="165"/>
        <v>4</v>
      </c>
      <c r="AT56" s="43">
        <f t="shared" ca="1" si="165"/>
        <v>-1</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84"/>
      <c r="X57" s="28">
        <f ca="1">Horarios!C57</f>
        <v>46200.208333333336</v>
      </c>
      <c r="Y57" s="29">
        <f ca="1">Horarios!C57</f>
        <v>46200.208333333336</v>
      </c>
      <c r="Z57" s="30" t="str">
        <f>$Z$8</f>
        <v>J3</v>
      </c>
      <c r="AA57" s="31" t="str">
        <f ca="1">A56</f>
        <v>Nueva Zelanda</v>
      </c>
      <c r="AB57" s="52" t="str" cm="1">
        <f t="array" aca="1" ref="AB57" ca="1">Ver_flag_local</f>
        <v/>
      </c>
      <c r="AC57" s="53">
        <v>0</v>
      </c>
      <c r="AD57" s="54">
        <v>2</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5</v>
      </c>
      <c r="AT57" s="48">
        <f t="shared" ca="1" si="165"/>
        <v>-5</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4</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3</v>
      </c>
      <c r="BN58" s="16">
        <f ca="1">CF58</f>
        <v>3</v>
      </c>
      <c r="BO58" s="16" t="str">
        <f t="shared" ref="BO58:BO69" si="174">"4"&amp;BC58</f>
        <v>4A</v>
      </c>
      <c r="BP58" s="16"/>
      <c r="BQ58" s="16"/>
      <c r="BR58" s="16">
        <f t="shared" ref="BR58:BR69" ca="1" si="175">+BE58</f>
        <v>4</v>
      </c>
      <c r="BS58" s="16">
        <f ca="1">COUNTIFS(BR$58:BR$69,"&gt;"&amp;BR58)+1</f>
        <v>2</v>
      </c>
      <c r="BT58" s="16" t="str">
        <f ca="1">IF(COUNTIF(BS$58:BS$69,BS58)=1,"-","Pos. "&amp;BS58&amp;" ("&amp;COUNTIF(BS$58:BS$69,BS58)&amp;")")</f>
        <v>Pos. 2 (5)</v>
      </c>
      <c r="BU58" s="16">
        <f t="shared" ref="BU58:BU69" ca="1" si="176">IF(BT58="-","-",BL58)</f>
        <v>1</v>
      </c>
      <c r="BV58" s="16">
        <f t="shared" ref="BV58:BV69" ca="1" si="177">BS58+COUNTIFS(BT$58:BT$69,BT58,BU$58:BU$69,"&gt;"&amp;BU58)</f>
        <v>2</v>
      </c>
      <c r="BW58" s="16" t="str">
        <f t="shared" ref="BW58:BW69" ca="1" si="178">IF(COUNTIF(BV$58:BV$69,BV58)=1,"-","Pos. "&amp;BV58&amp;" ("&amp;COUNTIF(BV$58:BV$69,BV58)&amp;")")</f>
        <v>Pos. 2 (2)</v>
      </c>
      <c r="BX58" s="16">
        <f t="shared" ref="BX58:BX69" ca="1" si="179">IF(BW58="-","-",BJ58)</f>
        <v>4</v>
      </c>
      <c r="BY58" s="16">
        <f t="shared" ref="BY58:BY69" ca="1" si="180">BV58+COUNTIFS(BW$58:BW$69,BW58,BX$58:BX$69,"&gt;"&amp;BX58)</f>
        <v>3</v>
      </c>
      <c r="BZ58" s="16" t="str">
        <f t="shared" ref="BZ58:BZ69" ca="1" si="181">IF(COUNTIF(BY$58:BY$69,BY58)=1,"-","Pos. "&amp;BY58&amp;" ("&amp;COUNTIF(BY$58:BY$69,BY58)&amp;")")</f>
        <v>-</v>
      </c>
      <c r="CA58" s="16" t="str">
        <f t="shared" ref="CA58:CA69" ca="1" si="182">IF(BZ58="-","-",COUNTIF($BD$58:$BD$69,"&gt;"&amp;BD58))</f>
        <v>-</v>
      </c>
      <c r="CB58" s="16">
        <f ca="1">BY58+COUNTIFS(BZ$58:BZ$69,BZ58,CA$58:CA$69,"&gt;"&amp;CA58)</f>
        <v>3</v>
      </c>
      <c r="CC58" s="16"/>
      <c r="CD58" s="16">
        <f t="shared" ref="CD58:CD69" ca="1" si="183">IF(OR(INDEX($AW$102:$AW$113,MATCH($BD58,$AV$102:$AV$113,0))="",BZ58="-"),CB58,INDEX($AW$102:$AW$113,MATCH($BD58,$AV$102:$AV$113,0))+CB58/1000)</f>
        <v>3</v>
      </c>
      <c r="CE58" s="16" t="str">
        <f ca="1">IF(BZ58="-","-",COUNTIF(CD$58:CD$69,"&lt;"&amp;CD58))</f>
        <v>-</v>
      </c>
      <c r="CF58" s="16">
        <f ca="1">BY58+COUNTIFS(BZ$58:BZ$69,BZ58,CE$58:CE$69,"&lt;"&amp;CE58)</f>
        <v>3</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Suecia</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Canadá</v>
      </c>
      <c r="BE59" s="16">
        <f t="shared" ref="BE59:BE69" ca="1" si="188">CHOOSE($BB$57,
  (BG59*3 + BH59)+IF($AZ$3="No",0,INDEX($AZ$6:$AZ$97,MATCH(BD59,$AY$6:$AY$97,0))),
  (BG59*3 + BH59)+IF($AZ$3="No",0,INDEX($AZ$6:$AZ$97,MATCH(BD59,$AY$6:$AY$97,0))),
  IFERROR((BG59*3 + BH59+IF($AZ$3="No",0,INDEX($AZ$6:$AZ$97,MATCH(BD59,$AY$6:$AY$97,0)))) / BF59, 0)
)</f>
        <v>1</v>
      </c>
      <c r="BF59" s="16">
        <f t="shared" ref="BF59:BF69" ca="1" si="189">+BG59+BH59+BI59</f>
        <v>3</v>
      </c>
      <c r="BG59" s="16">
        <f t="shared" ca="1" si="169"/>
        <v>0</v>
      </c>
      <c r="BH59" s="16">
        <f t="shared" ca="1" si="170"/>
        <v>1</v>
      </c>
      <c r="BI59" s="16">
        <f t="shared" ca="1" si="171"/>
        <v>2</v>
      </c>
      <c r="BJ59" s="16">
        <f t="shared" ca="1" si="172"/>
        <v>0</v>
      </c>
      <c r="BK59" s="16">
        <f t="shared" ca="1" si="173"/>
        <v>3</v>
      </c>
      <c r="BL59" s="16">
        <f t="shared" ref="BL59:BL69" ca="1" si="190">+BJ59-BK59</f>
        <v>-3</v>
      </c>
      <c r="BM59" s="16">
        <f t="shared" ref="BM59:BM69" ca="1" si="191">CB59</f>
        <v>11</v>
      </c>
      <c r="BN59" s="16">
        <f t="shared" ref="BN59:BN69" ca="1" si="192">CF59</f>
        <v>11</v>
      </c>
      <c r="BO59" s="16" t="str">
        <f t="shared" si="174"/>
        <v>4B</v>
      </c>
      <c r="BP59" s="16"/>
      <c r="BQ59" s="16"/>
      <c r="BR59" s="16">
        <f t="shared" ca="1" si="175"/>
        <v>1</v>
      </c>
      <c r="BS59" s="16">
        <f t="shared" ref="BS59:BS69" ca="1" si="193">COUNTIFS(BR$58:BR$69,"&gt;"&amp;BR59)+1</f>
        <v>11</v>
      </c>
      <c r="BT59" s="16" t="str">
        <f t="shared" ref="BT59:BT69" ca="1" si="194">IF(COUNTIF(BS$58:BS$69,BS59)=1,"-","Pos. "&amp;BS59&amp;" ("&amp;COUNTIF(BS$58:BS$69,BS59)&amp;")")</f>
        <v>Pos. 11 (2)</v>
      </c>
      <c r="BU59" s="16">
        <f t="shared" ca="1" si="176"/>
        <v>-3</v>
      </c>
      <c r="BV59" s="16">
        <f t="shared" ca="1" si="177"/>
        <v>11</v>
      </c>
      <c r="BW59" s="16" t="str">
        <f t="shared" ca="1" si="178"/>
        <v>-</v>
      </c>
      <c r="BX59" s="16" t="str">
        <f t="shared" ca="1" si="179"/>
        <v>-</v>
      </c>
      <c r="BY59" s="16">
        <f t="shared" ca="1" si="180"/>
        <v>11</v>
      </c>
      <c r="BZ59" s="16" t="str">
        <f t="shared" ca="1" si="181"/>
        <v>-</v>
      </c>
      <c r="CA59" s="16" t="str">
        <f t="shared" ca="1" si="182"/>
        <v>-</v>
      </c>
      <c r="CB59" s="16">
        <f t="shared" ref="CB59:CB68" ca="1" si="195">BY59+COUNTIFS(BZ$58:BZ$69,BZ59,CA$58:CA$69,"&gt;"&amp;CA59)</f>
        <v>11</v>
      </c>
      <c r="CC59" s="16"/>
      <c r="CD59" s="16">
        <f t="shared" ca="1" si="183"/>
        <v>11</v>
      </c>
      <c r="CE59" s="16" t="str">
        <f t="shared" ref="CE59:CE69" ca="1" si="196">IF(BZ59="-","-",COUNTIF(CD$58:CD$69,"&lt;"&amp;CD59))</f>
        <v>-</v>
      </c>
      <c r="CF59" s="16">
        <f t="shared" ref="CF59:CF69" ca="1" si="197">BY59+COUNTIFS(BZ$58:BZ$69,BZ59,CE$58:CE$69,"&lt;"&amp;CE59)</f>
        <v>11</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Costa de Marfil</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65" t="s">
        <v>447</v>
      </c>
      <c r="X60" s="24">
        <f ca="1">Horarios!C60</f>
        <v>46188.75</v>
      </c>
      <c r="Y60" s="25">
        <f ca="1">Horarios!C60</f>
        <v>46188.75</v>
      </c>
      <c r="Z60" s="26" t="str">
        <f>$Z$4</f>
        <v>J1</v>
      </c>
      <c r="AA60" s="27" t="str">
        <f ca="1">A61</f>
        <v>España</v>
      </c>
      <c r="AB60" s="49" t="str" cm="1">
        <f t="array" aca="1" ref="AB60" ca="1">Ver_flag_local</f>
        <v/>
      </c>
      <c r="AC60" s="50">
        <v>6</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6</v>
      </c>
      <c r="BL60" s="16">
        <f t="shared" ca="1" si="190"/>
        <v>-2</v>
      </c>
      <c r="BM60" s="16">
        <f t="shared" ca="1" si="191"/>
        <v>8</v>
      </c>
      <c r="BN60" s="16">
        <f t="shared" ca="1" si="192"/>
        <v>8</v>
      </c>
      <c r="BO60" s="16" t="str">
        <f t="shared" si="174"/>
        <v>4C</v>
      </c>
      <c r="BP60" s="16"/>
      <c r="BQ60" s="16"/>
      <c r="BR60" s="16">
        <f t="shared" ca="1" si="175"/>
        <v>3</v>
      </c>
      <c r="BS60" s="16">
        <f t="shared" ca="1" si="193"/>
        <v>7</v>
      </c>
      <c r="BT60" s="16" t="str">
        <f t="shared" ca="1" si="194"/>
        <v>Pos. 7 (4)</v>
      </c>
      <c r="BU60" s="16">
        <f t="shared" ca="1" si="176"/>
        <v>-2</v>
      </c>
      <c r="BV60" s="16">
        <f t="shared" ca="1" si="177"/>
        <v>8</v>
      </c>
      <c r="BW60" s="16" t="str">
        <f t="shared" ca="1" si="178"/>
        <v>Pos. 8 (2)</v>
      </c>
      <c r="BX60" s="16">
        <f t="shared" ca="1" si="179"/>
        <v>4</v>
      </c>
      <c r="BY60" s="16">
        <f t="shared" ca="1" si="180"/>
        <v>8</v>
      </c>
      <c r="BZ60" s="16" t="str">
        <f t="shared" ca="1" si="181"/>
        <v>-</v>
      </c>
      <c r="CA60" s="16" t="str">
        <f t="shared" ca="1" si="182"/>
        <v>-</v>
      </c>
      <c r="CB60" s="16">
        <f t="shared" ca="1" si="195"/>
        <v>8</v>
      </c>
      <c r="CC60" s="16"/>
      <c r="CD60" s="16">
        <f t="shared" ca="1" si="183"/>
        <v>8</v>
      </c>
      <c r="CE60" s="16" t="str">
        <f t="shared" ca="1" si="196"/>
        <v>-</v>
      </c>
      <c r="CF60" s="16">
        <f t="shared" ca="1" si="197"/>
        <v>8</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República Checa</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65"/>
      <c r="X61" s="24">
        <f ca="1">Horarios!C61</f>
        <v>46189</v>
      </c>
      <c r="Y61" s="25">
        <f ca="1">Horarios!C61</f>
        <v>46189</v>
      </c>
      <c r="Z61" s="26" t="str">
        <f>$Z$4</f>
        <v>J1</v>
      </c>
      <c r="AA61" s="27" t="str">
        <f ca="1">A63</f>
        <v>Arabia Saudita</v>
      </c>
      <c r="AB61" s="49" t="str" cm="1">
        <f t="array" aca="1" ref="AB61" ca="1">Ver_flag_local</f>
        <v/>
      </c>
      <c r="AC61" s="50">
        <v>1</v>
      </c>
      <c r="AD61" s="51">
        <v>2</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3</v>
      </c>
      <c r="BL61" s="16">
        <f t="shared" ca="1" si="190"/>
        <v>-1</v>
      </c>
      <c r="BM61" s="16">
        <f t="shared" ca="1" si="191"/>
        <v>6</v>
      </c>
      <c r="BN61" s="16">
        <f t="shared" ca="1" si="192"/>
        <v>6</v>
      </c>
      <c r="BO61" s="16" t="str">
        <f t="shared" si="174"/>
        <v>4D</v>
      </c>
      <c r="BP61" s="16"/>
      <c r="BQ61" s="16"/>
      <c r="BR61" s="16">
        <f t="shared" ca="1" si="175"/>
        <v>4</v>
      </c>
      <c r="BS61" s="16">
        <f t="shared" ca="1" si="193"/>
        <v>2</v>
      </c>
      <c r="BT61" s="16" t="str">
        <f t="shared" ca="1" si="194"/>
        <v>Pos. 2 (5)</v>
      </c>
      <c r="BU61" s="16">
        <f t="shared" ca="1" si="176"/>
        <v>-1</v>
      </c>
      <c r="BV61" s="16">
        <f t="shared" ca="1" si="177"/>
        <v>4</v>
      </c>
      <c r="BW61" s="16" t="str">
        <f t="shared" ca="1" si="178"/>
        <v>Pos. 4 (3)</v>
      </c>
      <c r="BX61" s="16">
        <f t="shared" ca="1" si="179"/>
        <v>2</v>
      </c>
      <c r="BY61" s="16">
        <f t="shared" ca="1" si="180"/>
        <v>6</v>
      </c>
      <c r="BZ61" s="16" t="str">
        <f t="shared" ca="1" si="181"/>
        <v>-</v>
      </c>
      <c r="CA61" s="16" t="str">
        <f t="shared" ca="1" si="182"/>
        <v>-</v>
      </c>
      <c r="CB61" s="16">
        <f t="shared" ca="1" si="195"/>
        <v>6</v>
      </c>
      <c r="CC61" s="16"/>
      <c r="CD61" s="16">
        <f t="shared" ca="1" si="183"/>
        <v>6</v>
      </c>
      <c r="CE61" s="16" t="str">
        <f t="shared" ca="1" si="196"/>
        <v>-</v>
      </c>
      <c r="CF61" s="16">
        <f t="shared" ca="1" si="197"/>
        <v>6</v>
      </c>
      <c r="DJ61" s="16">
        <f t="shared" ca="1" si="184"/>
        <v>4</v>
      </c>
      <c r="DK61" s="16"/>
      <c r="DL61" s="16">
        <f t="shared" ca="1" si="185"/>
        <v>2</v>
      </c>
      <c r="DM61" s="16" t="str">
        <f t="shared" ca="1" si="186"/>
        <v>4.2</v>
      </c>
      <c r="DN61" s="16" t="e" cm="1" vm="1">
        <f t="array" aca="1" ref="DN61" ca="1">OFFSET(Horarios!$P$3,DJ61-1,0,DL61,1)</f>
        <v>#VALUE!</v>
      </c>
      <c r="DO61" s="16"/>
      <c r="DP61" s="16">
        <v>4</v>
      </c>
      <c r="DQ61" s="16" t="str">
        <f t="shared" ca="1" si="198"/>
        <v>Argelia</v>
      </c>
    </row>
    <row r="62" spans="1:121" ht="16.0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65"/>
      <c r="X62" s="24">
        <f ca="1">Horarios!C62</f>
        <v>46194.75</v>
      </c>
      <c r="Y62" s="25">
        <f ca="1">Horarios!C62</f>
        <v>46194.75</v>
      </c>
      <c r="Z62" s="26" t="str">
        <f>$Z$6</f>
        <v>J2</v>
      </c>
      <c r="AA62" s="27" t="str">
        <f ca="1">A61</f>
        <v>España</v>
      </c>
      <c r="AB62" s="49" t="str" cm="1">
        <f t="array" aca="1" ref="AB62" ca="1">Ver_flag_local</f>
        <v/>
      </c>
      <c r="AC62" s="50">
        <v>3</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12</v>
      </c>
      <c r="AS62" s="36">
        <f t="shared" ca="1" si="215"/>
        <v>1</v>
      </c>
      <c r="AT62" s="41">
        <f t="shared" ca="1" si="215"/>
        <v>11</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6</v>
      </c>
      <c r="BK62" s="16">
        <f t="shared" ca="1" si="173"/>
        <v>5</v>
      </c>
      <c r="BL62" s="16">
        <f t="shared" ca="1" si="190"/>
        <v>1</v>
      </c>
      <c r="BM62" s="16">
        <f t="shared" ca="1" si="191"/>
        <v>2</v>
      </c>
      <c r="BN62" s="16">
        <f t="shared" ca="1" si="192"/>
        <v>2</v>
      </c>
      <c r="BO62" s="16" t="str">
        <f t="shared" si="174"/>
        <v>4E</v>
      </c>
      <c r="BP62" s="16"/>
      <c r="BQ62" s="16"/>
      <c r="BR62" s="16">
        <f t="shared" ca="1" si="175"/>
        <v>4</v>
      </c>
      <c r="BS62" s="16">
        <f t="shared" ca="1" si="193"/>
        <v>2</v>
      </c>
      <c r="BT62" s="16" t="str">
        <f t="shared" ca="1" si="194"/>
        <v>Pos. 2 (5)</v>
      </c>
      <c r="BU62" s="16">
        <f t="shared" ca="1" si="176"/>
        <v>1</v>
      </c>
      <c r="BV62" s="16">
        <f t="shared" ca="1" si="177"/>
        <v>2</v>
      </c>
      <c r="BW62" s="16" t="str">
        <f t="shared" ca="1" si="178"/>
        <v>Pos. 2 (2)</v>
      </c>
      <c r="BX62" s="16">
        <f t="shared" ca="1" si="179"/>
        <v>6</v>
      </c>
      <c r="BY62" s="16">
        <f t="shared" ca="1" si="180"/>
        <v>2</v>
      </c>
      <c r="BZ62" s="16" t="str">
        <f t="shared" ca="1" si="181"/>
        <v>-</v>
      </c>
      <c r="CA62" s="16" t="str">
        <f t="shared" ca="1" si="182"/>
        <v>-</v>
      </c>
      <c r="CB62" s="16">
        <f t="shared" ca="1" si="195"/>
        <v>2</v>
      </c>
      <c r="CC62" s="16"/>
      <c r="CD62" s="16">
        <f t="shared" ca="1" si="183"/>
        <v>2</v>
      </c>
      <c r="CE62" s="16" t="str">
        <f t="shared" ca="1" si="196"/>
        <v>-</v>
      </c>
      <c r="CF62" s="16">
        <f t="shared" ca="1" si="197"/>
        <v>2</v>
      </c>
      <c r="DJ62" s="16">
        <f t="shared" ca="1" si="184"/>
        <v>4</v>
      </c>
      <c r="DK62" s="16"/>
      <c r="DL62" s="16">
        <f t="shared" ca="1" si="185"/>
        <v>2</v>
      </c>
      <c r="DM62" s="16" t="str">
        <f t="shared" ca="1" si="186"/>
        <v>4.2</v>
      </c>
      <c r="DN62" s="16" t="e" cm="1" vm="1">
        <f t="array" aca="1" ref="DN62" ca="1">OFFSET(Horarios!$P$3,DJ62-1,0,DL62,1)</f>
        <v>#VALUE!</v>
      </c>
      <c r="DO62" s="16"/>
      <c r="DP62" s="16">
        <v>5</v>
      </c>
      <c r="DQ62" s="16" t="str">
        <f t="shared" ca="1" si="198"/>
        <v>Irán</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65"/>
      <c r="X63" s="24">
        <f ca="1">Horarios!C63</f>
        <v>46195</v>
      </c>
      <c r="Y63" s="25">
        <f ca="1">Horarios!C63</f>
        <v>46195</v>
      </c>
      <c r="Z63" s="26" t="str">
        <f>$Z$6</f>
        <v>J2</v>
      </c>
      <c r="AA63" s="27" t="str">
        <f ca="1">A64</f>
        <v>Uruguay</v>
      </c>
      <c r="AB63" s="49" t="str" cm="1">
        <f t="array" aca="1" ref="AB63" ca="1">Ver_flag_local</f>
        <v/>
      </c>
      <c r="AC63" s="50">
        <v>2</v>
      </c>
      <c r="AD63" s="51">
        <v>0</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4</v>
      </c>
      <c r="AT63" s="43">
        <f t="shared" ca="1" si="215"/>
        <v>1</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5</v>
      </c>
      <c r="BF63" s="16">
        <f t="shared" ca="1" si="189"/>
        <v>3</v>
      </c>
      <c r="BG63" s="16">
        <f t="shared" ca="1" si="169"/>
        <v>1</v>
      </c>
      <c r="BH63" s="16">
        <f t="shared" ca="1" si="170"/>
        <v>2</v>
      </c>
      <c r="BI63" s="16">
        <f t="shared" ca="1" si="171"/>
        <v>0</v>
      </c>
      <c r="BJ63" s="16">
        <f t="shared" ca="1" si="172"/>
        <v>4</v>
      </c>
      <c r="BK63" s="16">
        <f t="shared" ca="1" si="173"/>
        <v>3</v>
      </c>
      <c r="BL63" s="16">
        <f t="shared" ca="1" si="190"/>
        <v>1</v>
      </c>
      <c r="BM63" s="16">
        <f t="shared" ca="1" si="191"/>
        <v>1</v>
      </c>
      <c r="BN63" s="16">
        <f t="shared" ca="1" si="192"/>
        <v>1</v>
      </c>
      <c r="BO63" s="16" t="str">
        <f t="shared" si="174"/>
        <v>4F</v>
      </c>
      <c r="BP63" s="16"/>
      <c r="BQ63" s="16"/>
      <c r="BR63" s="16">
        <f t="shared" ca="1" si="175"/>
        <v>5</v>
      </c>
      <c r="BS63" s="16">
        <f t="shared" ca="1" si="193"/>
        <v>1</v>
      </c>
      <c r="BT63" s="16" t="str">
        <f t="shared" ca="1" si="194"/>
        <v>-</v>
      </c>
      <c r="BU63" s="16" t="str">
        <f t="shared" ca="1" si="176"/>
        <v>-</v>
      </c>
      <c r="BV63" s="16">
        <f t="shared" ca="1" si="177"/>
        <v>1</v>
      </c>
      <c r="BW63" s="16" t="str">
        <f t="shared" ca="1" si="178"/>
        <v>-</v>
      </c>
      <c r="BX63" s="16" t="str">
        <f t="shared" ca="1" si="179"/>
        <v>-</v>
      </c>
      <c r="BY63" s="16">
        <f t="shared" ca="1" si="180"/>
        <v>1</v>
      </c>
      <c r="BZ63" s="16" t="str">
        <f t="shared" ca="1" si="181"/>
        <v>-</v>
      </c>
      <c r="CA63" s="16" t="str">
        <f t="shared" ca="1" si="182"/>
        <v>-</v>
      </c>
      <c r="CB63" s="16">
        <f t="shared" ca="1" si="195"/>
        <v>1</v>
      </c>
      <c r="CC63" s="16"/>
      <c r="CD63" s="16">
        <f t="shared" ca="1" si="183"/>
        <v>1</v>
      </c>
      <c r="CE63" s="16" t="str">
        <f t="shared" ca="1" si="196"/>
        <v>-</v>
      </c>
      <c r="CF63" s="16">
        <f t="shared" ca="1" si="197"/>
        <v>1</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Paraguay</v>
      </c>
    </row>
    <row r="64" spans="1:121" ht="16.0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65"/>
      <c r="X64" s="24">
        <f ca="1">Horarios!C64</f>
        <v>46200.083333333336</v>
      </c>
      <c r="Y64" s="25">
        <f ca="1">Horarios!C64</f>
        <v>46200.083333333336</v>
      </c>
      <c r="Z64" s="26" t="str">
        <f>$Z$8</f>
        <v>J3</v>
      </c>
      <c r="AA64" s="27" t="str">
        <f ca="1">A62</f>
        <v>Cabo Verde</v>
      </c>
      <c r="AB64" s="49" t="str" cm="1">
        <f t="array" aca="1" ref="AB64" ca="1">Ver_flag_local</f>
        <v/>
      </c>
      <c r="AC64" s="50">
        <v>1</v>
      </c>
      <c r="AD64" s="51">
        <v>2</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6</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3</v>
      </c>
      <c r="BK64" s="16">
        <f t="shared" ca="1" si="173"/>
        <v>4</v>
      </c>
      <c r="BL64" s="16">
        <f t="shared" ca="1" si="190"/>
        <v>-1</v>
      </c>
      <c r="BM64" s="16">
        <f t="shared" ca="1" si="191"/>
        <v>5</v>
      </c>
      <c r="BN64" s="16">
        <f t="shared" ca="1" si="192"/>
        <v>5</v>
      </c>
      <c r="BO64" s="16" t="str">
        <f t="shared" si="174"/>
        <v>4G</v>
      </c>
      <c r="BP64" s="16"/>
      <c r="BQ64" s="16"/>
      <c r="BR64" s="16">
        <f t="shared" ca="1" si="175"/>
        <v>4</v>
      </c>
      <c r="BS64" s="16">
        <f t="shared" ca="1" si="193"/>
        <v>2</v>
      </c>
      <c r="BT64" s="16" t="str">
        <f t="shared" ca="1" si="194"/>
        <v>Pos. 2 (5)</v>
      </c>
      <c r="BU64" s="16">
        <f t="shared" ca="1" si="176"/>
        <v>-1</v>
      </c>
      <c r="BV64" s="16">
        <f t="shared" ca="1" si="177"/>
        <v>4</v>
      </c>
      <c r="BW64" s="16" t="str">
        <f t="shared" ca="1" si="178"/>
        <v>Pos. 4 (3)</v>
      </c>
      <c r="BX64" s="16">
        <f t="shared" ca="1" si="179"/>
        <v>3</v>
      </c>
      <c r="BY64" s="16">
        <f t="shared" ca="1" si="180"/>
        <v>4</v>
      </c>
      <c r="BZ64" s="16" t="str">
        <f t="shared" ca="1" si="181"/>
        <v>Pos. 4 (2)</v>
      </c>
      <c r="CA64" s="16">
        <f t="shared" ca="1" si="182"/>
        <v>5</v>
      </c>
      <c r="CB64" s="16">
        <f t="shared" ca="1" si="195"/>
        <v>5</v>
      </c>
      <c r="CC64" s="16"/>
      <c r="CD64" s="16">
        <f t="shared" ca="1" si="183"/>
        <v>5</v>
      </c>
      <c r="CE64" s="16">
        <f t="shared" ca="1" si="196"/>
        <v>4</v>
      </c>
      <c r="CF64" s="16">
        <f t="shared" ca="1" si="197"/>
        <v>5</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Ghana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66"/>
      <c r="X65" s="28">
        <f ca="1">Horarios!C65</f>
        <v>46200.083333333336</v>
      </c>
      <c r="Y65" s="29">
        <f ca="1">Horarios!C65</f>
        <v>46200.083333333336</v>
      </c>
      <c r="Z65" s="30" t="str">
        <f>$Z$8</f>
        <v>J3</v>
      </c>
      <c r="AA65" s="31" t="str">
        <f ca="1">A64</f>
        <v>Uruguay</v>
      </c>
      <c r="AB65" s="52" t="str" cm="1">
        <f t="array" aca="1" ref="AB65" ca="1">Ver_flag_local</f>
        <v/>
      </c>
      <c r="AC65" s="53">
        <v>1</v>
      </c>
      <c r="AD65" s="54">
        <v>3</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10</v>
      </c>
      <c r="AT65" s="48">
        <f t="shared" ca="1" si="215"/>
        <v>-9</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6</v>
      </c>
      <c r="BL65" s="16">
        <f t="shared" ca="1" si="190"/>
        <v>-3</v>
      </c>
      <c r="BM65" s="16">
        <f t="shared" ca="1" si="191"/>
        <v>10</v>
      </c>
      <c r="BN65" s="16">
        <f t="shared" ca="1" si="192"/>
        <v>10</v>
      </c>
      <c r="BO65" s="16" t="str">
        <f t="shared" si="174"/>
        <v>4H</v>
      </c>
      <c r="BP65" s="16"/>
      <c r="BQ65" s="16"/>
      <c r="BR65" s="16">
        <f t="shared" ca="1" si="175"/>
        <v>3</v>
      </c>
      <c r="BS65" s="16">
        <f t="shared" ca="1" si="193"/>
        <v>7</v>
      </c>
      <c r="BT65" s="16" t="str">
        <f t="shared" ca="1" si="194"/>
        <v>Pos. 7 (4)</v>
      </c>
      <c r="BU65" s="16">
        <f t="shared" ca="1" si="176"/>
        <v>-3</v>
      </c>
      <c r="BV65" s="16">
        <f t="shared" ca="1" si="177"/>
        <v>10</v>
      </c>
      <c r="BW65" s="16" t="str">
        <f t="shared" ca="1" si="178"/>
        <v>-</v>
      </c>
      <c r="BX65" s="16" t="str">
        <f t="shared" ca="1" si="179"/>
        <v>-</v>
      </c>
      <c r="BY65" s="16">
        <f t="shared" ca="1" si="180"/>
        <v>10</v>
      </c>
      <c r="BZ65" s="16" t="str">
        <f t="shared" ca="1" si="181"/>
        <v>-</v>
      </c>
      <c r="CA65" s="16" t="str">
        <f t="shared" ca="1" si="182"/>
        <v>-</v>
      </c>
      <c r="CB65" s="16">
        <f t="shared" ca="1" si="195"/>
        <v>10</v>
      </c>
      <c r="CC65" s="16"/>
      <c r="CD65" s="16">
        <f t="shared" ca="1" si="183"/>
        <v>10</v>
      </c>
      <c r="CE65" s="16" t="str">
        <f t="shared" ca="1" si="196"/>
        <v>-</v>
      </c>
      <c r="CF65" s="16">
        <f t="shared" ca="1" si="197"/>
        <v>10</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Escocia</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2</v>
      </c>
      <c r="BK66" s="16">
        <f t="shared" ca="1" si="173"/>
        <v>4</v>
      </c>
      <c r="BL66" s="16">
        <f t="shared" ca="1" si="190"/>
        <v>-2</v>
      </c>
      <c r="BM66" s="16">
        <f t="shared" ca="1" si="191"/>
        <v>9</v>
      </c>
      <c r="BN66" s="16">
        <f t="shared" ca="1" si="192"/>
        <v>9</v>
      </c>
      <c r="BO66" s="16" t="str">
        <f t="shared" si="174"/>
        <v>4I</v>
      </c>
      <c r="BP66" s="16"/>
      <c r="BQ66" s="16"/>
      <c r="BR66" s="16">
        <f t="shared" ca="1" si="175"/>
        <v>3</v>
      </c>
      <c r="BS66" s="16">
        <f t="shared" ca="1" si="193"/>
        <v>7</v>
      </c>
      <c r="BT66" s="16" t="str">
        <f t="shared" ca="1" si="194"/>
        <v>Pos. 7 (4)</v>
      </c>
      <c r="BU66" s="16">
        <f t="shared" ca="1" si="176"/>
        <v>-2</v>
      </c>
      <c r="BV66" s="16">
        <f t="shared" ca="1" si="177"/>
        <v>8</v>
      </c>
      <c r="BW66" s="16" t="str">
        <f t="shared" ca="1" si="178"/>
        <v>Pos. 8 (2)</v>
      </c>
      <c r="BX66" s="16">
        <f t="shared" ca="1" si="179"/>
        <v>2</v>
      </c>
      <c r="BY66" s="16">
        <f t="shared" ca="1" si="180"/>
        <v>9</v>
      </c>
      <c r="BZ66" s="16" t="str">
        <f t="shared" ca="1" si="181"/>
        <v>-</v>
      </c>
      <c r="CA66" s="16" t="str">
        <f t="shared" ca="1" si="182"/>
        <v>-</v>
      </c>
      <c r="CB66" s="16">
        <f t="shared" ca="1" si="195"/>
        <v>9</v>
      </c>
      <c r="CC66" s="16"/>
      <c r="CD66" s="16">
        <f t="shared" ca="1" si="183"/>
        <v>9</v>
      </c>
      <c r="CE66" s="16" t="str">
        <f t="shared" ca="1" si="196"/>
        <v>-</v>
      </c>
      <c r="CF66" s="16">
        <f t="shared" ca="1" si="197"/>
        <v>9</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Senegal</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3</v>
      </c>
      <c r="BK67" s="16">
        <f t="shared" ca="1" si="173"/>
        <v>4</v>
      </c>
      <c r="BL67" s="16">
        <f t="shared" ca="1" si="190"/>
        <v>-1</v>
      </c>
      <c r="BM67" s="16">
        <f t="shared" ca="1" si="191"/>
        <v>4</v>
      </c>
      <c r="BN67" s="16">
        <f t="shared" ca="1" si="192"/>
        <v>4</v>
      </c>
      <c r="BO67" s="16" t="str">
        <f t="shared" si="174"/>
        <v>4J</v>
      </c>
      <c r="BP67" s="16"/>
      <c r="BQ67" s="16"/>
      <c r="BR67" s="16">
        <f t="shared" ca="1" si="175"/>
        <v>4</v>
      </c>
      <c r="BS67" s="16">
        <f t="shared" ca="1" si="193"/>
        <v>2</v>
      </c>
      <c r="BT67" s="16" t="str">
        <f t="shared" ca="1" si="194"/>
        <v>Pos. 2 (5)</v>
      </c>
      <c r="BU67" s="16">
        <f t="shared" ca="1" si="176"/>
        <v>-1</v>
      </c>
      <c r="BV67" s="16">
        <f t="shared" ca="1" si="177"/>
        <v>4</v>
      </c>
      <c r="BW67" s="16" t="str">
        <f t="shared" ca="1" si="178"/>
        <v>Pos. 4 (3)</v>
      </c>
      <c r="BX67" s="16">
        <f t="shared" ca="1" si="179"/>
        <v>3</v>
      </c>
      <c r="BY67" s="16">
        <f t="shared" ca="1" si="180"/>
        <v>4</v>
      </c>
      <c r="BZ67" s="16" t="str">
        <f t="shared" ca="1" si="181"/>
        <v>Pos. 4 (2)</v>
      </c>
      <c r="CA67" s="16">
        <f t="shared" ca="1" si="182"/>
        <v>10</v>
      </c>
      <c r="CB67" s="16">
        <f t="shared" ca="1" si="195"/>
        <v>4</v>
      </c>
      <c r="CC67" s="16"/>
      <c r="CD67" s="16">
        <f t="shared" ca="1" si="183"/>
        <v>4</v>
      </c>
      <c r="CE67" s="16">
        <f t="shared" ca="1" si="196"/>
        <v>3</v>
      </c>
      <c r="CF67" s="16">
        <f t="shared" ca="1" si="197"/>
        <v>4</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Arabia Saudita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71" t="s">
        <v>448</v>
      </c>
      <c r="X68" s="24">
        <f ca="1">Horarios!C68</f>
        <v>46189.875</v>
      </c>
      <c r="Y68" s="25">
        <f ca="1">Horarios!C68</f>
        <v>46189.875</v>
      </c>
      <c r="Z68" s="26" t="str">
        <f>$Z$4</f>
        <v>J1</v>
      </c>
      <c r="AA68" s="27" t="str">
        <f ca="1">A69</f>
        <v>Francia</v>
      </c>
      <c r="AB68" s="49" t="str" cm="1">
        <f t="array" aca="1" ref="AB68" ca="1">Ver_flag_local</f>
        <v/>
      </c>
      <c r="AC68" s="50">
        <v>2</v>
      </c>
      <c r="AD68" s="51">
        <v>0</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2</v>
      </c>
      <c r="BK68" s="16">
        <f t="shared" ca="1" si="173"/>
        <v>6</v>
      </c>
      <c r="BL68" s="16">
        <f t="shared" ca="1" si="190"/>
        <v>-4</v>
      </c>
      <c r="BM68" s="16">
        <f t="shared" ca="1" si="191"/>
        <v>12</v>
      </c>
      <c r="BN68" s="16">
        <f t="shared" ca="1" si="192"/>
        <v>12</v>
      </c>
      <c r="BO68" s="16" t="str">
        <f t="shared" si="174"/>
        <v>4K</v>
      </c>
      <c r="BP68" s="16"/>
      <c r="BQ68" s="16"/>
      <c r="BR68" s="16">
        <f t="shared" ca="1" si="175"/>
        <v>1</v>
      </c>
      <c r="BS68" s="16">
        <f t="shared" ca="1" si="193"/>
        <v>11</v>
      </c>
      <c r="BT68" s="16" t="str">
        <f t="shared" ca="1" si="194"/>
        <v>Pos. 11 (2)</v>
      </c>
      <c r="BU68" s="16">
        <f t="shared" ca="1" si="176"/>
        <v>-4</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Canadá</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71"/>
      <c r="X69" s="24">
        <f ca="1">Horarios!C69</f>
        <v>46190</v>
      </c>
      <c r="Y69" s="25">
        <f ca="1">Horarios!C69</f>
        <v>46190</v>
      </c>
      <c r="Z69" s="26" t="str">
        <f>$Z$4</f>
        <v>J1</v>
      </c>
      <c r="AA69" s="27" t="str">
        <f ca="1">A71</f>
        <v>Irak</v>
      </c>
      <c r="AB69" s="49" t="str" cm="1">
        <f t="array" aca="1" ref="AB69" ca="1">Ver_flag_local</f>
        <v/>
      </c>
      <c r="AC69" s="50">
        <v>0</v>
      </c>
      <c r="AD69" s="51">
        <v>3</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4</v>
      </c>
      <c r="BK69" s="16">
        <f t="shared" ca="1" si="173"/>
        <v>5</v>
      </c>
      <c r="BL69" s="16">
        <f t="shared" ca="1" si="190"/>
        <v>-1</v>
      </c>
      <c r="BM69" s="16">
        <f t="shared" ca="1" si="191"/>
        <v>7</v>
      </c>
      <c r="BN69" s="16">
        <f t="shared" ca="1" si="192"/>
        <v>7</v>
      </c>
      <c r="BO69" s="16" t="str">
        <f t="shared" si="174"/>
        <v>4L</v>
      </c>
      <c r="BP69" s="16"/>
      <c r="BQ69" s="16"/>
      <c r="BR69" s="16">
        <f t="shared" ca="1" si="175"/>
        <v>3</v>
      </c>
      <c r="BS69" s="16">
        <f t="shared" ca="1" si="193"/>
        <v>7</v>
      </c>
      <c r="BT69" s="16" t="str">
        <f t="shared" ca="1" si="194"/>
        <v>Pos. 7 (4)</v>
      </c>
      <c r="BU69" s="16">
        <f t="shared" ca="1" si="176"/>
        <v>-1</v>
      </c>
      <c r="BV69" s="16">
        <f t="shared" ca="1" si="177"/>
        <v>7</v>
      </c>
      <c r="BW69" s="16" t="str">
        <f t="shared" ca="1" si="178"/>
        <v>-</v>
      </c>
      <c r="BX69" s="16" t="str">
        <f t="shared" ca="1" si="179"/>
        <v>-</v>
      </c>
      <c r="BY69" s="16">
        <f t="shared" ca="1" si="180"/>
        <v>7</v>
      </c>
      <c r="BZ69" s="16" t="str">
        <f t="shared" ca="1" si="181"/>
        <v>-</v>
      </c>
      <c r="CA69" s="16" t="str">
        <f t="shared" ca="1" si="182"/>
        <v>-</v>
      </c>
      <c r="CB69" s="16">
        <f ca="1">BY69+COUNTIFS(BZ$58:BZ$69,BZ69,CA$58:CA$69,"&gt;"&amp;CA69)</f>
        <v>7</v>
      </c>
      <c r="CC69" s="16"/>
      <c r="CD69" s="16">
        <f t="shared" ca="1" si="183"/>
        <v>7</v>
      </c>
      <c r="CE69" s="16" t="str">
        <f t="shared" ca="1" si="196"/>
        <v>-</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71"/>
      <c r="X70" s="24">
        <f ca="1">Horarios!C70</f>
        <v>46195.958333333336</v>
      </c>
      <c r="Y70" s="25">
        <f ca="1">Horarios!C70</f>
        <v>46195.958333333336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30">
        <f ca="1">INDEX($DL$6:$DL$53,MATCH(AI70,$DP$6:$DP$53,0))</f>
        <v>1</v>
      </c>
      <c r="AV70" s="182" t="str">
        <f ca="1">INDEX($BD$6:$BD$53,MATCH(AI70,$BM$6:$BM$53,0))</f>
        <v>Francia</v>
      </c>
      <c r="AW70" s="210"/>
      <c r="AX70" s="171"/>
      <c r="AY70" s="201" t="str">
        <f ca="1">+A69</f>
        <v>Francia</v>
      </c>
      <c r="AZ70" s="202"/>
      <c r="BA70" s="17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71"/>
      <c r="X71" s="24">
        <f ca="1">Horarios!C71</f>
        <v>46196.083333333336</v>
      </c>
      <c r="Y71" s="25">
        <f ca="1">Horarios!C71</f>
        <v>46196.083333333336</v>
      </c>
      <c r="Z71" s="26" t="str">
        <f>$Z$6</f>
        <v>J2</v>
      </c>
      <c r="AA71" s="27" t="str">
        <f ca="1">A72</f>
        <v>Noruega</v>
      </c>
      <c r="AB71" s="49" t="str" cm="1">
        <f t="array" aca="1" ref="AB71" ca="1">Ver_flag_local</f>
        <v/>
      </c>
      <c r="AC71" s="50">
        <v>2</v>
      </c>
      <c r="AD71" s="51">
        <v>0</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6</v>
      </c>
      <c r="AS71" s="39">
        <f t="shared" ca="1" si="233"/>
        <v>2</v>
      </c>
      <c r="AT71" s="43">
        <f t="shared" ca="1" si="233"/>
        <v>4</v>
      </c>
      <c r="AU71" s="330">
        <f ca="1">INDEX($DL$6:$DL$53,MATCH(AI71,$DP$6:$DP$53,0))</f>
        <v>1</v>
      </c>
      <c r="AV71" s="182" t="str">
        <f ca="1">INDEX($BD$6:$BD$53,MATCH(AI71,$BM$6:$BM$53,0))</f>
        <v>Noruega</v>
      </c>
      <c r="AW71" s="210"/>
      <c r="AX71" s="171"/>
      <c r="AY71" s="203" t="str">
        <f ca="1">+A70</f>
        <v>Senegal</v>
      </c>
      <c r="AZ71" s="204"/>
      <c r="BA71" s="17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71"/>
      <c r="X72" s="24">
        <f ca="1">Horarios!C72</f>
        <v>46199.875</v>
      </c>
      <c r="Y72" s="25">
        <f ca="1">Horarios!C72</f>
        <v>46199.875</v>
      </c>
      <c r="Z72" s="26" t="str">
        <f>$Z$8</f>
        <v>J3</v>
      </c>
      <c r="AA72" s="27" t="str">
        <f ca="1">A72</f>
        <v>Noruega</v>
      </c>
      <c r="AB72" s="49" t="str" cm="1">
        <f t="array" aca="1" ref="AB72" ca="1">Ver_flag_local</f>
        <v/>
      </c>
      <c r="AC72" s="50">
        <v>1</v>
      </c>
      <c r="AD72" s="51">
        <v>2</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2</v>
      </c>
      <c r="AS72" s="39">
        <f t="shared" ca="1" si="233"/>
        <v>4</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72"/>
      <c r="X73" s="28">
        <f ca="1">Horarios!C73</f>
        <v>46199.875</v>
      </c>
      <c r="Y73" s="29">
        <f ca="1">Horarios!C73</f>
        <v>46199.875</v>
      </c>
      <c r="Z73" s="30" t="str">
        <f>$Z$8</f>
        <v>J3</v>
      </c>
      <c r="AA73" s="31" t="str">
        <f ca="1">A70</f>
        <v>Senegal</v>
      </c>
      <c r="AB73" s="52" t="str" cm="1">
        <f t="array" aca="1" ref="AB73" ca="1">Ver_flag_local</f>
        <v/>
      </c>
      <c r="AC73" s="53">
        <v>2</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8</v>
      </c>
      <c r="AT73" s="48">
        <f t="shared" ca="1" si="233"/>
        <v>-8</v>
      </c>
      <c r="AU73" s="330">
        <f ca="1">INDEX($DL$6:$DL$53,MATCH(AI73,$DP$6:$DP$53,0))</f>
        <v>1</v>
      </c>
      <c r="AV73" s="182" t="str">
        <f ca="1">INDEX($BD$6:$BD$53,MATCH(AI73,$BM$6:$BM$53,0))</f>
        <v>Irak</v>
      </c>
      <c r="AW73" s="210"/>
      <c r="AX73" s="171"/>
      <c r="AY73" s="205" t="str">
        <f ca="1">+A72</f>
        <v>Noruega</v>
      </c>
      <c r="AZ73" s="206"/>
      <c r="BA73" s="17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67" t="s">
        <v>5</v>
      </c>
      <c r="X76" s="24">
        <f ca="1">Horarios!C76</f>
        <v>46190.125</v>
      </c>
      <c r="Y76" s="25">
        <f ca="1">Horarios!C76</f>
        <v>46190.125</v>
      </c>
      <c r="Z76" s="26" t="str">
        <f>$Z$4</f>
        <v>J1</v>
      </c>
      <c r="AA76" s="27" t="str">
        <f ca="1">A77</f>
        <v>Argentina</v>
      </c>
      <c r="AB76" s="49" t="str" cm="1">
        <f t="array" aca="1" ref="AB76" ca="1">Ver_flag_local</f>
        <v/>
      </c>
      <c r="AC76" s="50">
        <v>3</v>
      </c>
      <c r="AD76" s="51">
        <v>1</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0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67"/>
      <c r="X77" s="24">
        <f ca="1">Horarios!C77</f>
        <v>46190.25</v>
      </c>
      <c r="Y77" s="25">
        <f ca="1">Horarios!C77</f>
        <v>46190.25</v>
      </c>
      <c r="Z77" s="26" t="str">
        <f>$Z$4</f>
        <v>J1</v>
      </c>
      <c r="AA77" s="27" t="str">
        <f ca="1">A79</f>
        <v>Austria</v>
      </c>
      <c r="AB77" s="49" t="str" cm="1">
        <f t="array" aca="1" ref="AB77" ca="1">Ver_flag_local</f>
        <v/>
      </c>
      <c r="AC77" s="50">
        <v>2</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0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67"/>
      <c r="X78" s="24">
        <f ca="1">Horarios!C78</f>
        <v>46195.791666666664</v>
      </c>
      <c r="Y78" s="25">
        <f ca="1">Horarios!C78</f>
        <v>46195.791666666664</v>
      </c>
      <c r="Z78" s="26" t="str">
        <f>$Z$6</f>
        <v>J2</v>
      </c>
      <c r="AA78" s="27" t="str">
        <f ca="1">A77</f>
        <v>Argentina</v>
      </c>
      <c r="AB78" s="49" t="str" cm="1">
        <f t="array" aca="1" ref="AB78" ca="1">Ver_flag_local</f>
        <v/>
      </c>
      <c r="AC78" s="50">
        <v>2</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9</v>
      </c>
      <c r="AS78" s="36">
        <f t="shared" ca="1" si="251"/>
        <v>1</v>
      </c>
      <c r="AT78" s="41">
        <f t="shared" ca="1" si="251"/>
        <v>8</v>
      </c>
      <c r="AU78" s="330">
        <f ca="1">INDEX($DL$6:$DL$53,MATCH(AI78,$DP$6:$DP$53,0))</f>
        <v>1</v>
      </c>
      <c r="AV78" s="182" t="str">
        <f ca="1">INDEX($BD$6:$BD$53,MATCH(AI78,$BM$6:$BM$53,0))</f>
        <v>Argentina</v>
      </c>
      <c r="AW78" s="210"/>
      <c r="AX78" s="171"/>
      <c r="AY78" s="201" t="str">
        <f ca="1">+A77</f>
        <v>Argentina</v>
      </c>
      <c r="AZ78" s="202"/>
      <c r="BA78" s="176"/>
      <c r="DN78" s="16"/>
    </row>
    <row r="79" spans="1:121" ht="16.0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67"/>
      <c r="X79" s="24">
        <f ca="1">Horarios!C79</f>
        <v>46196.208333333336</v>
      </c>
      <c r="Y79" s="25">
        <f ca="1">Horarios!C79</f>
        <v>46196.208333333336</v>
      </c>
      <c r="Z79" s="26" t="str">
        <f>$Z$6</f>
        <v>J2</v>
      </c>
      <c r="AA79" s="27" t="str">
        <f ca="1">A80</f>
        <v>Jordania</v>
      </c>
      <c r="AB79" s="49" t="str" cm="1">
        <f t="array" aca="1" ref="AB79" ca="1">Ver_flag_local</f>
        <v/>
      </c>
      <c r="AC79" s="50">
        <v>0</v>
      </c>
      <c r="AD79" s="51">
        <v>1</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3</v>
      </c>
      <c r="AS79" s="39">
        <f t="shared" ca="1" si="251"/>
        <v>3</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0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67"/>
      <c r="X80" s="24">
        <f ca="1">Horarios!C80</f>
        <v>46201.166666666664</v>
      </c>
      <c r="Y80" s="25">
        <f ca="1">Horarios!C80</f>
        <v>46201.166666666664</v>
      </c>
      <c r="Z80" s="26" t="str">
        <f>$Z$8</f>
        <v>J3</v>
      </c>
      <c r="AA80" s="27" t="str">
        <f ca="1">A78</f>
        <v>Argelia</v>
      </c>
      <c r="AB80" s="49" t="str" cm="1">
        <f t="array" aca="1" ref="AB80" ca="1">Ver_flag_local</f>
        <v/>
      </c>
      <c r="AC80" s="50">
        <v>1</v>
      </c>
      <c r="AD80" s="51">
        <v>1</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3</v>
      </c>
      <c r="AS80" s="39">
        <f t="shared" ca="1" si="251"/>
        <v>4</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8"/>
      <c r="X81" s="28">
        <f ca="1">Horarios!C81</f>
        <v>46201.166666666664</v>
      </c>
      <c r="Y81" s="29">
        <f ca="1">Horarios!C81</f>
        <v>46201.166666666664</v>
      </c>
      <c r="Z81" s="30" t="str">
        <f>$Z$8</f>
        <v>J3</v>
      </c>
      <c r="AA81" s="31" t="str">
        <f ca="1">A80</f>
        <v>Jordania</v>
      </c>
      <c r="AB81" s="52" t="str" cm="1">
        <f t="array" aca="1" ref="AB81" ca="1">Ver_flag_local</f>
        <v/>
      </c>
      <c r="AC81" s="53">
        <v>0</v>
      </c>
      <c r="AD81" s="54">
        <v>4</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7</v>
      </c>
      <c r="AT81" s="48">
        <f t="shared" ca="1" si="251"/>
        <v>-7</v>
      </c>
      <c r="AU81" s="330">
        <f ca="1">INDEX($DL$6:$DL$53,MATCH(AI81,$DP$6:$DP$53,0))</f>
        <v>1</v>
      </c>
      <c r="AV81" s="182" t="str">
        <f ca="1">INDEX($BD$6:$BD$53,MATCH(AI81,$BM$6:$BM$53,0))</f>
        <v>Jordania</v>
      </c>
      <c r="AW81" s="210"/>
      <c r="AX81" s="171"/>
      <c r="AY81" s="205" t="str">
        <f ca="1">+A80</f>
        <v>Jordania</v>
      </c>
      <c r="AZ81" s="206"/>
      <c r="BA81" s="17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73" t="s">
        <v>449</v>
      </c>
      <c r="X84" s="24">
        <f ca="1">Horarios!C84</f>
        <v>46190.791666666664</v>
      </c>
      <c r="Y84" s="25">
        <f ca="1">Horarios!C84</f>
        <v>46190.791666666664</v>
      </c>
      <c r="Z84" s="26" t="str">
        <f>$Z$4</f>
        <v>J1</v>
      </c>
      <c r="AA84" s="27" t="str">
        <f ca="1">A85</f>
        <v>Portugal</v>
      </c>
      <c r="AB84" s="49" t="str" cm="1">
        <f t="array" aca="1" ref="AB84" ca="1">Ver_flag_local</f>
        <v/>
      </c>
      <c r="AC84" s="50">
        <v>3</v>
      </c>
      <c r="AD84" s="51">
        <v>0</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05" customHeight="1">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73"/>
      <c r="X85" s="24">
        <f ca="1">Horarios!C85</f>
        <v>46191.166666666664</v>
      </c>
      <c r="Y85" s="25">
        <f ca="1">Horarios!C85</f>
        <v>46191.166666666664</v>
      </c>
      <c r="Z85" s="26" t="str">
        <f>$Z$4</f>
        <v>J1</v>
      </c>
      <c r="AA85" s="27" t="str">
        <f ca="1">A87</f>
        <v>Uzbekistán</v>
      </c>
      <c r="AB85" s="49" t="str" cm="1">
        <f t="array" aca="1" ref="AB85" ca="1">Ver_flag_local</f>
        <v/>
      </c>
      <c r="AC85" s="50">
        <v>0</v>
      </c>
      <c r="AD85" s="51">
        <v>2</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05" customHeight="1">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73"/>
      <c r="X86" s="24">
        <f ca="1">Horarios!C86</f>
        <v>46196.791666666664</v>
      </c>
      <c r="Y86" s="25">
        <f ca="1">Horarios!C86</f>
        <v>46196.791666666664</v>
      </c>
      <c r="Z86" s="26" t="str">
        <f>$Z$6</f>
        <v>J2</v>
      </c>
      <c r="AA86" s="27" t="str">
        <f ca="1">A85</f>
        <v>Portugal</v>
      </c>
      <c r="AB86" s="49" t="str" cm="1">
        <f t="array" aca="1" ref="AB86" ca="1">Ver_flag_local</f>
        <v/>
      </c>
      <c r="AC86" s="50">
        <v>2</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6</v>
      </c>
      <c r="AS86" s="36">
        <f t="shared" ca="1" si="269"/>
        <v>1</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6.05" customHeight="1">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73"/>
      <c r="X87" s="24">
        <f ca="1">Horarios!C87</f>
        <v>46197.166666666664</v>
      </c>
      <c r="Y87" s="25">
        <f ca="1">Horarios!C87</f>
        <v>46197.166666666664</v>
      </c>
      <c r="Z87" s="26" t="str">
        <f>$Z$6</f>
        <v>J2</v>
      </c>
      <c r="AA87" s="27" t="str">
        <f ca="1">A88</f>
        <v>Colombia</v>
      </c>
      <c r="AB87" s="49" t="str" cm="1">
        <f t="array" aca="1" ref="AB87" ca="1">Ver_flag_local</f>
        <v/>
      </c>
      <c r="AC87" s="50">
        <v>2</v>
      </c>
      <c r="AD87" s="51">
        <v>1</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6.0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73"/>
      <c r="X88" s="24">
        <f ca="1">Horarios!C88</f>
        <v>46201.0625</v>
      </c>
      <c r="Y88" s="25">
        <f ca="1">Horarios!C88</f>
        <v>46201.0625</v>
      </c>
      <c r="Z88" s="26" t="str">
        <f>$Z$8</f>
        <v>J3</v>
      </c>
      <c r="AA88" s="27" t="str">
        <f ca="1">A88</f>
        <v>Colombia</v>
      </c>
      <c r="AB88" s="49" t="str" cm="1">
        <f t="array" aca="1" ref="AB88" ca="1">Ver_flag_local</f>
        <v/>
      </c>
      <c r="AC88" s="50">
        <v>1</v>
      </c>
      <c r="AD88" s="51">
        <v>1</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2</v>
      </c>
      <c r="AS88" s="39">
        <f t="shared" ca="1" si="269"/>
        <v>6</v>
      </c>
      <c r="AT88" s="43">
        <f t="shared" ca="1" si="269"/>
        <v>-4</v>
      </c>
      <c r="AU88" s="330">
        <f ca="1">INDEX($DL$6:$DL$53,MATCH(AI88,$DP$6:$DP$53,0))</f>
        <v>1</v>
      </c>
      <c r="AV88" s="182" t="str">
        <f ca="1">INDEX($BD$6:$BD$53,MATCH(AI88,$BM$6:$BM$53,0))</f>
        <v>RD Congo</v>
      </c>
      <c r="AW88" s="210"/>
      <c r="AX88" s="171"/>
      <c r="AY88" s="201" t="str">
        <f ca="1">+A87</f>
        <v>Uzbekistán</v>
      </c>
      <c r="AZ88" s="202"/>
      <c r="BA88" s="176"/>
    </row>
    <row r="89" spans="1:118" ht="16.0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74"/>
      <c r="X89" s="28">
        <f ca="1">Horarios!C89</f>
        <v>46201.0625</v>
      </c>
      <c r="Y89" s="29">
        <f ca="1">Horarios!C89</f>
        <v>46201.0625</v>
      </c>
      <c r="Z89" s="30" t="str">
        <f>$Z$8</f>
        <v>J3</v>
      </c>
      <c r="AA89" s="31" t="str">
        <f ca="1">A86</f>
        <v>RD Congo</v>
      </c>
      <c r="AB89" s="52" t="str" cm="1">
        <f t="array" aca="1" ref="AB89" ca="1">Ver_flag_local</f>
        <v/>
      </c>
      <c r="AC89" s="53">
        <v>1</v>
      </c>
      <c r="AD89" s="54">
        <v>1</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5</v>
      </c>
      <c r="AT89" s="48">
        <f t="shared" ca="1" si="269"/>
        <v>-4</v>
      </c>
      <c r="AU89" s="330">
        <f ca="1">INDEX($DL$6:$DL$53,MATCH(AI89,$DP$6:$DP$53,0))</f>
        <v>1</v>
      </c>
      <c r="AV89" s="182" t="str">
        <f ca="1">INDEX($BD$6:$BD$53,MATCH(AI89,$BM$6:$BM$53,0))</f>
        <v>Uzbekistán</v>
      </c>
      <c r="AW89" s="210"/>
      <c r="AX89" s="171"/>
      <c r="AY89" s="205" t="str">
        <f ca="1">+A88</f>
        <v>Colombia</v>
      </c>
      <c r="AZ89" s="206"/>
      <c r="BA89" s="17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9" t="s">
        <v>247</v>
      </c>
      <c r="X92" s="24">
        <f ca="1">Horarios!C92</f>
        <v>46190.916666666664</v>
      </c>
      <c r="Y92" s="25">
        <f ca="1">Horarios!C92</f>
        <v>46190.916666666664</v>
      </c>
      <c r="Z92" s="26" t="str">
        <f>$Z$4</f>
        <v>J1</v>
      </c>
      <c r="AA92" s="27" t="str">
        <f ca="1">A93</f>
        <v>Inglaterra</v>
      </c>
      <c r="AB92" s="49" t="str" cm="1">
        <f t="array" aca="1" ref="AB92" ca="1">Ver_flag_local</f>
        <v/>
      </c>
      <c r="AC92" s="50">
        <v>2</v>
      </c>
      <c r="AD92" s="51">
        <v>1</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9"/>
      <c r="X93" s="24">
        <f ca="1">Horarios!C93</f>
        <v>46191.041666666664</v>
      </c>
      <c r="Y93" s="25">
        <f ca="1">Horarios!C93</f>
        <v>46191.041666666664</v>
      </c>
      <c r="Z93" s="26" t="str">
        <f>$Z$4</f>
        <v>J1</v>
      </c>
      <c r="AA93" s="27" t="str">
        <f ca="1">A95</f>
        <v>Ghana</v>
      </c>
      <c r="AB93" s="49" t="str" cm="1">
        <f t="array" aca="1" ref="AB93" ca="1">Ver_flag_local</f>
        <v/>
      </c>
      <c r="AC93" s="50">
        <v>3</v>
      </c>
      <c r="AD93" s="51">
        <v>1</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9"/>
      <c r="X94" s="24">
        <f ca="1">Horarios!C94</f>
        <v>46196.916666666664</v>
      </c>
      <c r="Y94" s="25">
        <f ca="1">Horarios!C94</f>
        <v>46196.916666666664</v>
      </c>
      <c r="Z94" s="26" t="str">
        <f>$Z$6</f>
        <v>J2</v>
      </c>
      <c r="AA94" s="27" t="str">
        <f ca="1">A93</f>
        <v>Inglaterra</v>
      </c>
      <c r="AB94" s="49" t="str" cm="1">
        <f t="array" aca="1" ref="AB94" ca="1">Ver_flag_local</f>
        <v/>
      </c>
      <c r="AC94" s="50">
        <v>2</v>
      </c>
      <c r="AD94" s="51">
        <v>0</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1</v>
      </c>
      <c r="AT94" s="41">
        <f t="shared" ca="1" si="287"/>
        <v>6</v>
      </c>
      <c r="AU94" s="330">
        <f ca="1">INDEX($DL$6:$DL$53,MATCH(AI94,$DP$6:$DP$53,0))</f>
        <v>1</v>
      </c>
      <c r="AV94" s="182" t="str">
        <f ca="1">INDEX($BD$6:$BD$53,MATCH(AI94,$BM$6:$BM$53,0))</f>
        <v>Inglaterra</v>
      </c>
      <c r="AW94" s="210"/>
      <c r="AX94" s="171"/>
      <c r="AY94" s="201" t="str">
        <f ca="1">+A93</f>
        <v>Inglaterra</v>
      </c>
      <c r="AZ94" s="202"/>
      <c r="BA94" s="17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9"/>
      <c r="X95" s="24">
        <f ca="1">Horarios!C95</f>
        <v>46197.041666666664</v>
      </c>
      <c r="Y95" s="25">
        <f ca="1">Horarios!C95</f>
        <v>46197.041666666664</v>
      </c>
      <c r="Z95" s="26" t="str">
        <f>$Z$6</f>
        <v>J2</v>
      </c>
      <c r="AA95" s="27" t="str">
        <f ca="1">A96</f>
        <v>Panamá</v>
      </c>
      <c r="AB95" s="49" t="str" cm="1">
        <f t="array" aca="1" ref="AB95" ca="1">Ver_flag_local</f>
        <v/>
      </c>
      <c r="AC95" s="50">
        <v>1</v>
      </c>
      <c r="AD95" s="51">
        <v>3</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4</v>
      </c>
      <c r="AT95" s="43">
        <f t="shared" ca="1" si="287"/>
        <v>2</v>
      </c>
      <c r="AU95" s="330">
        <f ca="1">INDEX($DL$6:$DL$53,MATCH(AI95,$DP$6:$DP$53,0))</f>
        <v>1</v>
      </c>
      <c r="AV95" s="182" t="str">
        <f ca="1">INDEX($BD$6:$BD$53,MATCH(AI95,$BM$6:$BM$53,0))</f>
        <v>Croacia</v>
      </c>
      <c r="AW95" s="210"/>
      <c r="AX95" s="171"/>
      <c r="AY95" s="203" t="str">
        <f ca="1">+A94</f>
        <v>Croacia</v>
      </c>
      <c r="AZ95" s="204"/>
      <c r="BA95" s="17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9"/>
      <c r="X96" s="24">
        <f ca="1">Horarios!C96</f>
        <v>46200.958333333336</v>
      </c>
      <c r="Y96" s="25">
        <f ca="1">Horarios!C96</f>
        <v>46200.958333333336</v>
      </c>
      <c r="Z96" s="26" t="str">
        <f>$Z$8</f>
        <v>J3</v>
      </c>
      <c r="AA96" s="27" t="str">
        <f ca="1">A96</f>
        <v>Panamá</v>
      </c>
      <c r="AB96" s="49" t="str" cm="1">
        <f t="array" aca="1" ref="AB96" ca="1">Ver_flag_local</f>
        <v/>
      </c>
      <c r="AC96" s="50">
        <v>0</v>
      </c>
      <c r="AD96" s="51">
        <v>3</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4</v>
      </c>
      <c r="AS96" s="39">
        <f t="shared" ca="1" si="287"/>
        <v>5</v>
      </c>
      <c r="AT96" s="43">
        <f t="shared" ca="1" si="287"/>
        <v>-1</v>
      </c>
      <c r="AU96" s="330">
        <f ca="1">INDEX($DL$6:$DL$53,MATCH(AI96,$DP$6:$DP$53,0))</f>
        <v>1</v>
      </c>
      <c r="AV96" s="182" t="str">
        <f ca="1">INDEX($BD$6:$BD$53,MATCH(AI96,$BM$6:$BM$53,0))</f>
        <v>Ghana</v>
      </c>
      <c r="AW96" s="210"/>
      <c r="AX96" s="171"/>
      <c r="AY96" s="201" t="str">
        <f ca="1">+A95</f>
        <v>Ghana</v>
      </c>
      <c r="AZ96" s="202"/>
      <c r="BA96" s="176"/>
    </row>
    <row r="97" spans="1:62" ht="16.0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70"/>
      <c r="X97" s="28">
        <f ca="1">Horarios!C97</f>
        <v>46200.958333333336</v>
      </c>
      <c r="Y97" s="29">
        <f ca="1">Horarios!C97</f>
        <v>46200.958333333336</v>
      </c>
      <c r="Z97" s="30" t="str">
        <f>$Z$8</f>
        <v>J3</v>
      </c>
      <c r="AA97" s="31" t="str">
        <f ca="1">A94</f>
        <v>Croacia</v>
      </c>
      <c r="AB97" s="52" t="str" cm="1">
        <f t="array" aca="1" ref="AB97" ca="1">Ver_flag_local</f>
        <v/>
      </c>
      <c r="AC97" s="53">
        <v>2</v>
      </c>
      <c r="AD97" s="54">
        <v>1</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2</v>
      </c>
      <c r="AS97" s="47">
        <f t="shared" ca="1" si="287"/>
        <v>9</v>
      </c>
      <c r="AT97" s="48">
        <f t="shared" ca="1" si="287"/>
        <v>-7</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0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0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México</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75" t="s">
        <v>493</v>
      </c>
      <c r="X101" s="24">
        <f ca="1">Horarios!C101</f>
        <v>46201.875</v>
      </c>
      <c r="Y101" s="25">
        <f ca="1">Horarios!C101</f>
        <v>46201.875</v>
      </c>
      <c r="Z101" s="280">
        <f>AH101</f>
        <v>73</v>
      </c>
      <c r="AA101" s="88" t="str">
        <f t="shared" ref="AA101:AA116" ca="1" si="292">+INDEX($M$101:$M$147,MATCH(AH101,$J$101:$J$147,0))</f>
        <v>México</v>
      </c>
      <c r="AB101" s="89"/>
      <c r="AC101" s="51">
        <v>2</v>
      </c>
      <c r="AD101" s="51">
        <v>1</v>
      </c>
      <c r="AE101" s="90"/>
      <c r="AF101" s="91" t="str">
        <f t="shared" ref="AF101:AF116" ca="1" si="293">+INDEX($N$101:$N$147,MATCH(AH101,$J$101:$J$147,0))</f>
        <v>Bosnia y Herzegovina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ACDEFGJL</v>
      </c>
      <c r="BA101" s="176"/>
    </row>
    <row r="102" spans="1:62" ht="16.0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75"/>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Suecia</v>
      </c>
      <c r="AM102" s="588">
        <f ca="1">+IF($H$113&gt;=48,INDEX($BE$58:$BN$69,MATCH($AL102,$BD$58:$BD$69,0),MATCH(AM$5,$BE$57:$BN$57,0)),$BB58)</f>
        <v>5</v>
      </c>
      <c r="AN102" s="82">
        <f ca="1">+IF($H$113&gt;=48,INDEX($BE$58:$BN$69,MATCH($AL102,$BD$58:$BD$69,0),MATCH(AN$5,$BE$57:$BN$57,0)),$BB58)</f>
        <v>3</v>
      </c>
      <c r="AO102" s="82">
        <f t="shared" ref="AO102:AT102" ca="1" si="298">+IF($H$113&gt;=48,INDEX($BE$58:$BN$69,MATCH($AL102,$BD$58:$BD$69,0),MATCH(AO$5,$BE$57:$BN$57,0)),$BB58)</f>
        <v>1</v>
      </c>
      <c r="AP102" s="82">
        <f t="shared" ca="1" si="298"/>
        <v>2</v>
      </c>
      <c r="AQ102" s="83">
        <f t="shared" ca="1" si="298"/>
        <v>0</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Suecia</v>
      </c>
      <c r="AW102" s="215"/>
      <c r="AX102" s="170"/>
      <c r="AY102" s="154"/>
      <c r="AZ102" s="155"/>
      <c r="BA102" s="176"/>
      <c r="BE102" t="s">
        <v>454</v>
      </c>
      <c r="BF102" t="s">
        <v>730</v>
      </c>
      <c r="BG102" t="s">
        <v>775</v>
      </c>
      <c r="BI102" t="s">
        <v>86</v>
      </c>
    </row>
    <row r="103" spans="1:62" ht="16.0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75"/>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Paraguay</v>
      </c>
      <c r="AG103" s="327">
        <f t="shared" ca="1" si="294"/>
        <v>1</v>
      </c>
      <c r="AH103" s="195">
        <v>74</v>
      </c>
      <c r="AI103" s="182">
        <v>2</v>
      </c>
      <c r="AJ103" s="42">
        <v>2</v>
      </c>
      <c r="AK103" s="602" t="str" cm="1">
        <f t="array" aca="1" ref="AK103" ca="1">Ver_flag_visit</f>
        <v/>
      </c>
      <c r="AL103" s="85" t="str">
        <f t="shared" ca="1" si="297"/>
        <v>Costa de Marfil</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6</v>
      </c>
      <c r="AS103" s="86">
        <f t="shared" ca="1" si="302"/>
        <v>5</v>
      </c>
      <c r="AT103" s="87">
        <f t="shared" ca="1" si="302"/>
        <v>1</v>
      </c>
      <c r="AU103" s="330">
        <f t="shared" ca="1" si="299"/>
        <v>1</v>
      </c>
      <c r="AV103" s="182" t="str">
        <f t="shared" ca="1" si="300"/>
        <v>Costa de Marfil</v>
      </c>
      <c r="AW103" s="215"/>
      <c r="AX103" s="170"/>
      <c r="AY103" s="276"/>
      <c r="AZ103" s="279" t="str">
        <f t="shared" ref="AZ103:AZ110" ca="1" si="303">+IF(OR($H$113&gt;=48,$AJ$99=144),BF117&amp;" - "&amp;BG117,"")</f>
        <v>1A - 3C</v>
      </c>
      <c r="BA103" s="176"/>
      <c r="BF103" t="str">
        <f t="shared" ref="BF103:BF110" ca="1" si="304">IFERROR(INDEX($BC$6:$BC$53,MATCH(AL102,$BD$6:$BD$53,0)),"")</f>
        <v>F</v>
      </c>
      <c r="BG103">
        <f t="shared" ref="BG103:BG110" ca="1" si="305">COUNTIF($BF$103:$BF$110,"&lt;="&amp;BF103)</f>
        <v>5</v>
      </c>
      <c r="BI103">
        <v>1</v>
      </c>
      <c r="BJ103" t="str">
        <f t="shared" ref="BJ103:BJ110" ca="1" si="306">IFERROR(INDEX($BF$103:$BF$110,MATCH(BI103,$BG$103:$BG$110,0)),"Grupo")</f>
        <v>A</v>
      </c>
    </row>
    <row r="104" spans="1:62" ht="16.0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75"/>
      <c r="X104" s="24">
        <f ca="1">Horarios!C104</f>
        <v>46203.125</v>
      </c>
      <c r="Y104" s="25">
        <f ca="1">Horarios!C104</f>
        <v>46203.125</v>
      </c>
      <c r="Z104" s="280">
        <f t="shared" si="296"/>
        <v>75</v>
      </c>
      <c r="AA104" s="88" t="str">
        <f t="shared" ca="1" si="292"/>
        <v>Países Bajos</v>
      </c>
      <c r="AB104" s="89">
        <v>2</v>
      </c>
      <c r="AC104" s="92">
        <v>1</v>
      </c>
      <c r="AD104" s="92">
        <v>1</v>
      </c>
      <c r="AE104" s="89">
        <v>4</v>
      </c>
      <c r="AF104" s="91" t="str">
        <f t="shared" ca="1" si="293"/>
        <v>Marruecos</v>
      </c>
      <c r="AG104" s="327">
        <f t="shared" ca="1" si="294"/>
        <v>1</v>
      </c>
      <c r="AH104" s="195">
        <v>75</v>
      </c>
      <c r="AI104" s="182">
        <v>3</v>
      </c>
      <c r="AJ104" s="42">
        <v>3</v>
      </c>
      <c r="AK104" s="602" t="str" cm="1">
        <f t="array" aca="1" ref="AK104" ca="1">Ver_flag_visit</f>
        <v/>
      </c>
      <c r="AL104" s="85" t="str">
        <f t="shared" ca="1" si="297"/>
        <v>República Checa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4</v>
      </c>
      <c r="AS104" s="86">
        <f t="shared" ca="1" si="307"/>
        <v>3</v>
      </c>
      <c r="AT104" s="87">
        <f t="shared" ca="1" si="307"/>
        <v>1</v>
      </c>
      <c r="AU104" s="330">
        <f t="shared" ca="1" si="299"/>
        <v>1</v>
      </c>
      <c r="AV104" s="182" t="str">
        <f t="shared" ca="1" si="300"/>
        <v>República Checa</v>
      </c>
      <c r="AW104" s="215"/>
      <c r="AX104" s="170"/>
      <c r="AY104" s="276"/>
      <c r="AZ104" s="279" t="str">
        <f t="shared" ca="1" si="303"/>
        <v>1B - 3G</v>
      </c>
      <c r="BA104" s="176"/>
      <c r="BF104" t="str">
        <f t="shared" ca="1" si="304"/>
        <v>E</v>
      </c>
      <c r="BG104">
        <f t="shared" ca="1" si="305"/>
        <v>4</v>
      </c>
      <c r="BI104">
        <v>2</v>
      </c>
      <c r="BJ104" t="str">
        <f t="shared" ca="1" si="306"/>
        <v>C</v>
      </c>
    </row>
    <row r="105" spans="1:62" ht="16.0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75"/>
      <c r="X105" s="24">
        <f ca="1">Horarios!C105</f>
        <v>46203.791666666664</v>
      </c>
      <c r="Y105" s="25">
        <f ca="1">Horarios!C105</f>
        <v>46203.791666666664</v>
      </c>
      <c r="Z105" s="280">
        <f t="shared" si="296"/>
        <v>78</v>
      </c>
      <c r="AA105" s="88" t="str">
        <f t="shared" ca="1" si="292"/>
        <v>Ecuador</v>
      </c>
      <c r="AB105" s="89"/>
      <c r="AC105" s="92">
        <v>1</v>
      </c>
      <c r="AD105" s="92">
        <v>3</v>
      </c>
      <c r="AE105" s="89"/>
      <c r="AF105" s="91" t="str">
        <f t="shared" ca="1" si="293"/>
        <v>Noruega</v>
      </c>
      <c r="AG105" s="327">
        <f t="shared" ca="1" si="294"/>
        <v>1</v>
      </c>
      <c r="AH105" s="195">
        <v>78</v>
      </c>
      <c r="AI105" s="182">
        <v>4</v>
      </c>
      <c r="AJ105" s="42">
        <v>4</v>
      </c>
      <c r="AK105" s="602" t="str" cm="1">
        <f t="array" aca="1" ref="AK105" ca="1">Ver_flag_visit</f>
        <v/>
      </c>
      <c r="AL105" s="85" t="str">
        <f t="shared" ca="1" si="297"/>
        <v>Argelia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3</v>
      </c>
      <c r="AS105" s="86">
        <f t="shared" ca="1" si="308"/>
        <v>4</v>
      </c>
      <c r="AT105" s="87">
        <f t="shared" ca="1" si="308"/>
        <v>-1</v>
      </c>
      <c r="AU105" s="330">
        <f t="shared" ca="1" si="299"/>
        <v>2</v>
      </c>
      <c r="AV105" s="182" t="str">
        <f t="shared" ca="1" si="300"/>
        <v>Argelia</v>
      </c>
      <c r="AW105" s="215"/>
      <c r="AX105" s="170"/>
      <c r="AY105" s="276"/>
      <c r="AZ105" s="279" t="str">
        <f t="shared" ca="1" si="303"/>
        <v>1D - 3J</v>
      </c>
      <c r="BA105" s="176"/>
      <c r="BF105" t="str">
        <f t="shared" ca="1" si="304"/>
        <v>A</v>
      </c>
      <c r="BG105">
        <f t="shared" ca="1" si="305"/>
        <v>1</v>
      </c>
      <c r="BI105">
        <v>3</v>
      </c>
      <c r="BJ105" t="str">
        <f t="shared" ca="1" si="306"/>
        <v>D</v>
      </c>
    </row>
    <row r="106" spans="1:62" ht="16.0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75"/>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Suecia</v>
      </c>
      <c r="AG106" s="327">
        <f t="shared" ca="1" si="294"/>
        <v>1</v>
      </c>
      <c r="AH106" s="195">
        <v>77</v>
      </c>
      <c r="AI106" s="182">
        <v>5</v>
      </c>
      <c r="AJ106" s="42">
        <v>5</v>
      </c>
      <c r="AK106" s="602" t="str" cm="1">
        <f t="array" aca="1" ref="AK106" ca="1">Ver_flag_visit</f>
        <v/>
      </c>
      <c r="AL106" s="85" t="str">
        <f t="shared" ca="1" si="297"/>
        <v>Irán</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3</v>
      </c>
      <c r="AS106" s="86">
        <f t="shared" ca="1" si="309"/>
        <v>4</v>
      </c>
      <c r="AT106" s="87">
        <f t="shared" ca="1" si="309"/>
        <v>-1</v>
      </c>
      <c r="AU106" s="330">
        <f t="shared" ca="1" si="299"/>
        <v>2</v>
      </c>
      <c r="AV106" s="182" t="str">
        <f t="shared" ca="1" si="300"/>
        <v>Irán</v>
      </c>
      <c r="AW106" s="215"/>
      <c r="AX106" s="170"/>
      <c r="AY106" s="276"/>
      <c r="AZ106" s="279" t="str">
        <f t="shared" ca="1" si="303"/>
        <v>1E - 3D</v>
      </c>
      <c r="BA106" s="176"/>
      <c r="BF106" t="str">
        <f t="shared" ca="1" si="304"/>
        <v>J</v>
      </c>
      <c r="BG106">
        <f t="shared" ca="1" si="305"/>
        <v>7</v>
      </c>
      <c r="BI106">
        <v>4</v>
      </c>
      <c r="BJ106" t="str">
        <f t="shared" ca="1" si="306"/>
        <v>E</v>
      </c>
    </row>
    <row r="107" spans="1:62" ht="16.05" customHeight="1">
      <c r="A107" s="16" t="s">
        <v>656</v>
      </c>
      <c r="B107" s="16" t="s">
        <v>735</v>
      </c>
      <c r="C107" s="16"/>
      <c r="D107" s="16" t="str">
        <f t="shared" ca="1" si="289"/>
        <v>Corea del Sur</v>
      </c>
      <c r="E107" s="16" t="s">
        <v>0</v>
      </c>
      <c r="F107" s="16" t="s">
        <v>732</v>
      </c>
      <c r="G107" s="16" t="s">
        <v>6</v>
      </c>
      <c r="H107" s="16">
        <f t="shared" ca="1" si="290"/>
        <v>12</v>
      </c>
      <c r="I107" s="16"/>
      <c r="J107" s="16">
        <v>79</v>
      </c>
      <c r="K107" s="16">
        <v>46203.75</v>
      </c>
      <c r="L107" s="16" t="s">
        <v>702</v>
      </c>
      <c r="M107" s="16" t="str">
        <f t="shared" ca="1" si="291"/>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75"/>
      <c r="X107" s="24">
        <f ca="1">Horarios!C107</f>
        <v>46204.125</v>
      </c>
      <c r="Y107" s="25">
        <f ca="1">Horarios!C107</f>
        <v>46204.125</v>
      </c>
      <c r="Z107" s="280">
        <f t="shared" si="296"/>
        <v>79</v>
      </c>
      <c r="AA107" s="88" t="str">
        <f t="shared" ca="1" si="292"/>
        <v>Corea del Sur</v>
      </c>
      <c r="AB107" s="89">
        <v>5</v>
      </c>
      <c r="AC107" s="92">
        <v>1</v>
      </c>
      <c r="AD107" s="92">
        <v>1</v>
      </c>
      <c r="AE107" s="89">
        <v>4</v>
      </c>
      <c r="AF107" s="91" t="str">
        <f t="shared" ca="1" si="293"/>
        <v>Escocia</v>
      </c>
      <c r="AG107" s="327">
        <f t="shared" ca="1" si="294"/>
        <v>1</v>
      </c>
      <c r="AH107" s="195">
        <v>79</v>
      </c>
      <c r="AI107" s="182">
        <v>6</v>
      </c>
      <c r="AJ107" s="42">
        <v>6</v>
      </c>
      <c r="AK107" s="602" t="str" cm="1">
        <f t="array" aca="1" ref="AK107" ca="1">Ver_flag_visit</f>
        <v/>
      </c>
      <c r="AL107" s="85" t="str">
        <f t="shared" ca="1" si="297"/>
        <v>Paraguay</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2</v>
      </c>
      <c r="AS107" s="86">
        <f t="shared" ca="1" si="310"/>
        <v>3</v>
      </c>
      <c r="AT107" s="87">
        <f t="shared" ca="1" si="310"/>
        <v>-1</v>
      </c>
      <c r="AU107" s="330">
        <f t="shared" ca="1" si="299"/>
        <v>1</v>
      </c>
      <c r="AV107" s="182" t="str">
        <f ca="1">INDEX($BD$58:$BD$69,MATCH(AI107,$BM$58:$BM$69,0))</f>
        <v>Paraguay</v>
      </c>
      <c r="AW107" s="215"/>
      <c r="AX107" s="170"/>
      <c r="AY107" s="276"/>
      <c r="AZ107" s="279" t="str">
        <f t="shared" ca="1" si="303"/>
        <v>1G - 3A</v>
      </c>
      <c r="BA107" s="176"/>
      <c r="BF107" t="str">
        <f t="shared" ca="1" si="304"/>
        <v>G</v>
      </c>
      <c r="BG107">
        <f t="shared" ca="1" si="305"/>
        <v>6</v>
      </c>
      <c r="BI107">
        <v>5</v>
      </c>
      <c r="BJ107" t="str">
        <f t="shared" ca="1" si="306"/>
        <v>F</v>
      </c>
    </row>
    <row r="108" spans="1:62" ht="16.0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16"/>
      <c r="P108" s="16"/>
      <c r="Q108" s="16"/>
      <c r="R108" s="16"/>
      <c r="S108" s="16"/>
      <c r="T108" s="16"/>
      <c r="U108" s="16"/>
      <c r="V108" s="17"/>
      <c r="W108" s="675"/>
      <c r="X108" s="24">
        <f ca="1">Horarios!C108</f>
        <v>46204.75</v>
      </c>
      <c r="Y108" s="25">
        <f ca="1">Horarios!C108</f>
        <v>46204.75</v>
      </c>
      <c r="Z108" s="280">
        <f t="shared" si="296"/>
        <v>80</v>
      </c>
      <c r="AA108" s="88" t="str">
        <f t="shared" ca="1" si="292"/>
        <v>Inglaterra</v>
      </c>
      <c r="AB108" s="89"/>
      <c r="AC108" s="92">
        <v>3</v>
      </c>
      <c r="AD108" s="92">
        <v>1</v>
      </c>
      <c r="AE108" s="89"/>
      <c r="AF108" s="91" t="str">
        <f t="shared" ca="1" si="293"/>
        <v>Costa de Marfil</v>
      </c>
      <c r="AG108" s="327">
        <f t="shared" ca="1" si="294"/>
        <v>1</v>
      </c>
      <c r="AH108" s="195">
        <v>80</v>
      </c>
      <c r="AI108" s="182">
        <v>7</v>
      </c>
      <c r="AJ108" s="42">
        <v>7</v>
      </c>
      <c r="AK108" s="602" t="str" cm="1">
        <f t="array" aca="1" ref="AK108" ca="1">Ver_flag_visit</f>
        <v/>
      </c>
      <c r="AL108" s="85" t="str">
        <f t="shared" ca="1" si="297"/>
        <v>Ghana</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4</v>
      </c>
      <c r="AS108" s="86">
        <f t="shared" ca="1" si="311"/>
        <v>5</v>
      </c>
      <c r="AT108" s="87">
        <f t="shared" ca="1" si="311"/>
        <v>-1</v>
      </c>
      <c r="AU108" s="330">
        <f t="shared" ca="1" si="299"/>
        <v>1</v>
      </c>
      <c r="AV108" s="182" t="str">
        <f t="shared" ca="1" si="300"/>
        <v>Ghana</v>
      </c>
      <c r="AW108" s="215"/>
      <c r="AX108" s="170"/>
      <c r="AY108" s="276"/>
      <c r="AZ108" s="279" t="str">
        <f t="shared" ca="1" si="303"/>
        <v>1I - 3F</v>
      </c>
      <c r="BA108" s="176"/>
      <c r="BF108" t="str">
        <f t="shared" ca="1" si="304"/>
        <v>D</v>
      </c>
      <c r="BG108">
        <f t="shared" ca="1" si="305"/>
        <v>3</v>
      </c>
      <c r="BI108">
        <v>6</v>
      </c>
      <c r="BJ108" t="str">
        <f t="shared" ca="1" si="306"/>
        <v>G</v>
      </c>
    </row>
    <row r="109" spans="1:62" ht="16.0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Argelia</v>
      </c>
      <c r="O109" s="16"/>
      <c r="P109" s="16"/>
      <c r="Q109" s="16"/>
      <c r="R109" s="16"/>
      <c r="S109" s="16"/>
      <c r="T109" s="16"/>
      <c r="U109" s="16"/>
      <c r="V109" s="17"/>
      <c r="W109" s="675"/>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República Checa</v>
      </c>
      <c r="AG109" s="327">
        <f t="shared" ca="1" si="294"/>
        <v>1</v>
      </c>
      <c r="AH109" s="195">
        <v>82</v>
      </c>
      <c r="AI109" s="182">
        <v>8</v>
      </c>
      <c r="AJ109" s="42">
        <v>8</v>
      </c>
      <c r="AK109" s="602" t="str" cm="1">
        <f t="array" aca="1" ref="AK109" ca="1">Ver_flag_visit</f>
        <v/>
      </c>
      <c r="AL109" s="85" t="str">
        <f t="shared" ca="1" si="297"/>
        <v>Escocia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4</v>
      </c>
      <c r="AS109" s="86">
        <f t="shared" ca="1" si="312"/>
        <v>6</v>
      </c>
      <c r="AT109" s="87">
        <f t="shared" ca="1" si="312"/>
        <v>-2</v>
      </c>
      <c r="AU109" s="330">
        <f t="shared" ca="1" si="299"/>
        <v>1</v>
      </c>
      <c r="AV109" s="182" t="str">
        <f t="shared" ca="1" si="300"/>
        <v>Escocia</v>
      </c>
      <c r="AW109" s="215"/>
      <c r="AX109" s="170"/>
      <c r="AY109" s="276"/>
      <c r="AZ109" s="279" t="str">
        <f t="shared" ca="1" si="303"/>
        <v>1K - 3L</v>
      </c>
      <c r="BA109" s="176"/>
      <c r="BF109" t="str">
        <f t="shared" ca="1" si="304"/>
        <v>L</v>
      </c>
      <c r="BG109">
        <f t="shared" ca="1" si="305"/>
        <v>8</v>
      </c>
      <c r="BI109">
        <v>7</v>
      </c>
      <c r="BJ109" t="str">
        <f t="shared" ca="1" si="306"/>
        <v>J</v>
      </c>
    </row>
    <row r="110" spans="1:62" ht="16.05" customHeight="1">
      <c r="A110" s="16" t="s">
        <v>678</v>
      </c>
      <c r="B110" s="16" t="s">
        <v>738</v>
      </c>
      <c r="C110" s="16"/>
      <c r="D110" s="16" t="str">
        <f t="shared" ca="1" si="289"/>
        <v>Argelia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75"/>
      <c r="X110" s="24">
        <f ca="1">Horarios!C110</f>
        <v>46205.083333333336</v>
      </c>
      <c r="Y110" s="25">
        <f ca="1">Horarios!C110</f>
        <v>46205.083333333336</v>
      </c>
      <c r="Z110" s="280">
        <f t="shared" si="296"/>
        <v>81</v>
      </c>
      <c r="AA110" s="88" t="str">
        <f t="shared" ca="1" si="292"/>
        <v>Turquía</v>
      </c>
      <c r="AB110" s="89"/>
      <c r="AC110" s="92">
        <v>1</v>
      </c>
      <c r="AD110" s="92">
        <v>2</v>
      </c>
      <c r="AE110" s="89"/>
      <c r="AF110" s="91" t="str">
        <f t="shared" ca="1" si="293"/>
        <v>Argelia</v>
      </c>
      <c r="AG110" s="327">
        <f t="shared" ca="1" si="294"/>
        <v>1</v>
      </c>
      <c r="AH110" s="195">
        <v>81</v>
      </c>
      <c r="AI110" s="182">
        <v>9</v>
      </c>
      <c r="AJ110" s="42">
        <v>9</v>
      </c>
      <c r="AK110" s="602" t="str" cm="1">
        <f t="array" aca="1" ref="AK110" ca="1">Ver_flag_visit</f>
        <v/>
      </c>
      <c r="AL110" s="85" t="str">
        <f t="shared" ca="1" si="297"/>
        <v>Senegal</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4</v>
      </c>
      <c r="AT110" s="87">
        <f t="shared" ca="1" si="313"/>
        <v>-2</v>
      </c>
      <c r="AU110" s="330">
        <f t="shared" ca="1" si="299"/>
        <v>1</v>
      </c>
      <c r="AV110" s="182" t="str">
        <f t="shared" ca="1" si="300"/>
        <v>Senegal</v>
      </c>
      <c r="AW110" s="215"/>
      <c r="AX110" s="170"/>
      <c r="AY110" s="276"/>
      <c r="AZ110" s="279" t="str">
        <f t="shared" ca="1" si="303"/>
        <v>1L - 3E</v>
      </c>
      <c r="BA110" s="176"/>
      <c r="BF110" t="str">
        <f t="shared" ca="1" si="304"/>
        <v>C</v>
      </c>
      <c r="BG110">
        <f t="shared" ca="1" si="305"/>
        <v>2</v>
      </c>
      <c r="BI110">
        <v>8</v>
      </c>
      <c r="BJ110" t="str">
        <f t="shared" ca="1" si="306"/>
        <v>L</v>
      </c>
    </row>
    <row r="111" spans="1:62" ht="16.0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75"/>
      <c r="X111" s="24">
        <f ca="1">Horarios!C111</f>
        <v>46205.875</v>
      </c>
      <c r="Y111" s="25">
        <f ca="1">Horarios!C111</f>
        <v>46205.875</v>
      </c>
      <c r="Z111" s="280">
        <f t="shared" si="296"/>
        <v>84</v>
      </c>
      <c r="AA111" s="88" t="str">
        <f t="shared" ca="1" si="292"/>
        <v>España</v>
      </c>
      <c r="AB111" s="89"/>
      <c r="AC111" s="92">
        <v>4</v>
      </c>
      <c r="AD111" s="92">
        <v>1</v>
      </c>
      <c r="AE111" s="89"/>
      <c r="AF111" s="91" t="str">
        <f t="shared" ca="1" si="293"/>
        <v>Austria</v>
      </c>
      <c r="AG111" s="327">
        <f t="shared" ca="1" si="294"/>
        <v>1</v>
      </c>
      <c r="AH111" s="195">
        <v>84</v>
      </c>
      <c r="AI111" s="182">
        <v>10</v>
      </c>
      <c r="AJ111" s="42">
        <v>10</v>
      </c>
      <c r="AK111" s="602" t="str" cm="1">
        <f t="array" aca="1" ref="AK111" ca="1">Ver_flag_visit</f>
        <v/>
      </c>
      <c r="AL111" s="85" t="str">
        <f t="shared" ca="1" si="297"/>
        <v>Arabia Saudita</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3</v>
      </c>
      <c r="AS111" s="86">
        <f t="shared" ca="1" si="314"/>
        <v>6</v>
      </c>
      <c r="AT111" s="87">
        <f t="shared" ca="1" si="314"/>
        <v>-3</v>
      </c>
      <c r="AU111" s="330">
        <f t="shared" ca="1" si="299"/>
        <v>1</v>
      </c>
      <c r="AV111" s="182" t="str">
        <f t="shared" ca="1" si="300"/>
        <v>Arabia Saudita</v>
      </c>
      <c r="AW111" s="215"/>
      <c r="AX111" s="170"/>
      <c r="AY111" s="275"/>
      <c r="AZ111" s="275"/>
      <c r="BA111" s="176"/>
      <c r="BI111" t="s">
        <v>87</v>
      </c>
    </row>
    <row r="112" spans="1:62" ht="16.0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75"/>
      <c r="X112" s="24">
        <f ca="1">Horarios!C112</f>
        <v>46206.041666666664</v>
      </c>
      <c r="Y112" s="25">
        <f ca="1">Horarios!C112</f>
        <v>46206.041666666664</v>
      </c>
      <c r="Z112" s="280">
        <f t="shared" si="296"/>
        <v>83</v>
      </c>
      <c r="AA112" s="88" t="str">
        <f t="shared" ca="1" si="292"/>
        <v>Colombia</v>
      </c>
      <c r="AB112" s="89">
        <v>4</v>
      </c>
      <c r="AC112" s="92">
        <v>1</v>
      </c>
      <c r="AD112" s="92">
        <v>1</v>
      </c>
      <c r="AE112" s="89">
        <v>2</v>
      </c>
      <c r="AF112" s="91" t="str">
        <f t="shared" ca="1" si="293"/>
        <v>Croacia</v>
      </c>
      <c r="AG112" s="327">
        <f t="shared" ca="1" si="294"/>
        <v>1</v>
      </c>
      <c r="AH112" s="195">
        <v>83</v>
      </c>
      <c r="AI112" s="182">
        <v>11</v>
      </c>
      <c r="AJ112" s="42">
        <v>11</v>
      </c>
      <c r="AK112" s="602" t="str" cm="1">
        <f t="array" aca="1" ref="AK112" ca="1">Ver_flag_visit</f>
        <v/>
      </c>
      <c r="AL112" s="85" t="str">
        <f t="shared" ca="1" si="297"/>
        <v>Canadá</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0</v>
      </c>
      <c r="AS112" s="86">
        <f t="shared" ca="1" si="315"/>
        <v>3</v>
      </c>
      <c r="AT112" s="87">
        <f t="shared" ca="1" si="315"/>
        <v>-3</v>
      </c>
      <c r="AU112" s="330">
        <f t="shared" ca="1" si="299"/>
        <v>1</v>
      </c>
      <c r="AV112" s="182" t="str">
        <f t="shared" ca="1" si="300"/>
        <v>Canadá</v>
      </c>
      <c r="AW112" s="215"/>
      <c r="AX112" s="170"/>
      <c r="AY112" s="275"/>
      <c r="AZ112" s="275"/>
      <c r="BA112" s="176"/>
      <c r="BI112" t="str">
        <f ca="1">IFERROR(CONCATENATE(BJ103,BJ104,BJ105,BJ106,BJ107,BJ108,BJ109,BJ110),"¿A/B/C/D/E/F/G/H/I/J/K/L?")</f>
        <v>ACDEFGJL</v>
      </c>
    </row>
    <row r="113" spans="1:59" ht="16.0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75"/>
      <c r="X113" s="24">
        <f ca="1">Horarios!C113</f>
        <v>46206.208333333336</v>
      </c>
      <c r="Y113" s="25">
        <f ca="1">Horarios!C113</f>
        <v>46206.208333333336</v>
      </c>
      <c r="Z113" s="280">
        <f t="shared" si="296"/>
        <v>85</v>
      </c>
      <c r="AA113" s="88" t="str">
        <f t="shared" ca="1" si="292"/>
        <v>Suiza</v>
      </c>
      <c r="AB113" s="89"/>
      <c r="AC113" s="92">
        <v>2</v>
      </c>
      <c r="AD113" s="92">
        <v>0</v>
      </c>
      <c r="AE113" s="90"/>
      <c r="AF113" s="91" t="str">
        <f t="shared" ca="1" si="293"/>
        <v>Irán</v>
      </c>
      <c r="AG113" s="327">
        <f t="shared" ca="1" si="294"/>
        <v>1</v>
      </c>
      <c r="AH113" s="195">
        <v>85</v>
      </c>
      <c r="AI113" s="182">
        <v>12</v>
      </c>
      <c r="AJ113" s="44">
        <v>12</v>
      </c>
      <c r="AK113" s="604" t="str" cm="1">
        <f t="array" aca="1" ref="AK113" ca="1">Ver_flag_visit</f>
        <v/>
      </c>
      <c r="AL113" s="45" t="str">
        <f t="shared" ca="1" si="297"/>
        <v>RD Congo</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6</v>
      </c>
      <c r="AT113" s="48">
        <f t="shared" ca="1" si="316"/>
        <v>-4</v>
      </c>
      <c r="AU113" s="330">
        <f t="shared" ca="1" si="299"/>
        <v>1</v>
      </c>
      <c r="AV113" s="182" t="str">
        <f t="shared" ca="1" si="300"/>
        <v>RD Congo</v>
      </c>
      <c r="AW113" s="215"/>
      <c r="AX113" s="170"/>
      <c r="AY113" s="154"/>
      <c r="AZ113" s="155"/>
      <c r="BA113" s="176"/>
    </row>
    <row r="114" spans="1:59" ht="16.05" customHeight="1">
      <c r="A114" s="16" t="s">
        <v>687</v>
      </c>
      <c r="B114" s="16" t="s">
        <v>682</v>
      </c>
      <c r="C114" s="16"/>
      <c r="D114" s="16" t="str">
        <f t="shared" ca="1" si="289"/>
        <v>Estados Unidos</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75"/>
      <c r="X114" s="24">
        <f ca="1">Horarios!C114</f>
        <v>46206.833333333336</v>
      </c>
      <c r="Y114" s="25">
        <f ca="1">Horarios!C114</f>
        <v>46206.833333333336</v>
      </c>
      <c r="Z114" s="280">
        <f t="shared" si="296"/>
        <v>88</v>
      </c>
      <c r="AA114" s="88" t="str">
        <f t="shared" ca="1" si="292"/>
        <v>Estados Unidos</v>
      </c>
      <c r="AB114" s="89"/>
      <c r="AC114" s="92">
        <v>3</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0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75"/>
      <c r="X115" s="24">
        <f ca="1">Horarios!C115</f>
        <v>46207</v>
      </c>
      <c r="Y115" s="25">
        <f ca="1">Horarios!C115</f>
        <v>46207</v>
      </c>
      <c r="Z115" s="280">
        <f t="shared" si="296"/>
        <v>86</v>
      </c>
      <c r="AA115" s="88" t="str">
        <f t="shared" ca="1" si="292"/>
        <v>Argentina</v>
      </c>
      <c r="AB115" s="89"/>
      <c r="AC115" s="92">
        <v>2</v>
      </c>
      <c r="AD115" s="92">
        <v>1</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0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76"/>
      <c r="X116" s="28">
        <f ca="1">Horarios!C116</f>
        <v>46207.145833333336</v>
      </c>
      <c r="Y116" s="29">
        <f ca="1">Horarios!C116</f>
        <v>46207.145833333336</v>
      </c>
      <c r="Z116" s="281">
        <f t="shared" si="296"/>
        <v>87</v>
      </c>
      <c r="AA116" s="93" t="str">
        <f t="shared" ca="1" si="292"/>
        <v>Portugal</v>
      </c>
      <c r="AB116" s="94"/>
      <c r="AC116" s="277">
        <v>3</v>
      </c>
      <c r="AD116" s="277">
        <v>1</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3C</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3J</v>
      </c>
    </row>
    <row r="120" spans="1:59" ht="16.0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77" t="s">
        <v>89</v>
      </c>
      <c r="X120" s="24">
        <f ca="1">Horarios!C120</f>
        <v>46207.791666666664</v>
      </c>
      <c r="Y120" s="25">
        <f ca="1">Horarios!C120</f>
        <v>46207.791666666664</v>
      </c>
      <c r="Z120" s="280">
        <f t="shared" ref="Z120:Z127" si="319">AH120</f>
        <v>90</v>
      </c>
      <c r="AA120" s="88" t="str">
        <f t="shared" ref="AA120:AA127" ca="1" si="320">+INDEX($M$101:$M$147,MATCH(AH120,$J$101:$J$147,0))</f>
        <v>México</v>
      </c>
      <c r="AB120" s="89">
        <v>3</v>
      </c>
      <c r="AC120" s="96">
        <v>1</v>
      </c>
      <c r="AD120" s="96">
        <v>1</v>
      </c>
      <c r="AE120" s="89">
        <v>5</v>
      </c>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0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México</v>
      </c>
      <c r="N121" s="16" t="str">
        <f t="shared" ca="1" si="318"/>
        <v>Marruecos</v>
      </c>
      <c r="O121" s="16"/>
      <c r="P121" s="16"/>
      <c r="Q121" s="16"/>
      <c r="R121" s="16"/>
      <c r="S121" s="16"/>
      <c r="T121" s="16"/>
      <c r="U121" s="16"/>
      <c r="V121" s="17"/>
      <c r="W121" s="677"/>
      <c r="X121" s="24">
        <f ca="1">Horarios!C121</f>
        <v>46207.958333333336</v>
      </c>
      <c r="Y121" s="25">
        <f ca="1">Horarios!C121</f>
        <v>46207.958333333336</v>
      </c>
      <c r="Z121" s="280">
        <f t="shared" si="319"/>
        <v>89</v>
      </c>
      <c r="AA121" s="88" t="str">
        <f t="shared" ca="1" si="320"/>
        <v>Alemania</v>
      </c>
      <c r="AB121" s="89">
        <v>4</v>
      </c>
      <c r="AC121" s="97">
        <v>1</v>
      </c>
      <c r="AD121" s="97">
        <v>1</v>
      </c>
      <c r="AE121" s="89">
        <v>5</v>
      </c>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6.05" customHeight="1">
      <c r="A122" s="16" t="s">
        <v>745</v>
      </c>
      <c r="B122" s="16" t="s">
        <v>746</v>
      </c>
      <c r="C122" s="16"/>
      <c r="D122" s="16" t="str">
        <f t="shared" ca="1" si="317"/>
        <v>Noruega</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77"/>
      <c r="X122" s="24">
        <f ca="1">Horarios!C122</f>
        <v>46208.916666666664</v>
      </c>
      <c r="Y122" s="25">
        <f ca="1">Horarios!C122</f>
        <v>46208.916666666664</v>
      </c>
      <c r="Z122" s="280">
        <f t="shared" si="319"/>
        <v>91</v>
      </c>
      <c r="AA122" s="88" t="str">
        <f t="shared" ca="1" si="320"/>
        <v>Brasil</v>
      </c>
      <c r="AB122" s="89"/>
      <c r="AC122" s="97">
        <v>2</v>
      </c>
      <c r="AD122" s="97">
        <v>3</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0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Corea del Sur</v>
      </c>
      <c r="N123" s="16" t="str">
        <f t="shared" ca="1" si="318"/>
        <v>Inglaterra</v>
      </c>
      <c r="O123" s="16"/>
      <c r="P123" s="16"/>
      <c r="Q123" s="16"/>
      <c r="R123" s="16"/>
      <c r="S123" s="16"/>
      <c r="T123" s="16"/>
      <c r="U123" s="16"/>
      <c r="V123" s="17"/>
      <c r="W123" s="677"/>
      <c r="X123" s="24">
        <f ca="1">Horarios!C123</f>
        <v>46209.083333333336</v>
      </c>
      <c r="Y123" s="25">
        <f ca="1">Horarios!C123</f>
        <v>46209.083333333336</v>
      </c>
      <c r="Z123" s="280">
        <f t="shared" si="319"/>
        <v>92</v>
      </c>
      <c r="AA123" s="88" t="str">
        <f t="shared" ca="1" si="320"/>
        <v>Corea del Sur</v>
      </c>
      <c r="AB123" s="89"/>
      <c r="AC123" s="97">
        <v>1</v>
      </c>
      <c r="AD123" s="97">
        <v>3</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0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77"/>
      <c r="X124" s="24">
        <f ca="1">Horarios!C124</f>
        <v>46209.875</v>
      </c>
      <c r="Y124" s="25">
        <f ca="1">Horarios!C124</f>
        <v>46209.875</v>
      </c>
      <c r="Z124" s="280">
        <f t="shared" si="319"/>
        <v>93</v>
      </c>
      <c r="AA124" s="88" t="str">
        <f t="shared" ca="1" si="320"/>
        <v>Colombia</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3E</v>
      </c>
    </row>
    <row r="125" spans="1:59" ht="16.05" customHeight="1">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Argelia</v>
      </c>
      <c r="N125" s="16" t="str">
        <f t="shared" ca="1" si="318"/>
        <v>Bélgica</v>
      </c>
      <c r="O125" s="16"/>
      <c r="P125" s="16"/>
      <c r="Q125" s="16"/>
      <c r="R125" s="16"/>
      <c r="S125" s="16"/>
      <c r="T125" s="16"/>
      <c r="U125" s="16"/>
      <c r="V125" s="17"/>
      <c r="W125" s="677"/>
      <c r="X125" s="24">
        <f ca="1">Horarios!C125</f>
        <v>46210.083333333336</v>
      </c>
      <c r="Y125" s="25">
        <f ca="1">Horarios!C125</f>
        <v>46210.083333333336</v>
      </c>
      <c r="Z125" s="280">
        <f t="shared" si="319"/>
        <v>94</v>
      </c>
      <c r="AA125" s="88" t="str">
        <f t="shared" ca="1" si="320"/>
        <v>Argelia</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0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Estados Unidos</v>
      </c>
      <c r="O126" s="16"/>
      <c r="P126" s="16"/>
      <c r="Q126" s="16"/>
      <c r="R126" s="16"/>
      <c r="S126" s="16"/>
      <c r="T126" s="16"/>
      <c r="U126" s="16"/>
      <c r="V126" s="17"/>
      <c r="W126" s="677"/>
      <c r="X126" s="24">
        <f ca="1">Horarios!C126</f>
        <v>46210.75</v>
      </c>
      <c r="Y126" s="25">
        <f ca="1">Horarios!C126</f>
        <v>46210.75</v>
      </c>
      <c r="Z126" s="280">
        <f t="shared" si="319"/>
        <v>95</v>
      </c>
      <c r="AA126" s="88" t="str">
        <f t="shared" ca="1" si="320"/>
        <v>Argentina</v>
      </c>
      <c r="AB126" s="89"/>
      <c r="AC126" s="99">
        <v>2</v>
      </c>
      <c r="AD126" s="99">
        <v>0</v>
      </c>
      <c r="AE126" s="89"/>
      <c r="AF126" s="91" t="str">
        <f t="shared" ca="1" si="321"/>
        <v>Estados Unidos</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0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78"/>
      <c r="X127" s="28">
        <f ca="1">Horarios!C127</f>
        <v>46210.916666666664</v>
      </c>
      <c r="Y127" s="29">
        <f ca="1">Horarios!C127</f>
        <v>46210.916666666664</v>
      </c>
      <c r="Z127" s="281">
        <f t="shared" si="319"/>
        <v>96</v>
      </c>
      <c r="AA127" s="93" t="str">
        <f t="shared" ca="1" si="320"/>
        <v>Suiza</v>
      </c>
      <c r="AB127" s="94"/>
      <c r="AC127" s="100">
        <v>1</v>
      </c>
      <c r="AD127" s="100">
        <v>3</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0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79"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1</v>
      </c>
      <c r="AE131" s="90"/>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0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79"/>
      <c r="X132" s="24">
        <f ca="1">Horarios!C132</f>
        <v>46213.875</v>
      </c>
      <c r="Y132" s="25">
        <f ca="1">Horarios!C132</f>
        <v>46213.875</v>
      </c>
      <c r="Z132" s="282">
        <f t="shared" si="324"/>
        <v>98</v>
      </c>
      <c r="AA132" s="88" t="str">
        <f t="shared" ca="1" si="325"/>
        <v>España</v>
      </c>
      <c r="AB132" s="89"/>
      <c r="AC132" s="99">
        <v>3</v>
      </c>
      <c r="AD132" s="99">
        <v>1</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0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Noruega</v>
      </c>
      <c r="N133" s="16" t="str">
        <f t="shared" ca="1" si="323"/>
        <v>Inglaterra</v>
      </c>
      <c r="O133" s="16"/>
      <c r="P133" s="16"/>
      <c r="Q133" s="16"/>
      <c r="R133" s="16"/>
      <c r="S133" s="16"/>
      <c r="T133" s="16"/>
      <c r="U133" s="16"/>
      <c r="V133" s="17"/>
      <c r="W133" s="679"/>
      <c r="X133" s="24">
        <f ca="1">Horarios!C133</f>
        <v>46214.958333333336</v>
      </c>
      <c r="Y133" s="25">
        <f ca="1">Horarios!C133</f>
        <v>46214.958333333336</v>
      </c>
      <c r="Z133" s="282">
        <f t="shared" si="324"/>
        <v>99</v>
      </c>
      <c r="AA133" s="88" t="str">
        <f t="shared" ca="1" si="325"/>
        <v>Noruega</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0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80"/>
      <c r="X134" s="28">
        <f ca="1">Horarios!C134</f>
        <v>46215.125</v>
      </c>
      <c r="Y134" s="29">
        <f ca="1">Horarios!C134</f>
        <v>46215.125</v>
      </c>
      <c r="Z134" s="283">
        <f t="shared" si="324"/>
        <v>100</v>
      </c>
      <c r="AA134" s="93" t="str">
        <f t="shared" ca="1" si="325"/>
        <v>Argentina</v>
      </c>
      <c r="AB134" s="94">
        <v>4</v>
      </c>
      <c r="AC134" s="100">
        <v>1</v>
      </c>
      <c r="AD134" s="100">
        <v>1</v>
      </c>
      <c r="AE134" s="94">
        <v>5</v>
      </c>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0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0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0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81" t="s">
        <v>37</v>
      </c>
      <c r="X138" s="24">
        <f ca="1">Horarios!C138</f>
        <v>46217.875</v>
      </c>
      <c r="Y138" s="25">
        <f ca="1">Horarios!C138</f>
        <v>46217.875</v>
      </c>
      <c r="Z138" s="282">
        <f t="shared" ref="Z138:Z139" si="326">AH138</f>
        <v>101</v>
      </c>
      <c r="AA138" s="88" t="str">
        <f t="shared" ref="AA138:AA139" ca="1" si="327">+INDEX($M$101:$M$147,MATCH(AH138,$J$101:$J$147,0))</f>
        <v>Francia</v>
      </c>
      <c r="AB138" s="89">
        <v>3</v>
      </c>
      <c r="AC138" s="101">
        <v>2</v>
      </c>
      <c r="AD138" s="101">
        <v>2</v>
      </c>
      <c r="AE138" s="89">
        <v>4</v>
      </c>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0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Portugal</v>
      </c>
      <c r="O139" s="16"/>
      <c r="P139" s="16"/>
      <c r="Q139" s="16"/>
      <c r="R139" s="16"/>
      <c r="S139" s="16"/>
      <c r="T139" s="16"/>
      <c r="U139" s="16"/>
      <c r="V139" s="17"/>
      <c r="W139" s="682"/>
      <c r="X139" s="123">
        <f ca="1">Horarios!C139</f>
        <v>46218.875</v>
      </c>
      <c r="Y139" s="124">
        <f ca="1">Horarios!C139</f>
        <v>46218.875</v>
      </c>
      <c r="Z139" s="284">
        <f t="shared" si="326"/>
        <v>102</v>
      </c>
      <c r="AA139" s="139" t="str">
        <f t="shared" ca="1" si="327"/>
        <v>Inglaterra</v>
      </c>
      <c r="AB139" s="140">
        <v>2</v>
      </c>
      <c r="AC139" s="100">
        <v>1</v>
      </c>
      <c r="AD139" s="100">
        <v>1</v>
      </c>
      <c r="AE139" s="140">
        <v>4</v>
      </c>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0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3</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0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España</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v>4</v>
      </c>
      <c r="AC147" s="105">
        <v>1</v>
      </c>
      <c r="AD147" s="105">
        <v>1</v>
      </c>
      <c r="AE147" s="216">
        <v>5</v>
      </c>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Portugal</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España</v>
      </c>
      <c r="AB151" s="111"/>
      <c r="AC151" s="111"/>
      <c r="AD151" s="111"/>
      <c r="AE151" s="111"/>
      <c r="AF151" s="107"/>
      <c r="AG151" s="327">
        <f ca="1">IF(AA151="LF",0,1)</f>
        <v>1</v>
      </c>
      <c r="AH151" s="184"/>
      <c r="AI151" s="184"/>
      <c r="AJ151" s="643" t="str">
        <f ca="1">IF(SUM(COUNTIF(AG4:AG97,0),COUNTIF(AG101:AG160,0)&gt;0),AL148,AL149)</f>
        <v>PORRA COMPLETA:</v>
      </c>
      <c r="AK151" s="644"/>
      <c r="AL151" s="644"/>
      <c r="AM151" s="644"/>
      <c r="AN151" s="644"/>
      <c r="AO151" s="644"/>
      <c r="AP151" s="644"/>
      <c r="AQ151" s="644"/>
      <c r="AR151" s="644"/>
      <c r="AS151" s="644"/>
      <c r="AT151" s="644"/>
      <c r="AU151" s="645"/>
      <c r="AV151" s="193"/>
      <c r="AW151" s="155"/>
      <c r="AX151" s="154"/>
      <c r="AY151" s="156"/>
      <c r="AZ151" s="157"/>
      <c r="BA151" s="17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6.0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57" t="str">
        <f ca="1">IF(SUM(COUNTIF(AG4:AG97,0),COUNTIF(AG101:AG160,0)&gt;0),AM148,AM149)</f>
        <v>Guarda el archivo y envialo al administrador de tu porra</v>
      </c>
      <c r="AK155" s="658"/>
      <c r="AL155" s="658"/>
      <c r="AM155" s="658"/>
      <c r="AN155" s="658"/>
      <c r="AO155" s="658"/>
      <c r="AP155" s="658"/>
      <c r="AQ155" s="658"/>
      <c r="AR155" s="658"/>
      <c r="AS155" s="658"/>
      <c r="AT155" s="658"/>
      <c r="AU155" s="659"/>
      <c r="AV155" s="193"/>
      <c r="AW155" s="155"/>
      <c r="AX155" s="154"/>
      <c r="AY155" s="156"/>
      <c r="AZ155" s="157"/>
      <c r="BA155" s="176"/>
    </row>
    <row r="156" spans="1:53" ht="16.0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1520</v>
      </c>
      <c r="AB156" s="402"/>
      <c r="AC156" s="402"/>
      <c r="AD156" s="402"/>
      <c r="AE156" s="402"/>
      <c r="AF156" s="403"/>
      <c r="AG156" s="327">
        <f>IF(AA156=$AH$154,0,IF(AA156="",0,1))</f>
        <v>1</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1518</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0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1519</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19.95"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0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55" t="str">
        <f>+Idiomas!D12</f>
        <v>Donar</v>
      </c>
      <c r="AP162" s="656"/>
      <c r="AQ162" s="145"/>
      <c r="AR162" s="145"/>
      <c r="AS162" s="145"/>
      <c r="AT162" s="145"/>
      <c r="AU162" s="332"/>
      <c r="AV162" s="193"/>
      <c r="AW162" s="155"/>
      <c r="AX162" s="154"/>
      <c r="AY162" s="156"/>
      <c r="AZ162" s="157"/>
      <c r="BA162" s="17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4.4"/>
  <cols>
    <col min="1" max="1" width="10.77734375" style="13" customWidth="1"/>
    <col min="2" max="2" width="29.44140625" customWidth="1"/>
    <col min="3" max="3" width="35" customWidth="1"/>
    <col min="4" max="4" width="12.6640625" style="369" customWidth="1"/>
    <col min="5" max="8" width="10.77734375" style="369" customWidth="1"/>
    <col min="9" max="9" width="3.109375" style="369" customWidth="1"/>
    <col min="10" max="12" width="10.77734375" style="369" customWidth="1"/>
    <col min="13" max="13" width="3.6640625" style="369" customWidth="1"/>
    <col min="14" max="14" width="4.6640625" style="369" customWidth="1"/>
    <col min="15" max="15" width="4" customWidth="1"/>
    <col min="16" max="16" width="4.77734375" customWidth="1"/>
    <col min="17" max="16384" width="10.77734375" style="1" hidden="1"/>
  </cols>
  <sheetData>
    <row r="1" spans="1:14" ht="19.95"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19.95" customHeight="1" thickBot="1">
      <c r="A2" s="290"/>
      <c r="B2" s="291"/>
      <c r="C2" s="291"/>
      <c r="D2" s="368"/>
      <c r="E2" s="698"/>
      <c r="F2" s="698"/>
      <c r="G2" s="698"/>
      <c r="H2" s="698"/>
      <c r="I2" s="698"/>
      <c r="J2" s="698"/>
      <c r="K2" s="698"/>
      <c r="L2" s="698"/>
      <c r="M2" s="698"/>
      <c r="N2" s="698"/>
    </row>
    <row r="3" spans="1:14" ht="34.950000000000003"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05" customHeight="1">
      <c r="A5" s="353"/>
      <c r="B5" s="354" t="str">
        <f>Idiomas!D125</f>
        <v>FASE DE GRUPOS</v>
      </c>
      <c r="C5" s="346" t="str">
        <f>Home!C10</f>
        <v>Mayli</v>
      </c>
      <c r="E5" s="689" t="str">
        <f>Idiomas!D109</f>
        <v>·Si haceis jornada a jornada seguir las instrucciones de cada jornada</v>
      </c>
      <c r="F5" s="689"/>
      <c r="G5" s="689"/>
      <c r="H5" s="689"/>
      <c r="I5" s="689"/>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1|1-0</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3"/>
      <c r="E7" s="685"/>
      <c r="F7" s="685"/>
      <c r="G7" s="685"/>
      <c r="H7" s="685"/>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2|0-1</v>
      </c>
      <c r="D8" s="693"/>
      <c r="E8" s="685"/>
      <c r="F8" s="685"/>
      <c r="G8" s="685"/>
      <c r="H8" s="685"/>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2|0-3</v>
      </c>
      <c r="D9" s="693"/>
      <c r="E9" s="685"/>
      <c r="F9" s="685"/>
      <c r="G9" s="685"/>
      <c r="H9" s="685"/>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1|2-1</v>
      </c>
      <c r="D10" s="693"/>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2|0-2</v>
      </c>
      <c r="D11" s="693"/>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1|2-0</v>
      </c>
      <c r="D12" s="693"/>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2|1-2</v>
      </c>
      <c r="D13" s="693"/>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1|4-0</v>
      </c>
      <c r="D14" s="693"/>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X|2-2</v>
      </c>
      <c r="D15" s="693"/>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X|1-1</v>
      </c>
      <c r="D16" s="693"/>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1|2-1</v>
      </c>
      <c r="D17" s="693"/>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1|1-0</v>
      </c>
      <c r="D19" s="693"/>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1|6-0</v>
      </c>
      <c r="D20" s="693"/>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3"/>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1|2-0</v>
      </c>
      <c r="D22" s="693"/>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2|0-3</v>
      </c>
      <c r="D23" s="693"/>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1|3-1</v>
      </c>
      <c r="D24" s="693"/>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3"/>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1|3-0</v>
      </c>
      <c r="D26" s="693"/>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3"/>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3"/>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1|3-1</v>
      </c>
      <c r="D29" s="694"/>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1|2-0</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X|1-1</v>
      </c>
      <c r="D31" s="695"/>
      <c r="E31" s="685"/>
      <c r="F31" s="685"/>
      <c r="G31" s="685"/>
      <c r="H31" s="685"/>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1|2-1</v>
      </c>
      <c r="D32" s="695"/>
      <c r="E32" s="685"/>
      <c r="F32" s="685"/>
      <c r="G32" s="685"/>
      <c r="H32" s="685"/>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X|0-0</v>
      </c>
      <c r="D33" s="695"/>
      <c r="E33" s="685"/>
      <c r="F33" s="685"/>
      <c r="G33" s="685"/>
      <c r="H33" s="685"/>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2|1-3</v>
      </c>
      <c r="D34" s="695"/>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5"/>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1|2-1</v>
      </c>
      <c r="D36" s="695"/>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X|1-1</v>
      </c>
      <c r="D37" s="695"/>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5"/>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95"/>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X|1-1</v>
      </c>
      <c r="D40" s="695"/>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2|1-3</v>
      </c>
      <c r="D41" s="695"/>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1|3-1</v>
      </c>
      <c r="D42" s="695"/>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5"/>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5"/>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5"/>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1|2-0</v>
      </c>
      <c r="D47" s="695"/>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5"/>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2|0-1</v>
      </c>
      <c r="D49" s="695"/>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5"/>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1|2-1</v>
      </c>
      <c r="D51" s="695"/>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1|2-0</v>
      </c>
      <c r="D52" s="695"/>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2|1-3</v>
      </c>
      <c r="D53" s="696"/>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2|0-3</v>
      </c>
      <c r="D55" s="704"/>
      <c r="E55" s="685"/>
      <c r="F55" s="685"/>
      <c r="G55" s="685"/>
      <c r="H55" s="685"/>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1|2-0</v>
      </c>
      <c r="D56" s="704"/>
      <c r="E56" s="685"/>
      <c r="F56" s="685"/>
      <c r="G56" s="685"/>
      <c r="H56" s="685"/>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1|2-0</v>
      </c>
      <c r="D57" s="704"/>
      <c r="E57" s="685"/>
      <c r="F57" s="685"/>
      <c r="G57" s="685"/>
      <c r="H57" s="685"/>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2|1-3</v>
      </c>
      <c r="D58" s="704"/>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1|3-0</v>
      </c>
      <c r="D59" s="704"/>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1|2-0</v>
      </c>
      <c r="D60" s="704"/>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1|1-0</v>
      </c>
      <c r="D61" s="704"/>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2|1-3</v>
      </c>
      <c r="D62" s="704"/>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X|1-1</v>
      </c>
      <c r="D63" s="704"/>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704"/>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2|1-4</v>
      </c>
      <c r="D65" s="704"/>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704"/>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704"/>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704"/>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2|1-3</v>
      </c>
      <c r="D69" s="704"/>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2|1-2</v>
      </c>
      <c r="D70" s="704"/>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1|2-0</v>
      </c>
      <c r="D71" s="704"/>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X|1-1</v>
      </c>
      <c r="D72" s="704"/>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2|0-4</v>
      </c>
      <c r="D73" s="704"/>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X|1-1</v>
      </c>
      <c r="D74" s="704"/>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X|1-1</v>
      </c>
      <c r="D75" s="704"/>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704"/>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9.05" customHeight="1">
      <c r="A79" s="353"/>
      <c r="B79" s="358" t="str">
        <f>Idiomas!D126</f>
        <v>POSICIÓN GRUPOS</v>
      </c>
      <c r="C79" s="350"/>
      <c r="D79" s="704"/>
      <c r="E79" s="370"/>
      <c r="F79" s="370"/>
      <c r="G79" s="370"/>
      <c r="H79" s="370"/>
      <c r="I79" s="381"/>
      <c r="J79" s="370"/>
      <c r="K79" s="370"/>
      <c r="L79" s="370"/>
      <c r="M79" s="379"/>
      <c r="N79" s="377"/>
    </row>
    <row r="80" spans="1:14" ht="15" customHeight="1">
      <c r="A80" s="697" t="s">
        <v>0</v>
      </c>
      <c r="B80" s="359" t="str">
        <f>Idiomas!D140</f>
        <v>1º GRUPO A</v>
      </c>
      <c r="C80" s="349" t="str">
        <f ca="1">IF(OR(SUM(WORLDCUP!$AN$6:$AN$9)=12,WORLDCUP!$AJ$99=144),WORLDCUP!AL6,B80)</f>
        <v>Corea del Sur</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México</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República Checa</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Sudáfrica</v>
      </c>
      <c r="D83" s="704"/>
      <c r="E83" s="370"/>
      <c r="F83" s="370"/>
      <c r="G83" s="370"/>
      <c r="H83" s="370"/>
      <c r="I83" s="381"/>
      <c r="J83" s="370"/>
      <c r="K83" s="370"/>
      <c r="L83" s="370"/>
      <c r="M83" s="379"/>
      <c r="N83" s="377"/>
    </row>
    <row r="84" spans="1:14" ht="15" customHeight="1">
      <c r="A84" s="707" t="s">
        <v>1</v>
      </c>
      <c r="B84" s="357" t="str">
        <f>Idiomas!D144</f>
        <v>1º GRUPO B</v>
      </c>
      <c r="C84" s="349" t="str">
        <f ca="1">IF(OR(SUM(WORLDCUP!$AN$14:$AN$17)=12,WORLDCUP!$AJ$99=144),WORLDCUP!AL14,B84)</f>
        <v>Suiza</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Bosnia y Herzegovina</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Canadá</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2</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74</v>
      </c>
      <c r="B92" s="357" t="str">
        <f>Idiomas!D152</f>
        <v>1º GRUPO D</v>
      </c>
      <c r="C92" s="349" t="str">
        <f ca="1">IF(OR(SUM(WORLDCUP!$AN$30:$AN$33)=12,WORLDCUP!$AJ$99=144),WORLDCUP!AL30,B92)</f>
        <v>Turquía</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Estados Unidos</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Australia</v>
      </c>
      <c r="D95" s="704"/>
      <c r="E95" s="370"/>
      <c r="F95" s="370"/>
      <c r="G95" s="370"/>
      <c r="H95" s="370"/>
      <c r="I95" s="381"/>
      <c r="J95" s="370"/>
      <c r="K95" s="370"/>
      <c r="L95" s="370"/>
      <c r="M95" s="379"/>
      <c r="N95" s="377"/>
    </row>
    <row r="96" spans="1:14" ht="15" customHeight="1">
      <c r="A96" s="697" t="s">
        <v>3</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Ecuador</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Costa de Marfil</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4</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Japón</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Suecia</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6</v>
      </c>
      <c r="B104" s="359" t="str">
        <f>Idiomas!D164</f>
        <v>1º GRUPO G</v>
      </c>
      <c r="C104" s="349" t="str">
        <f ca="1">IF(OR(SUM(WORLDCUP!$AN$54:$AN$57)=12,WORLDCUP!$AJ$99=144),WORLDCUP!AL54,B104)</f>
        <v>Bélgica</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Egipto</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Irán</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Nueva Zelanda</v>
      </c>
      <c r="D107" s="704"/>
      <c r="E107" s="370"/>
      <c r="F107" s="370"/>
      <c r="G107" s="370"/>
      <c r="H107" s="370"/>
      <c r="I107" s="381"/>
      <c r="J107" s="370"/>
      <c r="K107" s="370"/>
      <c r="L107" s="370"/>
      <c r="M107" s="379"/>
      <c r="N107" s="377"/>
    </row>
    <row r="108" spans="1:14" ht="15" customHeight="1">
      <c r="A108" s="707" t="s">
        <v>447</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Arabia Saudita</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Cabo Verde</v>
      </c>
      <c r="D111" s="704"/>
      <c r="E111" s="370"/>
      <c r="F111" s="370"/>
      <c r="G111" s="370"/>
      <c r="H111" s="370"/>
      <c r="I111" s="381"/>
      <c r="J111" s="370"/>
      <c r="K111" s="370"/>
      <c r="L111" s="370"/>
      <c r="M111" s="379"/>
      <c r="N111" s="377"/>
    </row>
    <row r="112" spans="1:14" ht="15" customHeight="1">
      <c r="A112" s="697" t="s">
        <v>448</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5</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449</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Colombia</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247</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Ghana</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Panamá</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9.05"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493</v>
      </c>
      <c r="B130" s="360" t="str">
        <f>Idiomas!$D$188</f>
        <v>Dieciseisavofinalista</v>
      </c>
      <c r="C130" s="349" t="str">
        <f ca="1">WORLDCUP!AA101</f>
        <v>México</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Ecuador</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Corea del Sur</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Bélgica</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Turquía</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Colombia</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Suiza</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Estados Unidos</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Bosnia y Herzegovina</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Japón</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Suecia</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Escocia</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Costa de Marfil</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República Checa</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Argelia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Irán</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Egipto</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Ghana</v>
      </c>
      <c r="D161" s="705"/>
      <c r="E161" s="372"/>
      <c r="F161" s="372"/>
      <c r="G161" s="372"/>
      <c r="H161" s="372"/>
      <c r="I161" s="382"/>
      <c r="J161" s="383"/>
      <c r="K161" s="372"/>
      <c r="L161" s="372"/>
      <c r="M161" s="384"/>
      <c r="N161" s="377"/>
    </row>
    <row r="162" spans="1:14" ht="19.95"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2.95"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493</v>
      </c>
      <c r="B164" s="360" t="str">
        <f ca="1">CONCATENATE(WORLDCUP!AA101,"-",WORLDCUP!AF101)</f>
        <v>México-Bosnia y Herzegovina</v>
      </c>
      <c r="C164" s="349" t="str">
        <f ca="1">CONCATENATE(WORLDCUP!AA101,"-",WORLDCUP!AF101,"·",IF(WORLDCUP!AC101&gt;WORLDCUP!AD101,1,IF(WORLDCUP!AC101&lt;WORLDCUP!AD101,2,IF(AND(WORLDCUP!AC101=WORLDCUP!AD101,WORLDCUP!AC101&lt;&gt;"",WORLDCUP!AD101&lt;&gt;""),"X",0))),"|",WORLDCUP!AC101,"-",WORLDCUP!AD101)</f>
        <v>México-Bosnia y Herzegovina·1|2-1</v>
      </c>
      <c r="D164" s="706" t="s">
        <v>493</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Brasil-Japón·1|2-0</v>
      </c>
      <c r="D165" s="706"/>
      <c r="E165" s="692"/>
      <c r="F165" s="692"/>
      <c r="G165" s="692"/>
      <c r="H165" s="692"/>
      <c r="I165" s="352"/>
      <c r="J165" s="370"/>
      <c r="K165" s="370"/>
      <c r="L165" s="370"/>
      <c r="M165" s="386"/>
      <c r="N165" s="377"/>
    </row>
    <row r="166" spans="1:14" ht="15" customHeight="1">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Alemania-Paraguay·1|3-0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Bajos-Marruecos·X|1-1</v>
      </c>
      <c r="D167" s="706"/>
      <c r="E167" s="692"/>
      <c r="F167" s="692"/>
      <c r="G167" s="692"/>
      <c r="H167" s="692"/>
      <c r="I167" s="352"/>
      <c r="J167" s="370"/>
      <c r="K167" s="370"/>
      <c r="L167" s="370"/>
      <c r="M167" s="386"/>
      <c r="N167" s="377"/>
    </row>
    <row r="168" spans="1:14" ht="15" customHeight="1">
      <c r="A168" s="703"/>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Ecuador-Noruega·2|1-3</v>
      </c>
      <c r="D168" s="706"/>
      <c r="E168" s="370"/>
      <c r="F168" s="370"/>
      <c r="G168" s="370"/>
      <c r="H168" s="370"/>
      <c r="I168" s="352"/>
      <c r="J168" s="370"/>
      <c r="K168" s="370"/>
      <c r="L168" s="370"/>
      <c r="M168" s="386"/>
      <c r="N168" s="377"/>
    </row>
    <row r="169" spans="1:14" ht="15" customHeight="1">
      <c r="A169" s="703"/>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Francia-Suecia·1|3-1</v>
      </c>
      <c r="D169" s="706"/>
      <c r="E169" s="370"/>
      <c r="F169" s="370"/>
      <c r="G169" s="370"/>
      <c r="H169" s="370"/>
      <c r="I169" s="352"/>
      <c r="J169" s="370"/>
      <c r="K169" s="370"/>
      <c r="L169" s="370"/>
      <c r="M169" s="386"/>
      <c r="N169" s="377"/>
    </row>
    <row r="170" spans="1:14" ht="15" customHeight="1">
      <c r="A170" s="703"/>
      <c r="B170" s="360" t="str">
        <f ca="1">CONCATENATE(WORLDCUP!AA107,"-",WORLDCUP!AF107)</f>
        <v>Corea del Sur-Escocia</v>
      </c>
      <c r="C170" s="349" t="str">
        <f ca="1">CONCATENATE(WORLDCUP!AA107,"-",WORLDCUP!AF107,"·",IF(WORLDCUP!AC107&gt;WORLDCUP!AD107,1,IF(WORLDCUP!AC107&lt;WORLDCUP!AD107,2,IF(AND(WORLDCUP!AC107=WORLDCUP!AD107,WORLDCUP!AC107&lt;&gt;"",WORLDCUP!AD107&lt;&gt;""),"X",0))),"|",WORLDCUP!AC107,"-",WORLDCUP!AD107)</f>
        <v>Corea del Sur-Escocia·X|1-1</v>
      </c>
      <c r="D170" s="706"/>
      <c r="E170" s="370"/>
      <c r="F170" s="370"/>
      <c r="G170" s="370"/>
      <c r="H170" s="370"/>
      <c r="I170" s="352"/>
      <c r="J170" s="370"/>
      <c r="K170" s="370"/>
      <c r="L170" s="370"/>
      <c r="M170" s="386"/>
      <c r="N170" s="377"/>
    </row>
    <row r="171" spans="1:14" ht="15" customHeight="1">
      <c r="A171" s="703"/>
      <c r="B171" s="360" t="str">
        <f ca="1">CONCATENATE(WORLDCUP!AA108,"-",WORLDCUP!AF108)</f>
        <v>Inglaterra-Costa de Marfil</v>
      </c>
      <c r="C171" s="349" t="str">
        <f ca="1">CONCATENATE(WORLDCUP!AA108,"-",WORLDCUP!AF108,"·",IF(WORLDCUP!AC108&gt;WORLDCUP!AD108,1,IF(WORLDCUP!AC108&lt;WORLDCUP!AD108,2,IF(AND(WORLDCUP!AC108=WORLDCUP!AD108,WORLDCUP!AC108&lt;&gt;"",WORLDCUP!AD108&lt;&gt;""),"X",0))),"|",WORLDCUP!AC108,"-",WORLDCUP!AD108)</f>
        <v>Inglaterra-Costa de Marfil·1|3-1</v>
      </c>
      <c r="D171" s="706"/>
      <c r="E171" s="370"/>
      <c r="F171" s="370"/>
      <c r="G171" s="370"/>
      <c r="H171" s="370"/>
      <c r="I171" s="352"/>
      <c r="J171" s="370"/>
      <c r="K171" s="370"/>
      <c r="L171" s="370"/>
      <c r="M171" s="386"/>
      <c r="N171" s="377"/>
    </row>
    <row r="172" spans="1:14" ht="15" customHeight="1">
      <c r="A172" s="703"/>
      <c r="B172" s="360" t="str">
        <f ca="1">CONCATENATE(WORLDCUP!AA109,"-",WORLDCUP!AF109)</f>
        <v>Bélgica-República Checa</v>
      </c>
      <c r="C172" s="349" t="str">
        <f ca="1">CONCATENATE(WORLDCUP!AA109,"-",WORLDCUP!AF109,"·",IF(WORLDCUP!AC109&gt;WORLDCUP!AD109,1,IF(WORLDCUP!AC109&lt;WORLDCUP!AD109,2,IF(AND(WORLDCUP!AC109=WORLDCUP!AD109,WORLDCUP!AC109&lt;&gt;"",WORLDCUP!AD109&lt;&gt;""),"X",0))),"|",WORLDCUP!AC109,"-",WORLDCUP!AD109)</f>
        <v>Bélgica-República Checa·1|2-1</v>
      </c>
      <c r="D172" s="706"/>
      <c r="E172" s="370"/>
      <c r="F172" s="370"/>
      <c r="G172" s="370"/>
      <c r="H172" s="370"/>
      <c r="I172" s="352"/>
      <c r="J172" s="370"/>
      <c r="K172" s="370"/>
      <c r="L172" s="370"/>
      <c r="M172" s="386"/>
      <c r="N172" s="377"/>
    </row>
    <row r="173" spans="1:14" ht="15" customHeight="1">
      <c r="A173" s="703"/>
      <c r="B173" s="360" t="str">
        <f ca="1">CONCATENATE(WORLDCUP!AA110,"-",WORLDCUP!AF110)</f>
        <v>Turquía-Argelia</v>
      </c>
      <c r="C173" s="349" t="str">
        <f ca="1">CONCATENATE(WORLDCUP!AA110,"-",WORLDCUP!AF110,"·",IF(WORLDCUP!AC110&gt;WORLDCUP!AD110,1,IF(WORLDCUP!AC110&lt;WORLDCUP!AD110,2,IF(AND(WORLDCUP!AC110=WORLDCUP!AD110,WORLDCUP!AC110&lt;&gt;"",WORLDCUP!AD110&lt;&gt;""),"X",0))),"|",WORLDCUP!AC110,"-",WORLDCUP!AD110)</f>
        <v>Turquía-Argelia·2|1-2</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España-Austria·1|4-1</v>
      </c>
      <c r="D174" s="706"/>
      <c r="E174" s="370"/>
      <c r="F174" s="370"/>
      <c r="G174" s="370"/>
      <c r="H174" s="370"/>
      <c r="I174" s="352"/>
      <c r="J174" s="370"/>
      <c r="K174" s="370"/>
      <c r="L174" s="370"/>
      <c r="M174" s="386"/>
      <c r="N174" s="377"/>
    </row>
    <row r="175" spans="1:14" ht="15" customHeight="1">
      <c r="A175" s="703"/>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Colombia-Croacia·X|1-1</v>
      </c>
      <c r="D175" s="706"/>
      <c r="E175" s="370"/>
      <c r="F175" s="370"/>
      <c r="G175" s="370"/>
      <c r="H175" s="370"/>
      <c r="I175" s="352"/>
      <c r="J175" s="370"/>
      <c r="K175" s="370"/>
      <c r="L175" s="370"/>
      <c r="M175" s="386"/>
      <c r="N175" s="377"/>
    </row>
    <row r="176" spans="1:14" ht="15" customHeight="1">
      <c r="A176" s="703"/>
      <c r="B176" s="360" t="str">
        <f ca="1">CONCATENATE(WORLDCUP!AA113,"-",WORLDCUP!AF113)</f>
        <v>Suiza-Irán</v>
      </c>
      <c r="C176" s="349" t="str">
        <f ca="1">CONCATENATE(WORLDCUP!AA113,"-",WORLDCUP!AF113,"·",IF(WORLDCUP!AC113&gt;WORLDCUP!AD113,1,IF(WORLDCUP!AC113&lt;WORLDCUP!AD113,2,IF(AND(WORLDCUP!AC113=WORLDCUP!AD113,WORLDCUP!AC113&lt;&gt;"",WORLDCUP!AD113&lt;&gt;""),"X",0))),"|",WORLDCUP!AC113,"-",WORLDCUP!AD113)</f>
        <v>Suiza-Irán·1|2-0</v>
      </c>
      <c r="D176" s="706"/>
      <c r="E176" s="370"/>
      <c r="F176" s="370"/>
      <c r="G176" s="370"/>
      <c r="H176" s="370"/>
      <c r="I176" s="352"/>
      <c r="J176" s="370"/>
      <c r="K176" s="370"/>
      <c r="L176" s="370"/>
      <c r="M176" s="386"/>
      <c r="N176" s="377"/>
    </row>
    <row r="177" spans="1:14" ht="15" customHeight="1">
      <c r="A177" s="703"/>
      <c r="B177" s="360" t="str">
        <f ca="1">CONCATENATE(WORLDCUP!AA114,"-",WORLDCUP!AF114)</f>
        <v>Estados Unidos-Egipto</v>
      </c>
      <c r="C177" s="349" t="str">
        <f ca="1">CONCATENATE(WORLDCUP!AA114,"-",WORLDCUP!AF114,"·",IF(WORLDCUP!AC114&gt;WORLDCUP!AD114,1,IF(WORLDCUP!AC114&lt;WORLDCUP!AD114,2,IF(AND(WORLDCUP!AC114=WORLDCUP!AD114,WORLDCUP!AC114&lt;&gt;"",WORLDCUP!AD114&lt;&gt;""),"X",0))),"|",WORLDCUP!AC114,"-",WORLDCUP!AD114)</f>
        <v>Estados Unidos-Egipto·1|3-1</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Argentina-Uruguay·1|2-1</v>
      </c>
      <c r="D178" s="706"/>
      <c r="E178" s="370"/>
      <c r="F178" s="370"/>
      <c r="G178" s="370"/>
      <c r="H178" s="370"/>
      <c r="I178" s="352"/>
      <c r="J178" s="370"/>
      <c r="K178" s="370"/>
      <c r="L178" s="370"/>
      <c r="M178" s="386"/>
      <c r="N178" s="377"/>
    </row>
    <row r="179" spans="1:14" ht="15" customHeight="1">
      <c r="A179" s="703"/>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Portugal-Ghana·1|3-1</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9.05"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89</v>
      </c>
      <c r="B182" s="360" t="str">
        <f>Idiomas!$D$189</f>
        <v>Octavofinalista</v>
      </c>
      <c r="C182" s="349" t="str">
        <f ca="1">WORLDCUP!AA120</f>
        <v>México</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Corea del Sur</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Colombia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Argelia</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Suiza</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Marruecos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Noruega</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Bélgica</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Estados Unidos</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0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89</v>
      </c>
      <c r="B200" s="361" t="str">
        <f ca="1">CONCATENATE(WORLDCUP!AA120,"-",WORLDCUP!AF120)</f>
        <v>México-Marruecos</v>
      </c>
      <c r="C200" s="351" t="str">
        <f ca="1">CONCATENATE(WORLDCUP!AA120,"-",WORLDCUP!AF120,"·",IF(WORLDCUP!AC120&gt;WORLDCUP!AD120,1,IF(WORLDCUP!AC120&lt;WORLDCUP!AD120,2,IF(AND(WORLDCUP!AC120=WORLDCUP!AD120,WORLDCUP!AC120&lt;&gt;"",WORLDCUP!AD120&lt;&gt;""),"X",0))),"|",WORLDCUP!AC120,"-",WORLDCUP!AD120)</f>
        <v>México-Marruecos·X|1-1</v>
      </c>
      <c r="D200" s="686" t="s">
        <v>89</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Alemania-Francia·X|1-1</v>
      </c>
      <c r="D201" s="686"/>
      <c r="E201" s="685"/>
      <c r="F201" s="685"/>
      <c r="G201" s="685"/>
      <c r="H201" s="685"/>
      <c r="I201" s="352"/>
      <c r="J201" s="370"/>
      <c r="K201" s="370"/>
      <c r="L201" s="370"/>
      <c r="M201" s="386"/>
      <c r="N201" s="377"/>
    </row>
    <row r="202" spans="1:14" ht="15" customHeight="1">
      <c r="A202" s="703"/>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Brasil-Noruega·2|2-3</v>
      </c>
      <c r="D202" s="686"/>
      <c r="E202" s="685"/>
      <c r="F202" s="685"/>
      <c r="G202" s="685"/>
      <c r="H202" s="685"/>
      <c r="I202" s="352"/>
      <c r="J202" s="370"/>
      <c r="K202" s="370"/>
      <c r="L202" s="370"/>
      <c r="M202" s="386"/>
      <c r="N202" s="377"/>
    </row>
    <row r="203" spans="1:14" ht="15" customHeight="1">
      <c r="A203" s="703"/>
      <c r="B203" s="361" t="str">
        <f ca="1">CONCATENATE(WORLDCUP!AA123,"-",WORLDCUP!AF123)</f>
        <v>Corea del Sur-Inglaterra</v>
      </c>
      <c r="C203" s="351" t="str">
        <f ca="1">CONCATENATE(WORLDCUP!AA123,"-",WORLDCUP!AF123,"·",IF(WORLDCUP!AC123&gt;WORLDCUP!AD123,1,IF(WORLDCUP!AC123&lt;WORLDCUP!AD123,2,IF(AND(WORLDCUP!AC123=WORLDCUP!AD123,WORLDCUP!AC123&lt;&gt;"",WORLDCUP!AD123&lt;&gt;""),"X",0))),"|",WORLDCUP!AC123,"-",WORLDCUP!AD123)</f>
        <v>Corea del Sur-Inglaterra·2|1-3</v>
      </c>
      <c r="D203" s="686"/>
      <c r="E203" s="685"/>
      <c r="F203" s="685"/>
      <c r="G203" s="685"/>
      <c r="H203" s="685"/>
      <c r="I203" s="352"/>
      <c r="J203" s="370"/>
      <c r="K203" s="370"/>
      <c r="L203" s="370"/>
      <c r="M203" s="386"/>
      <c r="N203" s="377"/>
    </row>
    <row r="204" spans="1:14" ht="15" customHeight="1">
      <c r="A204" s="703"/>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Colombia-España·2|1-3</v>
      </c>
      <c r="D204" s="686"/>
      <c r="E204" s="352"/>
      <c r="F204" s="352"/>
      <c r="G204" s="352"/>
      <c r="H204" s="352"/>
      <c r="I204" s="352"/>
      <c r="J204" s="370"/>
      <c r="K204" s="370"/>
      <c r="L204" s="370"/>
      <c r="M204" s="386"/>
      <c r="N204" s="377"/>
    </row>
    <row r="205" spans="1:14" ht="15" customHeight="1">
      <c r="A205" s="703"/>
      <c r="B205" s="361" t="str">
        <f ca="1">CONCATENATE(WORLDCUP!AA125,"-",WORLDCUP!AF125)</f>
        <v>Argelia-Bélgica</v>
      </c>
      <c r="C205" s="351" t="str">
        <f ca="1">CONCATENATE(WORLDCUP!AA125,"-",WORLDCUP!AF125,"·",IF(WORLDCUP!AC125&gt;WORLDCUP!AD125,1,IF(WORLDCUP!AC125&lt;WORLDCUP!AD125,2,IF(AND(WORLDCUP!AC125=WORLDCUP!AD125,WORLDCUP!AC125&lt;&gt;"",WORLDCUP!AD125&lt;&gt;""),"X",0))),"|",WORLDCUP!AC125,"-",WORLDCUP!AD125)</f>
        <v>Argelia-Bélgica·2|1-2</v>
      </c>
      <c r="D205" s="686"/>
      <c r="E205" s="352"/>
      <c r="F205" s="352"/>
      <c r="G205" s="352"/>
      <c r="H205" s="352"/>
      <c r="I205" s="352"/>
      <c r="J205" s="370"/>
      <c r="K205" s="370"/>
      <c r="L205" s="370"/>
      <c r="M205" s="386"/>
      <c r="N205" s="377"/>
    </row>
    <row r="206" spans="1:14" ht="15" customHeight="1">
      <c r="A206" s="703"/>
      <c r="B206" s="361" t="str">
        <f ca="1">CONCATENATE(WORLDCUP!AA126,"-",WORLDCUP!AF126)</f>
        <v>Argentina-Estados Unidos</v>
      </c>
      <c r="C206" s="351" t="str">
        <f ca="1">CONCATENATE(WORLDCUP!AA126,"-",WORLDCUP!AF126,"·",IF(WORLDCUP!AC126&gt;WORLDCUP!AD126,1,IF(WORLDCUP!AC126&lt;WORLDCUP!AD126,2,IF(AND(WORLDCUP!AC126=WORLDCUP!AD126,WORLDCUP!AC126&lt;&gt;"",WORLDCUP!AD126&lt;&gt;""),"X",0))),"|",WORLDCUP!AC126,"-",WORLDCUP!AD126)</f>
        <v>Argentina-Estados Unidos·1|2-0</v>
      </c>
      <c r="D206" s="686"/>
      <c r="E206" s="352"/>
      <c r="F206" s="352"/>
      <c r="G206" s="352"/>
      <c r="H206" s="352"/>
      <c r="I206" s="352"/>
      <c r="J206" s="370"/>
      <c r="K206" s="370"/>
      <c r="L206" s="370"/>
      <c r="M206" s="386"/>
      <c r="N206" s="377"/>
    </row>
    <row r="207" spans="1:14" ht="15" customHeight="1">
      <c r="A207" s="703"/>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Suiza-Portugal·2|1-3</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9.05"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36</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Noruega</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Marruecos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Bélgica</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Portugal</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Francia-Marruecos·1|2-1</v>
      </c>
      <c r="D220" s="706" t="s">
        <v>36</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España-Bélgica·1|3-1</v>
      </c>
      <c r="D221" s="706"/>
      <c r="E221" s="685"/>
      <c r="F221" s="685"/>
      <c r="G221" s="685"/>
      <c r="H221" s="685"/>
      <c r="I221" s="352"/>
      <c r="J221" s="370"/>
      <c r="K221" s="370"/>
      <c r="L221" s="370"/>
      <c r="M221" s="386"/>
      <c r="N221" s="377"/>
    </row>
    <row r="222" spans="1:14" ht="15" customHeight="1">
      <c r="A222" s="703"/>
      <c r="B222" s="360" t="str">
        <f ca="1">CONCATENATE(WORLDCUP!AA133,"-",WORLDCUP!AF133)</f>
        <v>Noruega-Inglaterra</v>
      </c>
      <c r="C222" s="349" t="str">
        <f ca="1">CONCATENATE(WORLDCUP!AA133,"-",WORLDCUP!AF133,"·",IF(WORLDCUP!AC133&gt;WORLDCUP!AD133,1,IF(WORLDCUP!AC133&lt;WORLDCUP!AD133,2,IF(AND(WORLDCUP!AC133=WORLDCUP!AD133,WORLDCUP!AC133&lt;&gt;"",WORLDCUP!AD133&lt;&gt;""),"X",0))),"|",WORLDCUP!AC133,"-",WORLDCUP!AD133)</f>
        <v>Noruega-Inglaterra·2|1-2</v>
      </c>
      <c r="D222" s="706"/>
      <c r="E222" s="685"/>
      <c r="F222" s="685"/>
      <c r="G222" s="685"/>
      <c r="H222" s="685"/>
      <c r="I222" s="352"/>
      <c r="J222" s="370"/>
      <c r="K222" s="370"/>
      <c r="L222" s="370"/>
      <c r="M222" s="386"/>
      <c r="N222" s="377"/>
    </row>
    <row r="223" spans="1:14" ht="15" customHeight="1">
      <c r="A223" s="703"/>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Argentina-Portugal·X|1-1</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37</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Inglaterra</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Portugal</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0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Francia-España·X|2-2</v>
      </c>
      <c r="D232" s="686" t="s">
        <v>37</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Inglaterra-Portugal</v>
      </c>
      <c r="C233" s="351" t="str">
        <f ca="1">CONCATENATE(WORLDCUP!AA139,"-",WORLDCUP!AF139,"·",IF(WORLDCUP!AC139&gt;WORLDCUP!AD139,1,IF(WORLDCUP!AC139&lt;WORLDCUP!AD139,2,IF(AND(WORLDCUP!AC139=WORLDCUP!AD139,WORLDCUP!AC139&lt;&gt;"",WORLDCUP!AD139&lt;&gt;""),"X",0))),"|",WORLDCUP!AC139,"-",WORLDCUP!AD139)</f>
        <v>Inglaterra-Portugal·X|1-1</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503</v>
      </c>
      <c r="B236" s="360" t="str">
        <f>Idiomas!D192</f>
        <v>3º y 4º puesto</v>
      </c>
      <c r="C236" s="349" t="str">
        <f ca="1">WORLDCUP!AA143</f>
        <v>Francia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Inglaterra</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9.05"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4</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Portugal</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Francia-Inglaterra·1|3-1</v>
      </c>
      <c r="D244" s="711" t="s">
        <v>582</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España-Portugal·X|1-1</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9.05"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Portugal</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España</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Erling Haland</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Lamine Yamal</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Mbapee</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Lamine Yamal</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Mbapee</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Haland</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050000000000001"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0</v>
      </c>
      <c r="C3" s="417" t="str">
        <f ca="1">+MID(INDEX(WORLDCUP!$AA$4:$AA$147,MATCH(A3,WORLDCUP!$AH$4:$AH$147,0)),1,3)</f>
        <v>Méx</v>
      </c>
      <c r="D3" s="418">
        <f>IF(ISBLANK(INDEX(WORLDCUP!$AC$4:$AC$147,MATCH(A3,WORLDCUP!$AH$4:$AH$147,0))),"",INDEX(WORLDCUP!$AC$4:$AC$147,MATCH(A3,WORLDCUP!$AH$4:$AH$147,0)))</f>
        <v>1</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 thickBot="1">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Cor</v>
      </c>
      <c r="I4" s="449">
        <f ca="1">+INDEX(WORLDCUP!$AM$6:$AM$97,MATCH(L4,WORLDCUP!$AI$6:$AI$97,0))</f>
        <v>7</v>
      </c>
      <c r="J4" s="450">
        <f ca="1">+INDEX(WORLDCUP!$AT$6:$AT$97,MATCH(L4,WORLDCUP!$AI$6:$AI$97,0))</f>
        <v>4</v>
      </c>
      <c r="K4" s="451" t="str">
        <f ca="1">+INDEX(WORLDCUP!$AR$6:$AR$97,MATCH(L4,WORLDCUP!$AI$6:$AI$97,0))&amp;"-"&amp;INDEX(WORLDCUP!$AS$6:$AS$97,MATCH(L4,WORLDCUP!$AI$6:$AI$97,0))</f>
        <v>6-2</v>
      </c>
      <c r="L4" s="181" t="s">
        <v>656</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( 4 )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Méx</v>
      </c>
      <c r="I5" s="38">
        <f ca="1">+INDEX(WORLDCUP!$AM$6:$AM$97,MATCH(L5,WORLDCUP!$AI$6:$AI$97,0))</f>
        <v>5</v>
      </c>
      <c r="J5" s="39">
        <f ca="1">+INDEX(WORLDCUP!$AT$6:$AT$97,MATCH(L5,WORLDCUP!$AI$6:$AI$97,0))</f>
        <v>1</v>
      </c>
      <c r="K5" s="43" t="str">
        <f ca="1">+INDEX(WORLDCUP!$AR$6:$AR$97,MATCH(L5,WORLDCUP!$AI$6:$AI$97,0))&amp;"-"&amp;INDEX(WORLDCUP!$AS$6:$AS$97,MATCH(L5,WORLDCUP!$AI$6:$AI$97,0))</f>
        <v>3-2</v>
      </c>
      <c r="L5" s="181" t="s">
        <v>657</v>
      </c>
      <c r="M5" s="181">
        <v>39</v>
      </c>
      <c r="N5" s="452"/>
      <c r="O5" s="444" t="str">
        <f ca="1">+MID(INDEX(WORLDCUP!$AA$4:$AA$147,MATCH(M5,WORLDCUP!$AH$4:$AH$147,0)),1,3)</f>
        <v>Bél</v>
      </c>
      <c r="P5" s="445">
        <f>IF(ISBLANK(INDEX(WORLDCUP!$AC$4:$AC$147,MATCH(M5,WORLDCUP!$AH$4:$AH$147,0))),"",INDEX(WORLDCUP!$AC$4:$AC$147,MATCH(M5,WORLDCUP!$AH$4:$AH$147,0)))</f>
        <v>3</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4-2</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( 5 )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Rep</v>
      </c>
      <c r="I6" s="38">
        <f ca="1">+INDEX(WORLDCUP!$AM$6:$AM$97,MATCH(L6,WORLDCUP!$AI$6:$AI$97,0))</f>
        <v>4</v>
      </c>
      <c r="J6" s="39">
        <f ca="1">+INDEX(WORLDCUP!$AT$6:$AT$97,MATCH(L6,WORLDCUP!$AI$6:$AI$97,0))</f>
        <v>1</v>
      </c>
      <c r="K6" s="43" t="str">
        <f ca="1">+INDEX(WORLDCUP!$AR$6:$AR$97,MATCH(L6,WORLDCUP!$AI$6:$AI$97,0))&amp;"-"&amp;INDEX(WORLDCUP!$AS$6:$AS$97,MATCH(L6,WORLDCUP!$AI$6:$AI$97,0))</f>
        <v>4-3</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3-4</v>
      </c>
      <c r="X6" s="181" t="s">
        <v>445</v>
      </c>
      <c r="Y6" s="181">
        <v>77</v>
      </c>
      <c r="Z6" s="425" t="s">
        <v>684</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0</v>
      </c>
      <c r="BJ6" s="464">
        <f ca="1">COUNTIF(Pool!$C$182:$C$197,Fixture!BG6)-BK6-BL6-BM6-BN6-BO6</f>
        <v>1</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-6</v>
      </c>
      <c r="K7" s="479" t="str">
        <f ca="1">+INDEX(WORLDCUP!$AR$6:$AR$97,MATCH(L7,WORLDCUP!$AI$6:$AI$97,0))&amp;"-"&amp;INDEX(WORLDCUP!$AS$6:$AS$97,MATCH(L7,WORLDCUP!$AI$6:$AI$97,0))</f>
        <v>0-6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-5</v>
      </c>
      <c r="W7" s="479" t="str">
        <f ca="1">+INDEX(WORLDCUP!$AR$6:$AR$97,MATCH(X7,WORLDCUP!$AI$6:$AI$97,0))&amp;"-"&amp;INDEX(WORLDCUP!$AS$6:$AS$97,MATCH(X7,WORLDCUP!$AI$6:$AI$97,0))</f>
        <v>0-5</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3</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Méx</v>
      </c>
      <c r="AB9" s="427">
        <f>+IF(ISBLANK(INDEX(WORLDCUP!$AC$101:$AC$147,MATCH(Y9,WORLDCUP!$Z$101:$Z$147,0))),"",INDEX(WORLDCUP!$AC$101:$AC$147,MATCH(Y9,WORLDCUP!$Z$101:$Z$147,0)))</f>
        <v>2</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Bos</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Méx</v>
      </c>
      <c r="AF10" s="457">
        <f>+IF(ISBLANK(INDEX(WORLDCUP!$AC$101:$AC$147,MATCH(AD10,WORLDCUP!$Z$101:$Z$147,0))),"",INDEX(WORLDCUP!$AC$101:$AC$147,MATCH(AD10,WORLDCUP!$Z$101:$Z$147,0)))</f>
        <v>1</v>
      </c>
      <c r="AG10" s="501" t="str">
        <f>+IF(ISBLANK(INDEX(WORLDCUP!$AB$101:$AB$147,MATCH(AD10,WORLDCUP!$Z$101:$Z$147,0))),"","( "&amp;INDEX(WORLDCUP!$AB$101:$AB$147,MATCH(AD10,WORLDCUP!$Z$101:$Z$147,0))&amp;" )")</f>
        <v>( 3 )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0</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6</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1</v>
      </c>
      <c r="AG11" s="474" t="str">
        <f>+IF(ISBLANK(INDEX(WORLDCUP!$AE$101:$AE$147,MATCH(AD11,WORLDCUP!$Z$101:$Z$147,0))),"","( "&amp;INDEX(WORLDCUP!$AE$101:$AE$147,MATCH(AD11,WORLDCUP!$Z$101:$Z$147,0))&amp;" )")</f>
        <v>( 5 )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3</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6</v>
      </c>
      <c r="K12" s="451" t="str">
        <f ca="1">+INDEX(WORLDCUP!$AR$6:$AR$97,MATCH(L12,WORLDCUP!$AI$6:$AI$97,0))&amp;"-"&amp;INDEX(WORLDCUP!$AS$6:$AS$97,MATCH(L12,WORLDCUP!$AI$6:$AI$97,0))</f>
        <v>7-1</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11</v>
      </c>
      <c r="W12" s="451" t="str">
        <f ca="1">+INDEX(WORLDCUP!$AR$6:$AR$97,MATCH(X12,WORLDCUP!$AI$6:$AI$97,0))&amp;"-"&amp;INDEX(WORLDCUP!$AS$6:$AS$97,MATCH(X12,WORLDCUP!$AI$6:$AI$97,0))</f>
        <v>12-1</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( 2 )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1</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2</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Bos</v>
      </c>
      <c r="I13" s="38">
        <f ca="1">+INDEX(WORLDCUP!$AM$6:$AM$97,MATCH(L13,WORLDCUP!$AI$6:$AI$97,0))</f>
        <v>6</v>
      </c>
      <c r="J13" s="39">
        <f ca="1">+INDEX(WORLDCUP!$AT$6:$AT$97,MATCH(L13,WORLDCUP!$AI$6:$AI$97,0))</f>
        <v>2</v>
      </c>
      <c r="K13" s="43" t="str">
        <f ca="1">+INDEX(WORLDCUP!$AR$6:$AR$97,MATCH(L13,WORLDCUP!$AI$6:$AI$97,0))&amp;"-"&amp;INDEX(WORLDCUP!$AS$6:$AS$97,MATCH(L13,WORLDCUP!$AI$6:$AI$97,0))</f>
        <v>4-2</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5-4</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( 4 )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( 3 )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0</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Can</v>
      </c>
      <c r="I14" s="38">
        <f ca="1">+INDEX(WORLDCUP!$AM$6:$AM$97,MATCH(L14,WORLDCUP!$AI$6:$AI$97,0))</f>
        <v>1</v>
      </c>
      <c r="J14" s="39">
        <f ca="1">+INDEX(WORLDCUP!$AT$6:$AT$97,MATCH(L14,WORLDCUP!$AI$6:$AI$97,0))</f>
        <v>-3</v>
      </c>
      <c r="K14" s="43" t="str">
        <f ca="1">+INDEX(WORLDCUP!$AR$6:$AR$97,MATCH(L14,WORLDCUP!$AI$6:$AI$97,0))&amp;"-"&amp;INDEX(WORLDCUP!$AS$6:$AS$97,MATCH(L14,WORLDCUP!$AI$6:$AI$97,0))</f>
        <v>0-3</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3-6</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2</v>
      </c>
      <c r="AO14" s="511" t="str">
        <f>+IF(ISBLANK(INDEX(WORLDCUP!$AE$101:$AE$147,MATCH(AL14,WORLDCUP!$Z$101:$Z$147,0))),"","( "&amp;INDEX(WORLDCUP!$AE$101:$AE$147,MATCH(AL14,WORLDCUP!$Z$101:$Z$147,0))&amp;" )")</f>
        <v>( 4 )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0</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-5</v>
      </c>
      <c r="K15" s="479" t="str">
        <f ca="1">+INDEX(WORLDCUP!$AR$6:$AR$97,MATCH(L15,WORLDCUP!$AI$6:$AI$97,0))&amp;"-"&amp;INDEX(WORLDCUP!$AS$6:$AS$97,MATCH(L15,WORLDCUP!$AI$6:$AI$97,0))</f>
        <v>0-5</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-9</v>
      </c>
      <c r="W15" s="479" t="str">
        <f ca="1">+INDEX(WORLDCUP!$AR$6:$AR$97,MATCH(X15,WORLDCUP!$AI$6:$AI$97,0))&amp;"-"&amp;INDEX(WORLDCUP!$AS$6:$AS$97,MATCH(X15,WORLDCUP!$AI$6:$AI$97,0))</f>
        <v>1-10</v>
      </c>
      <c r="X15" s="181" t="s">
        <v>683</v>
      </c>
      <c r="Y15" s="181">
        <v>83</v>
      </c>
      <c r="Z15" s="425" t="s">
        <v>691</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( 4 )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3</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( 2 )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4</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2</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1</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2</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7</v>
      </c>
      <c r="K20" s="451" t="str">
        <f ca="1">+INDEX(WORLDCUP!$AR$6:$AR$97,MATCH(L20,WORLDCUP!$AI$6:$AI$97,0))&amp;"-"&amp;INDEX(WORLDCUP!$AS$6:$AS$97,MATCH(L20,WORLDCUP!$AI$6:$AI$97,0))</f>
        <v>9-2</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3</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6</v>
      </c>
      <c r="W20" s="451" t="str">
        <f ca="1">+INDEX(WORLDCUP!$AR$6:$AR$97,MATCH(X20,WORLDCUP!$AI$6:$AI$97,0))&amp;"-"&amp;INDEX(WORLDCUP!$AS$6:$AS$97,MATCH(X20,WORLDCUP!$AI$6:$AI$97,0))</f>
        <v>7-1</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4</v>
      </c>
      <c r="K21" s="43" t="str">
        <f ca="1">+INDEX(WORLDCUP!$AR$6:$AR$97,MATCH(L21,WORLDCUP!$AI$6:$AI$97,0))&amp;"-"&amp;INDEX(WORLDCUP!$AS$6:$AS$97,MATCH(L21,WORLDCUP!$AI$6:$AI$97,0))</f>
        <v>7-3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4</v>
      </c>
      <c r="W21" s="43" t="str">
        <f ca="1">+INDEX(WORLDCUP!$AR$6:$AR$97,MATCH(X21,WORLDCUP!$AI$6:$AI$97,0))&amp;"-"&amp;INDEX(WORLDCUP!$AS$6:$AS$97,MATCH(X21,WORLDCUP!$AI$6:$AI$97,0))</f>
        <v>6-2</v>
      </c>
      <c r="X21" s="181" t="s">
        <v>685</v>
      </c>
      <c r="Y21" s="181">
        <v>81</v>
      </c>
      <c r="Z21" s="425" t="s">
        <v>669</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Portugal</v>
      </c>
      <c r="BB21" s="528"/>
      <c r="BC21" s="529"/>
      <c r="BD21" s="153"/>
      <c r="BE21" s="153"/>
      <c r="BG21" s="462" t="str">
        <f ca="1">Horarios!Q20</f>
        <v>Ecuador</v>
      </c>
      <c r="BH21" s="463">
        <f t="shared" ca="1" si="0"/>
        <v>0</v>
      </c>
      <c r="BI21" s="463">
        <f ca="1">COUNTIF(Pool!$C$130:$C$161,Fixture!BG21)-BJ21-BK21-BL21-BM21-BN21-BO21</f>
        <v>1</v>
      </c>
      <c r="BJ21" s="464">
        <f ca="1">COUNTIF(Pool!$C$182:$C$197,Fixture!BG21)-BK21-BL21-BM21-BN21-BO21</f>
        <v>0</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4-6</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0</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2-4</v>
      </c>
      <c r="X22" s="181" t="s">
        <v>450</v>
      </c>
      <c r="Y22" s="181">
        <v>81</v>
      </c>
      <c r="Z22" s="425" t="s">
        <v>737</v>
      </c>
      <c r="AA22" s="426" t="str">
        <f ca="1">+MID(INDEX(WORLDCUP!$AF$101:$AF$147,MATCH(Y22,WORLDCUP!$Z$101:$Z$147,0)),1,IF(WORLDCUP!$H$113&lt;144,6,3))</f>
        <v>Arg</v>
      </c>
      <c r="AB22" s="453">
        <f>+IF(ISBLANK(INDEX(WORLDCUP!$AD$101:$AD$147,MATCH(Y22,WORLDCUP!$Z$101:$Z$147,0))),"",INDEX(WORLDCUP!$AD$101:$AD$147,MATCH(Y22,WORLDCUP!$Z$101:$Z$147,0)))</f>
        <v>2</v>
      </c>
      <c r="AC22" s="454" t="str">
        <f>+IF(ISBLANK(INDEX(WORLDCUP!$AE$101:$AE$147,MATCH(Y22,WORLDCUP!$Z$101:$Z$147,0))),"","( "&amp;INDEX(WORLDCUP!$AE$101:$AE$147,MATCH(Y22,WORLDCUP!$Z$101:$Z$147,0))&amp;" )")</f>
        <v/>
      </c>
      <c r="AD22" s="455">
        <v>94</v>
      </c>
      <c r="AE22" s="456" t="str">
        <f ca="1">+MID(INDEX(WORLDCUP!$AA$101:$AA$147,MATCH(AD22,WORLDCUP!$Z$101:$Z$147,0)),1,3)</f>
        <v>Arg</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-9</v>
      </c>
      <c r="K23" s="479" t="str">
        <f ca="1">+INDEX(WORLDCUP!$AR$6:$AR$97,MATCH(L23,WORLDCUP!$AI$6:$AI$97,0))&amp;"-"&amp;INDEX(WORLDCUP!$AS$6:$AS$97,MATCH(L23,WORLDCUP!$AI$6:$AI$97,0))</f>
        <v>0-9</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-8</v>
      </c>
      <c r="W23" s="479" t="str">
        <f ca="1">+INDEX(WORLDCUP!$AR$6:$AR$97,MATCH(X23,WORLDCUP!$AI$6:$AI$97,0))&amp;"-"&amp;INDEX(WORLDCUP!$AS$6:$AS$97,MATCH(X23,WORLDCUP!$AI$6:$AI$97,0))</f>
        <v>0-8</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España</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1</v>
      </c>
      <c r="BO24" s="466">
        <f ca="1">COUNTIF(Pool!$C$250,Fixture!BG24)</f>
        <v>0</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Rep</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( 4 )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( 5 )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0</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1</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Tur</v>
      </c>
      <c r="I28" s="449">
        <f ca="1">+INDEX(WORLDCUP!$AM$6:$AM$97,MATCH(L28,WORLDCUP!$AI$6:$AI$97,0))</f>
        <v>7</v>
      </c>
      <c r="J28" s="450">
        <f ca="1">+INDEX(WORLDCUP!$AT$6:$AT$97,MATCH(L28,WORLDCUP!$AI$6:$AI$97,0))</f>
        <v>3</v>
      </c>
      <c r="K28" s="451" t="str">
        <f ca="1">+INDEX(WORLDCUP!$AR$6:$AR$97,MATCH(L28,WORLDCUP!$AI$6:$AI$97,0))&amp;"-"&amp;INDEX(WORLDCUP!$AS$6:$AS$97,MATCH(L28,WORLDCUP!$AI$6:$AI$97,0))</f>
        <v>5-2</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8</v>
      </c>
      <c r="W28" s="451" t="str">
        <f ca="1">+INDEX(WORLDCUP!$AR$6:$AR$97,MATCH(X28,WORLDCUP!$AI$6:$AI$97,0))&amp;"-"&amp;INDEX(WORLDCUP!$AS$6:$AS$97,MATCH(X28,WORLDCUP!$AI$6:$AI$97,0))</f>
        <v>9-1</v>
      </c>
      <c r="X28" s="181" t="s">
        <v>687</v>
      </c>
      <c r="Y28" s="181">
        <v>76</v>
      </c>
      <c r="Z28" s="425" t="s">
        <v>676</v>
      </c>
      <c r="AA28" s="426" t="str">
        <f ca="1">+MID(INDEX(WORLDCUP!$AF$101:$AF$147,MATCH(Y28,WORLDCUP!$Z$101:$Z$147,0)),1,3)</f>
        <v>Jap</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Est</v>
      </c>
      <c r="I29" s="38">
        <f ca="1">+INDEX(WORLDCUP!$AM$6:$AM$97,MATCH(L29,WORLDCUP!$AI$6:$AI$97,0))</f>
        <v>6</v>
      </c>
      <c r="J29" s="39">
        <f ca="1">+INDEX(WORLDCUP!$AT$6:$AT$97,MATCH(L29,WORLDCUP!$AI$6:$AI$97,0))</f>
        <v>1</v>
      </c>
      <c r="K29" s="43" t="str">
        <f ca="1">+INDEX(WORLDCUP!$AR$6:$AR$97,MATCH(L29,WORLDCUP!$AI$6:$AI$97,0))&amp;"-"&amp;INDEX(WORLDCUP!$AS$6:$AS$97,MATCH(L29,WORLDCUP!$AI$6:$AI$97,0))</f>
        <v>4-3</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3-3</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3</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-1</v>
      </c>
      <c r="K30" s="43" t="str">
        <f ca="1">+INDEX(WORLDCUP!$AR$6:$AR$97,MATCH(L30,WORLDCUP!$AI$6:$AI$97,0))&amp;"-"&amp;INDEX(WORLDCUP!$AS$6:$AS$97,MATCH(L30,WORLDCUP!$AI$6:$AI$97,0))</f>
        <v>2-3</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3-4</v>
      </c>
      <c r="X30" s="181" t="s">
        <v>451</v>
      </c>
      <c r="Y30" s="181">
        <v>78</v>
      </c>
      <c r="Z30" s="425" t="s">
        <v>673</v>
      </c>
      <c r="AA30" s="426" t="str">
        <f ca="1">+MID(INDEX(WORLDCUP!$AA$101:$AA$147,MATCH(Y30,WORLDCUP!$Z$101:$Z$147,0)),1,3)</f>
        <v>Ecu</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0</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-3</v>
      </c>
      <c r="K31" s="479" t="str">
        <f ca="1">+INDEX(WORLDCUP!$AR$6:$AR$97,MATCH(L31,WORLDCUP!$AI$6:$AI$97,0))&amp;"-"&amp;INDEX(WORLDCUP!$AS$6:$AS$97,MATCH(L31,WORLDCUP!$AI$6:$AI$97,0))</f>
        <v>2-5</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-7</v>
      </c>
      <c r="W31" s="479" t="str">
        <f ca="1">+INDEX(WORLDCUP!$AR$6:$AR$97,MATCH(X31,WORLDCUP!$AI$6:$AI$97,0))&amp;"-"&amp;INDEX(WORLDCUP!$AS$6:$AS$97,MATCH(X31,WORLDCUP!$AI$6:$AI$97,0))</f>
        <v>0-7</v>
      </c>
      <c r="X31" s="181" t="s">
        <v>689</v>
      </c>
      <c r="Y31" s="181">
        <v>78</v>
      </c>
      <c r="Z31" s="425" t="s">
        <v>685</v>
      </c>
      <c r="AA31" s="480" t="str">
        <f ca="1">+MID(INDEX(WORLDCUP!$AF$101:$AF$147,MATCH(Y31,WORLDCUP!$Z$101:$Z$147,0)),1,3)</f>
        <v>Nor</v>
      </c>
      <c r="AB31" s="481">
        <f>+IF(ISBLANK(INDEX(WORLDCUP!$AD$101:$AD$147,MATCH(Y31,WORLDCUP!$Z$101:$Z$147,0))),"",INDEX(WORLDCUP!$AD$101:$AD$147,MATCH(Y31,WORLDCUP!$Z$101:$Z$147,0)))</f>
        <v>3</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Nor</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3</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1</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4</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Cor</v>
      </c>
      <c r="AB33" s="427">
        <f>+IF(ISBLANK(INDEX(WORLDCUP!$AC$101:$AC$147,MATCH(Y33,WORLDCUP!$Z$101:$Z$147,0))),"",INDEX(WORLDCUP!$AC$101:$AC$147,MATCH(Y33,WORLDCUP!$Z$101:$Z$147,0)))</f>
        <v>1</v>
      </c>
      <c r="AC33" s="498" t="str">
        <f>+IF(ISBLANK(INDEX(WORLDCUP!$AB$101:$AB$147,MATCH(Y33,WORLDCUP!$Z$101:$Z$147,0))),"","( "&amp;INDEX(WORLDCUP!$AB$101:$AB$147,MATCH(Y33,WORLDCUP!$Z$101:$Z$147,0))&amp;" )")</f>
        <v>( 5 )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Esc</v>
      </c>
      <c r="AB34" s="453">
        <f>+IF(ISBLANK(INDEX(WORLDCUP!$AD$101:$AD$147,MATCH(Y34,WORLDCUP!$Z$101:$Z$147,0))),"",INDEX(WORLDCUP!$AD$101:$AD$147,MATCH(Y34,WORLDCUP!$Z$101:$Z$147,0)))</f>
        <v>1</v>
      </c>
      <c r="AC34" s="454" t="str">
        <f>+IF(ISBLANK(INDEX(WORLDCUP!$AE$101:$AE$147,MATCH(Y34,WORLDCUP!$Z$101:$Z$147,0))),"","( "&amp;INDEX(WORLDCUP!$AE$101:$AE$147,MATCH(Y34,WORLDCUP!$Z$101:$Z$147,0))&amp;" )")</f>
        <v>( 4 )</v>
      </c>
      <c r="AD34" s="455">
        <v>92</v>
      </c>
      <c r="AE34" s="456" t="str">
        <f ca="1">+MID(INDEX(WORLDCUP!$AA$101:$AA$147,MATCH(AD34,WORLDCUP!$Z$101:$Z$147,0)),1,3)</f>
        <v>Cor</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3</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0</v>
      </c>
      <c r="BJ35" s="464">
        <f ca="1">COUNTIF(Pool!$C$182:$C$197,Fixture!BG35)-BK35-BL35-BM35-BN35-BO35</f>
        <v>1</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5</v>
      </c>
      <c r="K36" s="451" t="str">
        <f ca="1">+INDEX(WORLDCUP!$AR$6:$AR$97,MATCH(L36,WORLDCUP!$AI$6:$AI$97,0))&amp;"-"&amp;INDEX(WORLDCUP!$AS$6:$AS$97,MATCH(L36,WORLDCUP!$AI$6:$AI$97,0))</f>
        <v>7-2</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5</v>
      </c>
      <c r="W36" s="451" t="str">
        <f ca="1">+INDEX(WORLDCUP!$AR$6:$AR$97,MATCH(X36,WORLDCUP!$AI$6:$AI$97,0))&amp;"-"&amp;INDEX(WORLDCUP!$AS$6:$AS$97,MATCH(X36,WORLDCUP!$AI$6:$AI$97,0))</f>
        <v>6-1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0</v>
      </c>
      <c r="BK36" s="465">
        <f ca="1">COUNTIF(Pool!$C$210:$C$217,Fixture!BG36)-BL36-BM36-BN36-BO36</f>
        <v>1</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5</v>
      </c>
      <c r="J37" s="39">
        <f ca="1">+INDEX(WORLDCUP!$AT$6:$AT$97,MATCH(L37,WORLDCUP!$AI$6:$AI$97,0))</f>
        <v>3</v>
      </c>
      <c r="K37" s="43" t="str">
        <f ca="1">+INDEX(WORLDCUP!$AR$6:$AR$97,MATCH(L37,WORLDCUP!$AI$6:$AI$97,0))&amp;"-"&amp;INDEX(WORLDCUP!$AS$6:$AS$97,MATCH(L37,WORLDCUP!$AI$6:$AI$97,0))</f>
        <v>6-3</v>
      </c>
      <c r="L37" s="181" t="s">
        <v>673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3</v>
      </c>
      <c r="W37" s="43" t="str">
        <f ca="1">+INDEX(WORLDCUP!$AR$6:$AR$97,MATCH(X37,WORLDCUP!$AI$6:$AI$97,0))&amp;"-"&amp;INDEX(WORLDCUP!$AS$6:$AS$97,MATCH(X37,WORLDCUP!$AI$6:$AI$97,0))</f>
        <v>5-2</v>
      </c>
      <c r="X37" s="181" t="s">
        <v>691</v>
      </c>
      <c r="Y37" s="181">
        <v>80</v>
      </c>
      <c r="Z37" s="425" t="s">
        <v>736</v>
      </c>
      <c r="AA37" s="480" t="str">
        <f ca="1">+MID(INDEX(WORLDCUP!$AF$101:$AF$147,MATCH(Y37,WORLDCUP!$Z$101:$Z$147,0)),1,IF(WORLDCUP!$H$113&lt;144,6,3))</f>
        <v>Cos</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( 2 )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6-5</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1</v>
      </c>
      <c r="V38" s="39">
        <f ca="1">+INDEX(WORLDCUP!$AT$6:$AT$97,MATCH(X38,WORLDCUP!$AI$6:$AI$97,0))</f>
        <v>-4</v>
      </c>
      <c r="W38" s="43" t="str">
        <f ca="1">+INDEX(WORLDCUP!$AR$6:$AR$97,MATCH(X38,WORLDCUP!$AI$6:$AI$97,0))&amp;"-"&amp;INDEX(WORLDCUP!$AS$6:$AS$97,MATCH(X38,WORLDCUP!$AI$6:$AI$97,0))</f>
        <v>2-6</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1</v>
      </c>
      <c r="AO38" s="431" t="str">
        <f>+IF(ISBLANK(INDEX(WORLDCUP!$AE$101:$AE$147,MATCH(AL38,WORLDCUP!$Z$101:$Z$147,0))),"","( "&amp;INDEX(WORLDCUP!$AE$101:$AE$147,MATCH(AL38,WORLDCUP!$Z$101:$Z$147,0))&amp;" )")</f>
        <v>( 4 )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-9</v>
      </c>
      <c r="K39" s="479" t="str">
        <f ca="1">+INDEX(WORLDCUP!$AR$6:$AR$97,MATCH(L39,WORLDCUP!$AI$6:$AI$97,0))&amp;"-"&amp;INDEX(WORLDCUP!$AS$6:$AS$97,MATCH(L39,WORLDCUP!$AI$6:$AI$97,0))</f>
        <v>1-10</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1</v>
      </c>
      <c r="R39" s="446" t="str">
        <f ca="1">+MID(INDEX(WORLDCUP!$AF$4:$AF$147,MATCH(M39,WORLDCUP!$AH$4:$AH$147,0)),1,3)</f>
        <v>Por</v>
      </c>
      <c r="S39" s="467">
        <v>4</v>
      </c>
      <c r="T39" s="476" t="str">
        <f ca="1">+MID(INDEX(WORLDCUP!$AL$6:$AL$97,MATCH(X39,WORLDCUP!$AI$6:$AI$97,0)),1,3)</f>
        <v>Uzb</v>
      </c>
      <c r="U39" s="477">
        <f ca="1">+INDEX(WORLDCUP!$AM$6:$AM$97,MATCH(X39,WORLDCUP!$AI$6:$AI$97,0))</f>
        <v>1</v>
      </c>
      <c r="V39" s="478">
        <f ca="1">+INDEX(WORLDCUP!$AT$6:$AT$97,MATCH(X39,WORLDCUP!$AI$6:$AI$97,0))</f>
        <v>-4</v>
      </c>
      <c r="W39" s="479" t="str">
        <f ca="1">+INDEX(WORLDCUP!$AR$6:$AR$97,MATCH(X39,WORLDCUP!$AI$6:$AI$97,0))&amp;"-"&amp;INDEX(WORLDCUP!$AS$6:$AS$97,MATCH(X39,WORLDCUP!$AI$6:$AI$97,0))</f>
        <v>1-5</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1</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Est</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1</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3</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( 4 )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5</v>
      </c>
      <c r="J44" s="450">
        <f ca="1">+INDEX(WORLDCUP!$AT$6:$AT$97,MATCH(L44,WORLDCUP!$AI$6:$AI$97,0))</f>
        <v>3</v>
      </c>
      <c r="K44" s="451" t="str">
        <f ca="1">+INDEX(WORLDCUP!$AR$6:$AR$97,MATCH(L44,WORLDCUP!$AI$6:$AI$97,0))&amp;"-"&amp;INDEX(WORLDCUP!$AS$6:$AS$97,MATCH(L44,WORLDCUP!$AI$6:$AI$97,0))</f>
        <v>6-3</v>
      </c>
      <c r="L44" s="181" t="s">
        <v>675</v>
      </c>
      <c r="M44" s="181">
        <v>21</v>
      </c>
      <c r="N44" s="568"/>
      <c r="O44" s="444" t="str">
        <f ca="1">+MID(INDEX(WORLDCUP!$AA$4:$AA$147,MATCH(M44,WORLDCUP!$AH$4:$AH$147,0)),1,3)</f>
        <v>Gha</v>
      </c>
      <c r="P44" s="445">
        <f>IF(ISBLANK(INDEX(WORLDCUP!$AC$4:$AC$147,MATCH(M44,WORLDCUP!$AH$4:$AH$147,0))),"",INDEX(WORLDCUP!$AC$4:$AC$147,MATCH(M44,WORLDCUP!$AH$4:$AH$147,0)))</f>
        <v>3</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6</v>
      </c>
      <c r="W44" s="451" t="str">
        <f ca="1">+INDEX(WORLDCUP!$AR$6:$AR$97,MATCH(X44,WORLDCUP!$AI$6:$AI$97,0))&amp;"-"&amp;INDEX(WORLDCUP!$AS$6:$AS$97,MATCH(X44,WORLDCUP!$AI$6:$AI$97,0))</f>
        <v>7-1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( 5 )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1</v>
      </c>
      <c r="BI44" s="463">
        <f ca="1">COUNTIF(Pool!$C$130:$C$161,Fixture!BG44)-BJ44-BK44-BL44-BM44-BN44-BO44</f>
        <v>0</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2</v>
      </c>
      <c r="K45" s="43" t="str">
        <f ca="1">+INDEX(WORLDCUP!$AR$6:$AR$97,MATCH(L45,WORLDCUP!$AI$6:$AI$97,0))&amp;"-"&amp;INDEX(WORLDCUP!$AS$6:$AS$97,MATCH(L45,WORLDCUP!$AI$6:$AI$97,0))</f>
        <v>5-3</v>
      </c>
      <c r="L45" s="181" t="s">
        <v>676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6-4</v>
      </c>
      <c r="X45" s="181" t="s">
        <v>694</v>
      </c>
      <c r="Y45" s="181">
        <v>85</v>
      </c>
      <c r="Z45" s="425" t="s">
        <v>659</v>
      </c>
      <c r="AA45" s="426" t="str">
        <f ca="1">+MID(INDEX(WORLDCUP!$AA$101:$AA$147,MATCH(Y45,WORLDCUP!$Z$101:$Z$147,0)),1,3)</f>
        <v>Sui</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3</v>
      </c>
      <c r="F46" s="446" t="str">
        <f ca="1">+MID(INDEX(WORLDCUP!$AF$4:$AF$147,MATCH(A46,WORLDCUP!$AH$4:$AH$147,0)),1,3)</f>
        <v>Jap</v>
      </c>
      <c r="G46" s="467">
        <v>3</v>
      </c>
      <c r="H46" s="468" t="str">
        <f ca="1">+MID(INDEX(WORLDCUP!$AL$6:$AL$97,MATCH(L46,WORLDCUP!$AI$6:$AI$97,0)),1,3)</f>
        <v>Sue</v>
      </c>
      <c r="I46" s="38">
        <f ca="1">+INDEX(WORLDCUP!$AM$6:$AM$97,MATCH(L46,WORLDCUP!$AI$6:$AI$97,0))</f>
        <v>5</v>
      </c>
      <c r="J46" s="39">
        <f ca="1">+INDEX(WORLDCUP!$AT$6:$AT$97,MATCH(L46,WORLDCUP!$AI$6:$AI$97,0))</f>
        <v>1</v>
      </c>
      <c r="K46" s="43" t="str">
        <f ca="1">+INDEX(WORLDCUP!$AR$6:$AR$97,MATCH(L46,WORLDCUP!$AI$6:$AI$97,0))&amp;"-"&amp;INDEX(WORLDCUP!$AS$6:$AS$97,MATCH(L46,WORLDCUP!$AI$6:$AI$97,0))</f>
        <v>4-3</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3</v>
      </c>
      <c r="R46" s="446" t="str">
        <f ca="1">+MID(INDEX(WORLDCUP!$AF$4:$AF$147,MATCH(M46,WORLDCUP!$AH$4:$AH$147,0)),1,3)</f>
        <v>Cro</v>
      </c>
      <c r="S46" s="467">
        <v>3</v>
      </c>
      <c r="T46" s="468"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4-5</v>
      </c>
      <c r="X46" s="181" t="s">
        <v>453</v>
      </c>
      <c r="Y46" s="181">
        <v>85</v>
      </c>
      <c r="Z46" s="425" t="s">
        <v>739</v>
      </c>
      <c r="AA46" s="426" t="str">
        <f ca="1">+MID(INDEX(WORLDCUP!$AF$101:$AF$147,MATCH(Y46,WORLDCUP!$Z$101:$Z$147,0)),1,IF(WORLDCUP!$H$113&lt;144,6,3))</f>
        <v>Irá</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-6</v>
      </c>
      <c r="K47" s="479" t="str">
        <f ca="1">+INDEX(WORLDCUP!$AR$6:$AR$97,MATCH(L47,WORLDCUP!$AI$6:$AI$97,0))&amp;"-"&amp;INDEX(WORLDCUP!$AS$6:$AS$97,MATCH(L47,WORLDCUP!$AI$6:$AI$97,0))</f>
        <v>3-9</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-7</v>
      </c>
      <c r="W47" s="479" t="str">
        <f ca="1">+INDEX(WORLDCUP!$AR$6:$AR$97,MATCH(X47,WORLDCUP!$AI$6:$AI$97,0))&amp;"-"&amp;INDEX(WORLDCUP!$AS$6:$AS$97,MATCH(X47,WORLDCUP!$AI$6:$AI$97,0))</f>
        <v>2-9</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3</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4</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3</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1</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Costa de Marfil</v>
      </c>
      <c r="D2" s="9" t="str">
        <f ca="1">+WORLDCUP!BD67</f>
        <v>Argelia</v>
      </c>
      <c r="E2" s="9" t="str">
        <f ca="1">+WORLDCUP!BD66</f>
        <v>Senegal</v>
      </c>
      <c r="F2" s="9" t="str">
        <f ca="1">+WORLDCUP!BD63</f>
        <v>Suecia</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Suecia</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Canadá</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Costa de Marfil</v>
      </c>
      <c r="D48" s="9" t="str">
        <f ca="1">+WORLDCUP!BD67</f>
        <v>Argelia</v>
      </c>
      <c r="E48" s="9" t="str">
        <f ca="1">+WORLDCUP!BD66</f>
        <v>Senegal</v>
      </c>
      <c r="F48" s="9" t="str">
        <f ca="1">+WORLDCUP!BD59</f>
        <v>Canadá</v>
      </c>
      <c r="G48" s="9" t="str">
        <f ca="1">+WORLDCUP!BD65</f>
        <v>Arabia Saudita</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Costa de Marfil</v>
      </c>
      <c r="D49" s="9" t="str">
        <f ca="1">+WORLDCUP!BD67</f>
        <v>Argelia</v>
      </c>
      <c r="E49" s="9" t="str">
        <f ca="1">+WORLDCUP!BD59</f>
        <v>Canadá</v>
      </c>
      <c r="F49" s="9" t="str">
        <f ca="1">+WORLDCUP!BD63</f>
        <v>Suecia</v>
      </c>
      <c r="G49" s="9" t="str">
        <f ca="1">+WORLDCUP!BD66</f>
        <v>Senegal</v>
      </c>
      <c r="H49" s="9" t="str">
        <f ca="1">+WORLDCUP!BD65</f>
        <v>Arabia Saudita</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Costa de Marfil</v>
      </c>
      <c r="D50" s="9" t="str">
        <f ca="1">+WORLDCUP!BD67</f>
        <v>Argelia</v>
      </c>
      <c r="E50" s="9" t="str">
        <f ca="1">+WORLDCUP!BD59</f>
        <v>Canadá</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Costa de Marfil</v>
      </c>
      <c r="D51" s="9" t="str">
        <f ca="1">+WORLDCUP!BD67</f>
        <v>Argelia</v>
      </c>
      <c r="E51" s="9" t="str">
        <f ca="1">+WORLDCUP!BD59</f>
        <v>Canadá</v>
      </c>
      <c r="F51" s="9" t="str">
        <f ca="1">+WORLDCUP!BD63</f>
        <v>Suecia</v>
      </c>
      <c r="G51" s="9" t="str">
        <f ca="1">+WORLDCUP!BD65</f>
        <v>Arabia Saudita</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Costa de Marfil</v>
      </c>
      <c r="D52" s="9" t="str">
        <f ca="1">+WORLDCUP!BD64</f>
        <v>Irán</v>
      </c>
      <c r="E52" s="9" t="str">
        <f ca="1">+WORLDCUP!BD59</f>
        <v>Canadá</v>
      </c>
      <c r="F52" s="9" t="str">
        <f ca="1">+WORLDCUP!BD63</f>
        <v>Suecia</v>
      </c>
      <c r="G52" s="9" t="str">
        <f ca="1">+WORLDCUP!BD66</f>
        <v>Senegal</v>
      </c>
      <c r="H52" s="9" t="str">
        <f ca="1">+WORLDCUP!BD65</f>
        <v>Arabia Saudita</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Costa de Marfil</v>
      </c>
      <c r="D53" s="9" t="str">
        <f ca="1">+WORLDCUP!BD67</f>
        <v>Argelia</v>
      </c>
      <c r="E53" s="9" t="str">
        <f ca="1">+WORLDCUP!BD59</f>
        <v>Canadá</v>
      </c>
      <c r="F53" s="9" t="str">
        <f ca="1">+WORLDCUP!BD63</f>
        <v>Suecia</v>
      </c>
      <c r="G53" s="9" t="str">
        <f ca="1">+WORLDCUP!BD65</f>
        <v>Arabia Saudita</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Costa de Marfil</v>
      </c>
      <c r="D54" s="9" t="str">
        <f ca="1">+WORLDCUP!BD67</f>
        <v>Argelia</v>
      </c>
      <c r="E54" s="9" t="str">
        <f ca="1">+WORLDCUP!BD59</f>
        <v>Canadá</v>
      </c>
      <c r="F54" s="9" t="str">
        <f ca="1">+WORLDCUP!BD63</f>
        <v>Suecia</v>
      </c>
      <c r="G54" s="9" t="str">
        <f ca="1">+WORLDCUP!BD65</f>
        <v>Arabia Saudita</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Canadá</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Canadá</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Irán</v>
      </c>
      <c r="E57" s="9" t="str">
        <f ca="1">+WORLDCUP!BD59</f>
        <v>Canadá</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Irán</v>
      </c>
      <c r="E58" s="9" t="str">
        <f ca="1">+WORLDCUP!BD59</f>
        <v>Canadá</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Irán</v>
      </c>
      <c r="E59" s="9" t="str">
        <f ca="1">+WORLDCUP!BD59</f>
        <v>Canadá</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Irán</v>
      </c>
      <c r="E60" s="9" t="str">
        <f ca="1">+WORLDCUP!BD59</f>
        <v>Canadá</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Irán</v>
      </c>
      <c r="E61" s="9" t="str">
        <f ca="1">+WORLDCUP!BD59</f>
        <v>Canadá</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Costa de Marfil</v>
      </c>
      <c r="D62" s="9" t="str">
        <f ca="1">+WORLDCUP!BD67</f>
        <v>Argelia</v>
      </c>
      <c r="E62" s="9" t="str">
        <f ca="1">+WORLDCUP!BD59</f>
        <v>Canadá</v>
      </c>
      <c r="F62" s="9" t="str">
        <f ca="1">+WORLDCUP!BD61</f>
        <v>Paraguay</v>
      </c>
      <c r="G62" s="9" t="str">
        <f ca="1">+WORLDCUP!BD66</f>
        <v>Senegal</v>
      </c>
      <c r="H62" s="9" t="str">
        <f ca="1">+WORLDCUP!BD65</f>
        <v>Arabia Saudita</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Costa de Marfil</v>
      </c>
      <c r="D63" s="9" t="str">
        <f ca="1">+WORLDCUP!BD67</f>
        <v>Argelia</v>
      </c>
      <c r="E63" s="9" t="str">
        <f ca="1">+WORLDCUP!BD59</f>
        <v>Canadá</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Costa de Marfil</v>
      </c>
      <c r="D64" s="9" t="str">
        <f ca="1">+WORLDCUP!BD67</f>
        <v>Argelia</v>
      </c>
      <c r="E64" s="9" t="str">
        <f ca="1">+WORLDCUP!BD59</f>
        <v>Canadá</v>
      </c>
      <c r="F64" s="9" t="str">
        <f ca="1">+WORLDCUP!BD61</f>
        <v>Paraguay</v>
      </c>
      <c r="G64" s="9" t="str">
        <f ca="1">+WORLDCUP!BD65</f>
        <v>Arabia Saudita</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Costa de Marfil</v>
      </c>
      <c r="D65" s="9" t="str">
        <f ca="1">+WORLDCUP!BD64</f>
        <v>Irán</v>
      </c>
      <c r="E65" s="9" t="str">
        <f ca="1">+WORLDCUP!BD59</f>
        <v>Canadá</v>
      </c>
      <c r="F65" s="9" t="str">
        <f ca="1">+WORLDCUP!BD61</f>
        <v>Paraguay</v>
      </c>
      <c r="G65" s="9" t="str">
        <f ca="1">+WORLDCUP!BD66</f>
        <v>Senegal</v>
      </c>
      <c r="H65" s="9" t="str">
        <f ca="1">+WORLDCUP!BD65</f>
        <v>Arabia Saudita</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Costa de Marfil</v>
      </c>
      <c r="D66" s="9" t="str">
        <f ca="1">+WORLDCUP!BD67</f>
        <v>Argelia</v>
      </c>
      <c r="E66" s="9" t="str">
        <f ca="1">+WORLDCUP!BD59</f>
        <v>Canadá</v>
      </c>
      <c r="F66" s="9" t="str">
        <f ca="1">+WORLDCUP!BD61</f>
        <v>Paraguay</v>
      </c>
      <c r="G66" s="9" t="str">
        <f ca="1">+WORLDCUP!BD65</f>
        <v>Arabia Saudita</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Costa de Marfil</v>
      </c>
      <c r="D67" s="9" t="str">
        <f ca="1">+WORLDCUP!BD67</f>
        <v>Argelia</v>
      </c>
      <c r="E67" s="9" t="str">
        <f ca="1">+WORLDCUP!BD59</f>
        <v>Canadá</v>
      </c>
      <c r="F67" s="9" t="str">
        <f ca="1">+WORLDCUP!BD61</f>
        <v>Paraguay</v>
      </c>
      <c r="G67" s="9" t="str">
        <f ca="1">+WORLDCUP!BD65</f>
        <v>Arabia Saudita</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Costa de Marfil</v>
      </c>
      <c r="D68" s="9" t="str">
        <f ca="1">+WORLDCUP!BD67</f>
        <v>Argelia</v>
      </c>
      <c r="E68" s="9" t="str">
        <f ca="1">+WORLDCUP!BD59</f>
        <v>Canadá</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Costa de Marfil</v>
      </c>
      <c r="D69" s="9" t="str">
        <f ca="1">+WORLDCUP!BD67</f>
        <v>Argelia</v>
      </c>
      <c r="E69" s="9" t="str">
        <f ca="1">+WORLDCUP!BD59</f>
        <v>Canadá</v>
      </c>
      <c r="F69" s="9" t="str">
        <f ca="1">+WORLDCUP!BD61</f>
        <v>Paraguay</v>
      </c>
      <c r="G69" s="9" t="str">
        <f ca="1">+WORLDCUP!BD65</f>
        <v>Arabia Saudita</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Costa de Marfil</v>
      </c>
      <c r="D70" s="9" t="str">
        <f ca="1">+WORLDCUP!BD66</f>
        <v>Senegal</v>
      </c>
      <c r="E70" s="9" t="str">
        <f ca="1">+WORLDCUP!BD59</f>
        <v>Canadá</v>
      </c>
      <c r="F70" s="9" t="str">
        <f ca="1">+WORLDCUP!BD61</f>
        <v>Paraguay</v>
      </c>
      <c r="G70" s="9" t="str">
        <f ca="1">+WORLDCUP!BD65</f>
        <v>Arabia Saudita</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Costa de Marfil</v>
      </c>
      <c r="D71" s="9" t="str">
        <f ca="1">+WORLDCUP!BD67</f>
        <v>Argelia</v>
      </c>
      <c r="E71" s="9" t="str">
        <f ca="1">+WORLDCUP!BD59</f>
        <v>Canadá</v>
      </c>
      <c r="F71" s="9" t="str">
        <f ca="1">+WORLDCUP!BD61</f>
        <v>Paraguay</v>
      </c>
      <c r="G71" s="9" t="str">
        <f ca="1">+WORLDCUP!BD65</f>
        <v>Arabia Saudita</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Costa de Marfil</v>
      </c>
      <c r="D72" s="9" t="str">
        <f ca="1">+WORLDCUP!BD67</f>
        <v>Argelia</v>
      </c>
      <c r="E72" s="9" t="str">
        <f ca="1">+WORLDCUP!BD59</f>
        <v>Canadá</v>
      </c>
      <c r="F72" s="9" t="str">
        <f ca="1">+WORLDCUP!BD61</f>
        <v>Paraguay</v>
      </c>
      <c r="G72" s="9" t="str">
        <f ca="1">+WORLDCUP!BD65</f>
        <v>Arabia Saudita</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Costa de Marfil</v>
      </c>
      <c r="D73" s="9" t="str">
        <f ca="1">+WORLDCUP!BD64</f>
        <v>Irán</v>
      </c>
      <c r="E73" s="9" t="str">
        <f ca="1">+WORLDCUP!BD59</f>
        <v>Canadá</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Costa de Marfil</v>
      </c>
      <c r="D74" s="9" t="str">
        <f ca="1">+WORLDCUP!BD64</f>
        <v>Irán</v>
      </c>
      <c r="E74" s="9" t="str">
        <f ca="1">+WORLDCUP!BD59</f>
        <v>Canadá</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Costa de Marfil</v>
      </c>
      <c r="D75" s="9" t="str">
        <f ca="1">+WORLDCUP!BD64</f>
        <v>Irán</v>
      </c>
      <c r="E75" s="9" t="str">
        <f ca="1">+WORLDCUP!BD59</f>
        <v>Canadá</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Costa de Marfil</v>
      </c>
      <c r="D76" s="9" t="str">
        <f ca="1">+WORLDCUP!BD64</f>
        <v>Irán</v>
      </c>
      <c r="E76" s="9" t="str">
        <f ca="1">+WORLDCUP!BD59</f>
        <v>Canadá</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Costa de Marfil</v>
      </c>
      <c r="D77" s="9" t="str">
        <f ca="1">+WORLDCUP!BD64</f>
        <v>Irán</v>
      </c>
      <c r="E77" s="9" t="str">
        <f ca="1">+WORLDCUP!BD59</f>
        <v>Canadá</v>
      </c>
      <c r="F77" s="9" t="str">
        <f ca="1">+WORLDCUP!BD61</f>
        <v>Paraguay</v>
      </c>
      <c r="G77" s="9" t="str">
        <f ca="1">+WORLDCUP!BD65</f>
        <v>Arabia Saudita</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Irán</v>
      </c>
      <c r="E78" s="9" t="str">
        <f ca="1">+WORLDCUP!BD59</f>
        <v>Canadá</v>
      </c>
      <c r="F78" s="9" t="str">
        <f ca="1">+WORLDCUP!BD61</f>
        <v>Paraguay</v>
      </c>
      <c r="G78" s="9" t="str">
        <f ca="1">+WORLDCUP!BD67</f>
        <v>Argelia</v>
      </c>
      <c r="H78" s="9" t="str">
        <f ca="1">+WORLDCUP!BD63</f>
        <v>Suecia</v>
      </c>
      <c r="I78" s="9" t="str">
        <f ca="1">+WORLDCUP!BD69</f>
        <v>Ghana</v>
      </c>
      <c r="J78" s="9" t="str">
        <f ca="1">+WORLDCUP!BD62</f>
        <v>Costa de Marfil</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Irán</v>
      </c>
      <c r="E79" s="9" t="str">
        <f ca="1">+WORLDCUP!BD59</f>
        <v>Canadá</v>
      </c>
      <c r="F79" s="9" t="str">
        <f ca="1">+WORLDCUP!BD61</f>
        <v>Paraguay</v>
      </c>
      <c r="G79" s="9" t="str">
        <f ca="1">+WORLDCUP!BD67</f>
        <v>Argelia</v>
      </c>
      <c r="H79" s="9" t="str">
        <f ca="1">+WORLDCUP!BD63</f>
        <v>Suecia</v>
      </c>
      <c r="I79" s="9" t="str">
        <f ca="1">+WORLDCUP!BD62</f>
        <v>Costa de Marfil</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Costa de Marfil</v>
      </c>
      <c r="D80" s="9" t="str">
        <f ca="1">+WORLDCUP!BD64</f>
        <v>Irán</v>
      </c>
      <c r="E80" s="9" t="str">
        <f ca="1">+WORLDCUP!BD59</f>
        <v>Canadá</v>
      </c>
      <c r="F80" s="9" t="str">
        <f ca="1">+WORLDCUP!BD61</f>
        <v>Paraguay</v>
      </c>
      <c r="G80" s="9" t="str">
        <f ca="1">+WORLDCUP!BD65</f>
        <v>Arabia Saudita</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Costa de Marfil</v>
      </c>
      <c r="D81" s="9" t="str">
        <f ca="1">+WORLDCUP!BD64</f>
        <v>Irán</v>
      </c>
      <c r="E81" s="9" t="str">
        <f ca="1">+WORLDCUP!BD59</f>
        <v>Canadá</v>
      </c>
      <c r="F81" s="9" t="str">
        <f ca="1">+WORLDCUP!BD61</f>
        <v>Paraguay</v>
      </c>
      <c r="G81" s="9" t="str">
        <f ca="1">+WORLDCUP!BD65</f>
        <v>Arabia Saudita</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Irán</v>
      </c>
      <c r="E82" s="9" t="str">
        <f ca="1">+WORLDCUP!BD59</f>
        <v>Canadá</v>
      </c>
      <c r="F82" s="9" t="str">
        <f ca="1">+WORLDCUP!BD61</f>
        <v>Paraguay</v>
      </c>
      <c r="G82" s="9" t="str">
        <f ca="1">+WORLDCUP!BD67</f>
        <v>Argelia</v>
      </c>
      <c r="H82" s="9" t="str">
        <f ca="1">+WORLDCUP!BD63</f>
        <v>Suecia</v>
      </c>
      <c r="I82" s="9" t="str">
        <f ca="1">+WORLDCUP!BD62</f>
        <v>Costa de Marfil</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Canadá</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Canadá</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Irán</v>
      </c>
      <c r="E85" s="9" t="str">
        <f ca="1">+WORLDCUP!BD59</f>
        <v>Canadá</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Irán</v>
      </c>
      <c r="E86" s="9" t="str">
        <f ca="1">+WORLDCUP!BD59</f>
        <v>Canadá</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Irán</v>
      </c>
      <c r="E87" s="9" t="str">
        <f ca="1">+WORLDCUP!BD59</f>
        <v>Canadá</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Irán</v>
      </c>
      <c r="E88" s="9" t="str">
        <f ca="1">+WORLDCUP!BD59</f>
        <v>Canadá</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Irán</v>
      </c>
      <c r="E89" s="9" t="str">
        <f ca="1">+WORLDCUP!BD59</f>
        <v>Canadá</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Costa de Marfil</v>
      </c>
      <c r="D90" s="9" t="str">
        <f ca="1">+WORLDCUP!BD67</f>
        <v>Argelia</v>
      </c>
      <c r="E90" s="9" t="str">
        <f ca="1">+WORLDCUP!BD59</f>
        <v>Canadá</v>
      </c>
      <c r="F90" s="9" t="str">
        <f ca="1">+WORLDCUP!BD60</f>
        <v>Escocia</v>
      </c>
      <c r="G90" s="9" t="str">
        <f ca="1">+WORLDCUP!BD66</f>
        <v>Senegal</v>
      </c>
      <c r="H90" s="9" t="str">
        <f ca="1">+WORLDCUP!BD65</f>
        <v>Arabia Saudita</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Costa de Marfil</v>
      </c>
      <c r="D91" s="9" t="str">
        <f ca="1">+WORLDCUP!BD67</f>
        <v>Argelia</v>
      </c>
      <c r="E91" s="9" t="str">
        <f ca="1">+WORLDCUP!BD59</f>
        <v>Canadá</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Costa de Marfil</v>
      </c>
      <c r="D92" s="9" t="str">
        <f ca="1">+WORLDCUP!BD67</f>
        <v>Argelia</v>
      </c>
      <c r="E92" s="9" t="str">
        <f ca="1">+WORLDCUP!BD59</f>
        <v>Canadá</v>
      </c>
      <c r="F92" s="9" t="str">
        <f ca="1">+WORLDCUP!BD60</f>
        <v>Escocia</v>
      </c>
      <c r="G92" s="9" t="str">
        <f ca="1">+WORLDCUP!BD65</f>
        <v>Arabia Saudita</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Costa de Marfil</v>
      </c>
      <c r="D93" s="9" t="str">
        <f ca="1">+WORLDCUP!BD64</f>
        <v>Irán</v>
      </c>
      <c r="E93" s="9" t="str">
        <f ca="1">+WORLDCUP!BD59</f>
        <v>Canadá</v>
      </c>
      <c r="F93" s="9" t="str">
        <f ca="1">+WORLDCUP!BD60</f>
        <v>Escocia</v>
      </c>
      <c r="G93" s="9" t="str">
        <f ca="1">+WORLDCUP!BD66</f>
        <v>Senegal</v>
      </c>
      <c r="H93" s="9" t="str">
        <f ca="1">+WORLDCUP!BD65</f>
        <v>Arabia Saudita</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Costa de Marfil</v>
      </c>
      <c r="D94" s="9" t="str">
        <f ca="1">+WORLDCUP!BD67</f>
        <v>Argelia</v>
      </c>
      <c r="E94" s="9" t="str">
        <f ca="1">+WORLDCUP!BD59</f>
        <v>Canadá</v>
      </c>
      <c r="F94" s="9" t="str">
        <f ca="1">+WORLDCUP!BD60</f>
        <v>Escocia</v>
      </c>
      <c r="G94" s="9" t="str">
        <f ca="1">+WORLDCUP!BD65</f>
        <v>Arabia Saudita</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Costa de Marfil</v>
      </c>
      <c r="D95" s="9" t="str">
        <f ca="1">+WORLDCUP!BD67</f>
        <v>Argelia</v>
      </c>
      <c r="E95" s="9" t="str">
        <f ca="1">+WORLDCUP!BD59</f>
        <v>Canadá</v>
      </c>
      <c r="F95" s="9" t="str">
        <f ca="1">+WORLDCUP!BD60</f>
        <v>Escocia</v>
      </c>
      <c r="G95" s="9" t="str">
        <f ca="1">+WORLDCUP!BD65</f>
        <v>Arabia Saudita</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Costa de Marfil</v>
      </c>
      <c r="D96" s="9" t="str">
        <f ca="1">+WORLDCUP!BD67</f>
        <v>Argelia</v>
      </c>
      <c r="E96" s="9" t="str">
        <f ca="1">+WORLDCUP!BD59</f>
        <v>Canadá</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Costa de Marfil</v>
      </c>
      <c r="D97" s="9" t="str">
        <f ca="1">+WORLDCUP!BD67</f>
        <v>Argelia</v>
      </c>
      <c r="E97" s="9" t="str">
        <f ca="1">+WORLDCUP!BD59</f>
        <v>Canadá</v>
      </c>
      <c r="F97" s="9" t="str">
        <f ca="1">+WORLDCUP!BD60</f>
        <v>Escocia</v>
      </c>
      <c r="G97" s="9" t="str">
        <f ca="1">+WORLDCUP!BD65</f>
        <v>Arabia Saudita</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Costa de Marfil</v>
      </c>
      <c r="D98" s="9" t="str">
        <f ca="1">+WORLDCUP!BD66</f>
        <v>Senegal</v>
      </c>
      <c r="E98" s="9" t="str">
        <f ca="1">+WORLDCUP!BD59</f>
        <v>Canadá</v>
      </c>
      <c r="F98" s="9" t="str">
        <f ca="1">+WORLDCUP!BD60</f>
        <v>Escocia</v>
      </c>
      <c r="G98" s="9" t="str">
        <f ca="1">+WORLDCUP!BD65</f>
        <v>Arabia Saudita</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Costa de Marfil</v>
      </c>
      <c r="D99" s="9" t="str">
        <f ca="1">+WORLDCUP!BD67</f>
        <v>Argelia</v>
      </c>
      <c r="E99" s="9" t="str">
        <f ca="1">+WORLDCUP!BD59</f>
        <v>Canadá</v>
      </c>
      <c r="F99" s="9" t="str">
        <f ca="1">+WORLDCUP!BD60</f>
        <v>Escocia</v>
      </c>
      <c r="G99" s="9" t="str">
        <f ca="1">+WORLDCUP!BD65</f>
        <v>Arabia Saudita</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Costa de Marfil</v>
      </c>
      <c r="D100" s="9" t="str">
        <f ca="1">+WORLDCUP!BD67</f>
        <v>Argelia</v>
      </c>
      <c r="E100" s="9" t="str">
        <f ca="1">+WORLDCUP!BD59</f>
        <v>Canadá</v>
      </c>
      <c r="F100" s="9" t="str">
        <f ca="1">+WORLDCUP!BD60</f>
        <v>Escocia</v>
      </c>
      <c r="G100" s="9" t="str">
        <f ca="1">+WORLDCUP!BD65</f>
        <v>Arabia Saudita</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Costa de Marfil</v>
      </c>
      <c r="D101" s="9" t="str">
        <f ca="1">+WORLDCUP!BD64</f>
        <v>Irán</v>
      </c>
      <c r="E101" s="9" t="str">
        <f ca="1">+WORLDCUP!BD59</f>
        <v>Canadá</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Costa de Marfil</v>
      </c>
      <c r="D102" s="9" t="str">
        <f ca="1">+WORLDCUP!BD64</f>
        <v>Irán</v>
      </c>
      <c r="E102" s="9" t="str">
        <f ca="1">+WORLDCUP!BD59</f>
        <v>Canadá</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Costa de Marfil</v>
      </c>
      <c r="D103" s="9" t="str">
        <f ca="1">+WORLDCUP!BD64</f>
        <v>Irán</v>
      </c>
      <c r="E103" s="9" t="str">
        <f ca="1">+WORLDCUP!BD59</f>
        <v>Canadá</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Costa de Marfil</v>
      </c>
      <c r="D104" s="9" t="str">
        <f ca="1">+WORLDCUP!BD64</f>
        <v>Irán</v>
      </c>
      <c r="E104" s="9" t="str">
        <f ca="1">+WORLDCUP!BD59</f>
        <v>Canadá</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Costa de Marfil</v>
      </c>
      <c r="D105" s="9" t="str">
        <f ca="1">+WORLDCUP!BD64</f>
        <v>Irán</v>
      </c>
      <c r="E105" s="9" t="str">
        <f ca="1">+WORLDCUP!BD59</f>
        <v>Canadá</v>
      </c>
      <c r="F105" s="9" t="str">
        <f ca="1">+WORLDCUP!BD60</f>
        <v>Escocia</v>
      </c>
      <c r="G105" s="9" t="str">
        <f ca="1">+WORLDCUP!BD65</f>
        <v>Arabia Saudita</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Irán</v>
      </c>
      <c r="E106" s="9" t="str">
        <f ca="1">+WORLDCUP!BD59</f>
        <v>Canadá</v>
      </c>
      <c r="F106" s="9" t="str">
        <f ca="1">+WORLDCUP!BD60</f>
        <v>Escocia</v>
      </c>
      <c r="G106" s="9" t="str">
        <f ca="1">+WORLDCUP!BD67</f>
        <v>Argelia</v>
      </c>
      <c r="H106" s="9" t="str">
        <f ca="1">+WORLDCUP!BD63</f>
        <v>Suecia</v>
      </c>
      <c r="I106" s="9" t="str">
        <f ca="1">+WORLDCUP!BD69</f>
        <v>Ghana</v>
      </c>
      <c r="J106" s="9" t="str">
        <f ca="1">+WORLDCUP!BD62</f>
        <v>Costa de Marfil</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Irán</v>
      </c>
      <c r="E107" s="9" t="str">
        <f ca="1">+WORLDCUP!BD59</f>
        <v>Canadá</v>
      </c>
      <c r="F107" s="9" t="str">
        <f ca="1">+WORLDCUP!BD60</f>
        <v>Escocia</v>
      </c>
      <c r="G107" s="9" t="str">
        <f ca="1">+WORLDCUP!BD67</f>
        <v>Argelia</v>
      </c>
      <c r="H107" s="9" t="str">
        <f ca="1">+WORLDCUP!BD63</f>
        <v>Suecia</v>
      </c>
      <c r="I107" s="9" t="str">
        <f ca="1">+WORLDCUP!BD62</f>
        <v>Costa de Marfil</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Costa de Marfil</v>
      </c>
      <c r="D108" s="9" t="str">
        <f ca="1">+WORLDCUP!BD64</f>
        <v>Irán</v>
      </c>
      <c r="E108" s="9" t="str">
        <f ca="1">+WORLDCUP!BD59</f>
        <v>Canadá</v>
      </c>
      <c r="F108" s="9" t="str">
        <f ca="1">+WORLDCUP!BD60</f>
        <v>Escocia</v>
      </c>
      <c r="G108" s="9" t="str">
        <f ca="1">+WORLDCUP!BD65</f>
        <v>Arabia Saudita</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Costa de Marfil</v>
      </c>
      <c r="D109" s="9" t="str">
        <f ca="1">+WORLDCUP!BD64</f>
        <v>Irán</v>
      </c>
      <c r="E109" s="9" t="str">
        <f ca="1">+WORLDCUP!BD59</f>
        <v>Canadá</v>
      </c>
      <c r="F109" s="9" t="str">
        <f ca="1">+WORLDCUP!BD60</f>
        <v>Escocia</v>
      </c>
      <c r="G109" s="9" t="str">
        <f ca="1">+WORLDCUP!BD65</f>
        <v>Arabia Saudita</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Irán</v>
      </c>
      <c r="E110" s="9" t="str">
        <f ca="1">+WORLDCUP!BD59</f>
        <v>Canadá</v>
      </c>
      <c r="F110" s="9" t="str">
        <f ca="1">+WORLDCUP!BD60</f>
        <v>Escocia</v>
      </c>
      <c r="G110" s="9" t="str">
        <f ca="1">+WORLDCUP!BD67</f>
        <v>Argelia</v>
      </c>
      <c r="H110" s="9" t="str">
        <f ca="1">+WORLDCUP!BD63</f>
        <v>Suecia</v>
      </c>
      <c r="I110" s="9" t="str">
        <f ca="1">+WORLDCUP!BD62</f>
        <v>Costa de Marfil</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Canadá</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Irán</v>
      </c>
      <c r="E112" s="9" t="str">
        <f ca="1">+WORLDCUP!BD59</f>
        <v>Canadá</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Irán</v>
      </c>
      <c r="E113" s="9" t="str">
        <f ca="1">+WORLDCUP!BD59</f>
        <v>Canadá</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Irán</v>
      </c>
      <c r="E114" s="9" t="str">
        <f ca="1">+WORLDCUP!BD59</f>
        <v>Canadá</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Irán</v>
      </c>
      <c r="E115" s="9" t="str">
        <f ca="1">+WORLDCUP!BD59</f>
        <v>Canadá</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Irán</v>
      </c>
      <c r="E116" s="9" t="str">
        <f ca="1">+WORLDCUP!BD59</f>
        <v>Canadá</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Canadá</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Canadá</v>
      </c>
      <c r="F118" s="9" t="str">
        <f ca="1">+WORLDCUP!BD61</f>
        <v>Paraguay</v>
      </c>
      <c r="G118" s="9" t="str">
        <f ca="1">+WORLDCUP!BD65</f>
        <v>Arabia Saudita</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Canadá</v>
      </c>
      <c r="F119" s="9" t="str">
        <f ca="1">+WORLDCUP!BD61</f>
        <v>Paraguay</v>
      </c>
      <c r="G119" s="9" t="str">
        <f ca="1">+WORLDCUP!BD65</f>
        <v>Arabia Saudita</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Canadá</v>
      </c>
      <c r="F120" s="9" t="str">
        <f ca="1">+WORLDCUP!BD61</f>
        <v>Paraguay</v>
      </c>
      <c r="G120" s="9" t="str">
        <f ca="1">+WORLDCUP!BD65</f>
        <v>Arabia Saudita</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Canadá</v>
      </c>
      <c r="F121" s="9" t="str">
        <f ca="1">+WORLDCUP!BD61</f>
        <v>Paraguay</v>
      </c>
      <c r="G121" s="9" t="str">
        <f ca="1">+WORLDCUP!BD65</f>
        <v>Arabia Saudita</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Irán</v>
      </c>
      <c r="E122" s="9" t="str">
        <f ca="1">+WORLDCUP!BD59</f>
        <v>Canadá</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Irán</v>
      </c>
      <c r="E123" s="9" t="str">
        <f ca="1">+WORLDCUP!BD59</f>
        <v>Canadá</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Irán</v>
      </c>
      <c r="E124" s="9" t="str">
        <f ca="1">+WORLDCUP!BD59</f>
        <v>Canadá</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Irán</v>
      </c>
      <c r="E125" s="9" t="str">
        <f ca="1">+WORLDCUP!BD59</f>
        <v>Canadá</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Irán</v>
      </c>
      <c r="E126" s="9" t="str">
        <f ca="1">+WORLDCUP!BD59</f>
        <v>Canadá</v>
      </c>
      <c r="F126" s="9" t="str">
        <f ca="1">+WORLDCUP!BD61</f>
        <v>Paraguay</v>
      </c>
      <c r="G126" s="9" t="str">
        <f ca="1">+WORLDCUP!BD65</f>
        <v>Arabia Saudita</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Irán</v>
      </c>
      <c r="E127" s="9" t="str">
        <f ca="1">+WORLDCUP!BD59</f>
        <v>Canadá</v>
      </c>
      <c r="F127" s="9" t="str">
        <f ca="1">+WORLDCUP!BD61</f>
        <v>Paraguay</v>
      </c>
      <c r="G127" s="9" t="str">
        <f ca="1">+WORLDCUP!BD65</f>
        <v>Arabia Saudita</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Irán</v>
      </c>
      <c r="E128" s="9" t="str">
        <f ca="1">+WORLDCUP!BD59</f>
        <v>Canadá</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Irán</v>
      </c>
      <c r="E129" s="9" t="str">
        <f ca="1">+WORLDCUP!BD59</f>
        <v>Canadá</v>
      </c>
      <c r="F129" s="9" t="str">
        <f ca="1">+WORLDCUP!BD61</f>
        <v>Paraguay</v>
      </c>
      <c r="G129" s="9" t="str">
        <f ca="1">+WORLDCUP!BD65</f>
        <v>Arabia Saudita</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Irán</v>
      </c>
      <c r="E130" s="9" t="str">
        <f ca="1">+WORLDCUP!BD59</f>
        <v>Canadá</v>
      </c>
      <c r="F130" s="9" t="str">
        <f ca="1">+WORLDCUP!BD61</f>
        <v>Paraguay</v>
      </c>
      <c r="G130" s="9" t="str">
        <f ca="1">+WORLDCUP!BD65</f>
        <v>Arabia Saudita</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Irán</v>
      </c>
      <c r="E131" s="9" t="str">
        <f ca="1">+WORLDCUP!BD59</f>
        <v>Canadá</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Costa de Marfil</v>
      </c>
      <c r="D132" s="9" t="str">
        <f ca="1">+WORLDCUP!BD67</f>
        <v>Argelia</v>
      </c>
      <c r="E132" s="9" t="str">
        <f ca="1">+WORLDCUP!BD59</f>
        <v>Canadá</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Costa de Marfil</v>
      </c>
      <c r="D133" s="9" t="str">
        <f ca="1">+WORLDCUP!BD67</f>
        <v>Argelia</v>
      </c>
      <c r="E133" s="9" t="str">
        <f ca="1">+WORLDCUP!BD59</f>
        <v>Canadá</v>
      </c>
      <c r="F133" s="9" t="str">
        <f ca="1">+WORLDCUP!BD60</f>
        <v>Escocia</v>
      </c>
      <c r="G133" s="9" t="str">
        <f ca="1">+WORLDCUP!BD65</f>
        <v>Arabia Saudita</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Costa de Marfil</v>
      </c>
      <c r="D134" s="9" t="str">
        <f ca="1">+WORLDCUP!BD66</f>
        <v>Senegal</v>
      </c>
      <c r="E134" s="9" t="str">
        <f ca="1">+WORLDCUP!BD59</f>
        <v>Canadá</v>
      </c>
      <c r="F134" s="9" t="str">
        <f ca="1">+WORLDCUP!BD60</f>
        <v>Escocia</v>
      </c>
      <c r="G134" s="9" t="str">
        <f ca="1">+WORLDCUP!BD65</f>
        <v>Arabia Saudita</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Costa de Marfil</v>
      </c>
      <c r="D135" s="9" t="str">
        <f ca="1">+WORLDCUP!BD67</f>
        <v>Argelia</v>
      </c>
      <c r="E135" s="9" t="str">
        <f ca="1">+WORLDCUP!BD59</f>
        <v>Canadá</v>
      </c>
      <c r="F135" s="9" t="str">
        <f ca="1">+WORLDCUP!BD60</f>
        <v>Escocia</v>
      </c>
      <c r="G135" s="9" t="str">
        <f ca="1">+WORLDCUP!BD65</f>
        <v>Arabia Saudita</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Costa de Marfil</v>
      </c>
      <c r="D136" s="9" t="str">
        <f ca="1">+WORLDCUP!BD67</f>
        <v>Argelia</v>
      </c>
      <c r="E136" s="9" t="str">
        <f ca="1">+WORLDCUP!BD59</f>
        <v>Canadá</v>
      </c>
      <c r="F136" s="9" t="str">
        <f ca="1">+WORLDCUP!BD60</f>
        <v>Escocia</v>
      </c>
      <c r="G136" s="9" t="str">
        <f ca="1">+WORLDCUP!BD65</f>
        <v>Arabia Saudita</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Costa de Marfil</v>
      </c>
      <c r="D137" s="9" t="str">
        <f ca="1">+WORLDCUP!BD64</f>
        <v>Irán</v>
      </c>
      <c r="E137" s="9" t="str">
        <f ca="1">+WORLDCUP!BD59</f>
        <v>Canadá</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Costa de Marfil</v>
      </c>
      <c r="D138" s="9" t="str">
        <f ca="1">+WORLDCUP!BD64</f>
        <v>Irán</v>
      </c>
      <c r="E138" s="9" t="str">
        <f ca="1">+WORLDCUP!BD59</f>
        <v>Canadá</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Costa de Marfil</v>
      </c>
      <c r="D139" s="9" t="str">
        <f ca="1">+WORLDCUP!BD64</f>
        <v>Irán</v>
      </c>
      <c r="E139" s="9" t="str">
        <f ca="1">+WORLDCUP!BD59</f>
        <v>Canadá</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Costa de Marfil</v>
      </c>
      <c r="D140" s="9" t="str">
        <f ca="1">+WORLDCUP!BD64</f>
        <v>Irán</v>
      </c>
      <c r="E140" s="9" t="str">
        <f ca="1">+WORLDCUP!BD59</f>
        <v>Canadá</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Costa de Marfil</v>
      </c>
      <c r="D141" s="9" t="str">
        <f ca="1">+WORLDCUP!BD64</f>
        <v>Irán</v>
      </c>
      <c r="E141" s="9" t="str">
        <f ca="1">+WORLDCUP!BD59</f>
        <v>Canadá</v>
      </c>
      <c r="F141" s="9" t="str">
        <f ca="1">+WORLDCUP!BD60</f>
        <v>Escocia</v>
      </c>
      <c r="G141" s="9" t="str">
        <f ca="1">+WORLDCUP!BD65</f>
        <v>Arabia Saudita</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Irán</v>
      </c>
      <c r="E142" s="9" t="str">
        <f ca="1">+WORLDCUP!BD59</f>
        <v>Canadá</v>
      </c>
      <c r="F142" s="9" t="str">
        <f ca="1">+WORLDCUP!BD60</f>
        <v>Escocia</v>
      </c>
      <c r="G142" s="9" t="str">
        <f ca="1">+WORLDCUP!BD67</f>
        <v>Argelia</v>
      </c>
      <c r="H142" s="9" t="str">
        <f ca="1">+WORLDCUP!BD61</f>
        <v>Paraguay</v>
      </c>
      <c r="I142" s="9" t="str">
        <f ca="1">+WORLDCUP!BD69</f>
        <v>Ghana</v>
      </c>
      <c r="J142" s="9" t="str">
        <f ca="1">+WORLDCUP!BD62</f>
        <v>Costa de Marfil</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Irán</v>
      </c>
      <c r="E143" s="9" t="str">
        <f ca="1">+WORLDCUP!BD59</f>
        <v>Canadá</v>
      </c>
      <c r="F143" s="9" t="str">
        <f ca="1">+WORLDCUP!BD60</f>
        <v>Escocia</v>
      </c>
      <c r="G143" s="9" t="str">
        <f ca="1">+WORLDCUP!BD67</f>
        <v>Argelia</v>
      </c>
      <c r="H143" s="9" t="str">
        <f ca="1">+WORLDCUP!BD61</f>
        <v>Paraguay</v>
      </c>
      <c r="I143" s="9" t="str">
        <f ca="1">+WORLDCUP!BD62</f>
        <v>Costa de Marfil</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Costa de Marfil</v>
      </c>
      <c r="D144" s="9" t="str">
        <f ca="1">+WORLDCUP!BD64</f>
        <v>Irán</v>
      </c>
      <c r="E144" s="9" t="str">
        <f ca="1">+WORLDCUP!BD59</f>
        <v>Canadá</v>
      </c>
      <c r="F144" s="9" t="str">
        <f ca="1">+WORLDCUP!BD60</f>
        <v>Escocia</v>
      </c>
      <c r="G144" s="9" t="str">
        <f ca="1">+WORLDCUP!BD65</f>
        <v>Arabia Saudita</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Costa de Marfil</v>
      </c>
      <c r="D145" s="9" t="str">
        <f ca="1">+WORLDCUP!BD64</f>
        <v>Irán</v>
      </c>
      <c r="E145" s="9" t="str">
        <f ca="1">+WORLDCUP!BD59</f>
        <v>Canadá</v>
      </c>
      <c r="F145" s="9" t="str">
        <f ca="1">+WORLDCUP!BD60</f>
        <v>Escocia</v>
      </c>
      <c r="G145" s="9" t="str">
        <f ca="1">+WORLDCUP!BD65</f>
        <v>Arabia Saudita</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Irán</v>
      </c>
      <c r="E146" s="9" t="str">
        <f ca="1">+WORLDCUP!BD59</f>
        <v>Canadá</v>
      </c>
      <c r="F146" s="9" t="str">
        <f ca="1">+WORLDCUP!BD60</f>
        <v>Escocia</v>
      </c>
      <c r="G146" s="9" t="str">
        <f ca="1">+WORLDCUP!BD67</f>
        <v>Argelia</v>
      </c>
      <c r="H146" s="9" t="str">
        <f ca="1">+WORLDCUP!BD61</f>
        <v>Paraguay</v>
      </c>
      <c r="I146" s="9" t="str">
        <f ca="1">+WORLDCUP!BD62</f>
        <v>Costa de Marfil</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Canadá</v>
      </c>
      <c r="F147" s="9" t="str">
        <f ca="1">+WORLDCUP!BD61</f>
        <v>Paraguay</v>
      </c>
      <c r="G147" s="9" t="str">
        <f ca="1">+WORLDCUP!BD62</f>
        <v>Costa de Marfil</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Costa de Marfil</v>
      </c>
      <c r="E148" s="9" t="str">
        <f ca="1">+WORLDCUP!BD59</f>
        <v>Canadá</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Canadá</v>
      </c>
      <c r="F149" s="9" t="str">
        <f ca="1">+WORLDCUP!BD61</f>
        <v>Paraguay</v>
      </c>
      <c r="G149" s="9" t="str">
        <f ca="1">+WORLDCUP!BD62</f>
        <v>Costa de Marfil</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Canadá</v>
      </c>
      <c r="F150" s="9" t="str">
        <f ca="1">+WORLDCUP!BD61</f>
        <v>Paraguay</v>
      </c>
      <c r="G150" s="9" t="str">
        <f ca="1">+WORLDCUP!BD62</f>
        <v>Costa de Marfil</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Costa de Marfil</v>
      </c>
      <c r="E151" s="9" t="str">
        <f ca="1">+WORLDCUP!BD59</f>
        <v>Canadá</v>
      </c>
      <c r="F151" s="9" t="str">
        <f ca="1">+WORLDCUP!BD61</f>
        <v>Paraguay</v>
      </c>
      <c r="G151" s="9" t="str">
        <f ca="1">+WORLDCUP!BD65</f>
        <v>Arabia Saudita</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Canadá</v>
      </c>
      <c r="F152" s="9" t="str">
        <f ca="1">+WORLDCUP!BD61</f>
        <v>Paraguay</v>
      </c>
      <c r="G152" s="9" t="str">
        <f ca="1">+WORLDCUP!BD65</f>
        <v>Arabia Saudita</v>
      </c>
      <c r="H152" s="9" t="str">
        <f ca="1">+WORLDCUP!BD63</f>
        <v>Suecia</v>
      </c>
      <c r="I152" s="9" t="str">
        <f ca="1">+WORLDCUP!BD69</f>
        <v>Ghana</v>
      </c>
      <c r="J152" s="9" t="str">
        <f ca="1">+WORLDCUP!BD62</f>
        <v>Costa de Marfil</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Canadá</v>
      </c>
      <c r="F153" s="9" t="str">
        <f ca="1">+WORLDCUP!BD61</f>
        <v>Paraguay</v>
      </c>
      <c r="G153" s="9" t="str">
        <f ca="1">+WORLDCUP!BD65</f>
        <v>Arabia Saudita</v>
      </c>
      <c r="H153" s="9" t="str">
        <f ca="1">+WORLDCUP!BD63</f>
        <v>Suecia</v>
      </c>
      <c r="I153" s="9" t="str">
        <f ca="1">+WORLDCUP!BD62</f>
        <v>Costa de Marfil</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Costa de Marfil</v>
      </c>
      <c r="E154" s="9" t="str">
        <f ca="1">+WORLDCUP!BD59</f>
        <v>Canadá</v>
      </c>
      <c r="F154" s="9" t="str">
        <f ca="1">+WORLDCUP!BD61</f>
        <v>Paraguay</v>
      </c>
      <c r="G154" s="9" t="str">
        <f ca="1">+WORLDCUP!BD65</f>
        <v>Arabia Saudita</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Costa de Marfil</v>
      </c>
      <c r="E155" s="9" t="str">
        <f ca="1">+WORLDCUP!BD59</f>
        <v>Canadá</v>
      </c>
      <c r="F155" s="9" t="str">
        <f ca="1">+WORLDCUP!BD61</f>
        <v>Paraguay</v>
      </c>
      <c r="G155" s="9" t="str">
        <f ca="1">+WORLDCUP!BD65</f>
        <v>Arabia Saudita</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Canadá</v>
      </c>
      <c r="F156" s="9" t="str">
        <f ca="1">+WORLDCUP!BD61</f>
        <v>Paraguay</v>
      </c>
      <c r="G156" s="9" t="str">
        <f ca="1">+WORLDCUP!BD65</f>
        <v>Arabia Saudita</v>
      </c>
      <c r="H156" s="9" t="str">
        <f ca="1">+WORLDCUP!BD63</f>
        <v>Suecia</v>
      </c>
      <c r="I156" s="9" t="str">
        <f ca="1">+WORLDCUP!BD62</f>
        <v>Costa de Marfil</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Canadá</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Canadá</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Canadá</v>
      </c>
      <c r="F159" s="9" t="str">
        <f ca="1">+WORLDCUP!BD61</f>
        <v>Paraguay</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Canadá</v>
      </c>
      <c r="F160" s="9" t="str">
        <f ca="1">+WORLDCUP!BD61</f>
        <v>Paraguay</v>
      </c>
      <c r="G160" s="9" t="str">
        <f ca="1">+WORLDCUP!BD62</f>
        <v>Costa de Marfil</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Canadá</v>
      </c>
      <c r="F161" s="9" t="str">
        <f ca="1">+WORLDCUP!BD61</f>
        <v>Paraguay</v>
      </c>
      <c r="G161" s="9" t="str">
        <f ca="1">+WORLDCUP!BD62</f>
        <v>Costa de Marfil</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Canadá</v>
      </c>
      <c r="F162" s="9" t="str">
        <f ca="1">+WORLDCUP!BD61</f>
        <v>Paraguay</v>
      </c>
      <c r="G162" s="9" t="str">
        <f ca="1">+WORLDCUP!BD67</f>
        <v>Argelia</v>
      </c>
      <c r="H162" s="9" t="str">
        <f ca="1">+WORLDCUP!BD63</f>
        <v>Suecia</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Canadá</v>
      </c>
      <c r="F163" s="9" t="str">
        <f ca="1">+WORLDCUP!BD61</f>
        <v>Paraguay</v>
      </c>
      <c r="G163" s="9" t="str">
        <f ca="1">+WORLDCUP!BD65</f>
        <v>Arabia Saudita</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Canadá</v>
      </c>
      <c r="F164" s="9" t="str">
        <f ca="1">+WORLDCUP!BD61</f>
        <v>Paraguay</v>
      </c>
      <c r="G164" s="9" t="str">
        <f ca="1">+WORLDCUP!BD65</f>
        <v>Arabia Saudita</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Canadá</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Canadá</v>
      </c>
      <c r="F166" s="9" t="str">
        <f ca="1">+WORLDCUP!BD61</f>
        <v>Paraguay</v>
      </c>
      <c r="G166" s="9" t="str">
        <f ca="1">+WORLDCUP!BD65</f>
        <v>Arabia Saudita</v>
      </c>
      <c r="H166" s="9" t="str">
        <f ca="1">+WORLDCUP!BD63</f>
        <v>Suecia</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Costa de Marfil</v>
      </c>
      <c r="D168" s="9" t="str">
        <f ca="1">+WORLDCUP!BD67</f>
        <v>Argelia</v>
      </c>
      <c r="E168" s="9" t="str">
        <f ca="1">+WORLDCUP!BD66</f>
        <v>Senegal</v>
      </c>
      <c r="F168" s="9" t="str">
        <f ca="1">+WORLDCUP!BD58</f>
        <v>República Checa</v>
      </c>
      <c r="G168" s="9" t="str">
        <f ca="1">+WORLDCUP!BD65</f>
        <v>Arabia Saudita</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Costa de Marfil</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Costa de Marfil</v>
      </c>
      <c r="D170" s="9" t="str">
        <f ca="1">+WORLDCUP!BD67</f>
        <v>Argelia</v>
      </c>
      <c r="E170" s="9" t="str">
        <f ca="1">+WORLDCUP!BD66</f>
        <v>Senegal</v>
      </c>
      <c r="F170" s="9" t="str">
        <f ca="1">+WORLDCUP!BD63</f>
        <v>Suecia</v>
      </c>
      <c r="G170" s="9" t="str">
        <f ca="1">+WORLDCUP!BD58</f>
        <v>República Checa</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Costa de Marfil</v>
      </c>
      <c r="D171" s="9" t="str">
        <f ca="1">+WORLDCUP!BD64</f>
        <v>Irán</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Costa de Marfil</v>
      </c>
      <c r="D172" s="9" t="str">
        <f ca="1">+WORLDCUP!BD64</f>
        <v>Irán</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Costa de Marfil</v>
      </c>
      <c r="D173" s="9" t="str">
        <f ca="1">+WORLDCUP!BD64</f>
        <v>Irán</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Costa de Marfil</v>
      </c>
      <c r="D174" s="9" t="str">
        <f ca="1">+WORLDCUP!BD64</f>
        <v>Irán</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Irán</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Irán</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Irán</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Irán</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República Checa</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República Checa</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Irán</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Costa de Marfil</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Irán</v>
      </c>
      <c r="E199" s="9" t="str">
        <f ca="1">+WORLDCUP!BD67</f>
        <v>Argelia</v>
      </c>
      <c r="F199" s="9" t="str">
        <f ca="1">+WORLDCUP!BD61</f>
        <v>Paraguay</v>
      </c>
      <c r="G199" s="9" t="str">
        <f ca="1">+WORLDCUP!BD58</f>
        <v>República Checa</v>
      </c>
      <c r="H199" s="9" t="str">
        <f ca="1">+WORLDCUP!BD63</f>
        <v>Suecia</v>
      </c>
      <c r="I199" s="9" t="str">
        <f ca="1">+WORLDCUP!BD62</f>
        <v>Costa de Marfil</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República Checa</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Irán</v>
      </c>
      <c r="E202" s="9" t="str">
        <f ca="1">+WORLDCUP!BD67</f>
        <v>Argelia</v>
      </c>
      <c r="F202" s="9" t="str">
        <f ca="1">+WORLDCUP!BD61</f>
        <v>Paraguay</v>
      </c>
      <c r="G202" s="9" t="str">
        <f ca="1">+WORLDCUP!BD58</f>
        <v>República Checa</v>
      </c>
      <c r="H202" s="9" t="str">
        <f ca="1">+WORLDCUP!BD63</f>
        <v>Suecia</v>
      </c>
      <c r="I202" s="9" t="str">
        <f ca="1">+WORLDCUP!BD62</f>
        <v>Costa de Marfil</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Irán</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Irán</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Irán</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Irán</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República Checa</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Costa de Marfil</v>
      </c>
      <c r="D212" s="9" t="str">
        <f ca="1">+WORLDCUP!BD64</f>
        <v>Irán</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Costa de Marfil</v>
      </c>
      <c r="D213" s="9" t="str">
        <f ca="1">+WORLDCUP!BD64</f>
        <v>Irán</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Costa de Marfil</v>
      </c>
      <c r="D214" s="9" t="str">
        <f ca="1">+WORLDCUP!BD64</f>
        <v>Irán</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Costa de Marfil</v>
      </c>
      <c r="D215" s="9" t="str">
        <f ca="1">+WORLDCUP!BD64</f>
        <v>Irán</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Costa de Marfil</v>
      </c>
      <c r="D221" s="9" t="str">
        <f ca="1">+WORLDCUP!BD64</f>
        <v>Irán</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Costa de Marfil</v>
      </c>
      <c r="D222" s="9" t="str">
        <f ca="1">+WORLDCUP!BD64</f>
        <v>Irán</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Costa de Marfil</v>
      </c>
      <c r="D223" s="9" t="str">
        <f ca="1">+WORLDCUP!BD64</f>
        <v>Irán</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Costa de Marfil</v>
      </c>
      <c r="D224" s="9" t="str">
        <f ca="1">+WORLDCUP!BD64</f>
        <v>Irán</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Irán</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Irán</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Irán</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Irán</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Irán</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Irán</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Irán</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Irán</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Irán</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Irán</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Irán</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Irán</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Costa de Marfil</v>
      </c>
      <c r="D257" s="9" t="str">
        <f ca="1">+WORLDCUP!BD64</f>
        <v>Irán</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Costa de Marfil</v>
      </c>
      <c r="D258" s="9" t="str">
        <f ca="1">+WORLDCUP!BD64</f>
        <v>Irán</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Costa de Marfil</v>
      </c>
      <c r="D259" s="9" t="str">
        <f ca="1">+WORLDCUP!BD64</f>
        <v>Irán</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Costa de Marfil</v>
      </c>
      <c r="D260" s="9" t="str">
        <f ca="1">+WORLDCUP!BD64</f>
        <v>Irán</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Irán</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Costa de Marfil</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Irán</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República Checa</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Irán</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1</v>
      </c>
      <c r="C278" s="9" t="str">
        <f ca="1">+WORLDCUP!BD60</f>
        <v>Escocia</v>
      </c>
      <c r="D278" s="9" t="str">
        <f ca="1">+WORLDCUP!BD64</f>
        <v>Irán</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Costa de Marfil</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República Checa</v>
      </c>
      <c r="H279" s="9" t="str">
        <f ca="1">+WORLDCUP!BD63</f>
        <v>Suecia</v>
      </c>
      <c r="I279" s="9" t="str">
        <f ca="1">+WORLDCUP!BD62</f>
        <v>Costa de Marfil</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República Checa</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República Checa</v>
      </c>
      <c r="H282" s="9" t="str">
        <f ca="1">+WORLDCUP!BD63</f>
        <v>Suecia</v>
      </c>
      <c r="I282" s="9" t="str">
        <f ca="1">+WORLDCUP!BD62</f>
        <v>Costa de Marfil</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Irán</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Irán</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Costa de Marfil</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Canadá</v>
      </c>
      <c r="F287" s="9" t="str">
        <f ca="1">+WORLDCUP!BD58</f>
        <v>República Checa</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Canadá</v>
      </c>
      <c r="F288" s="9" t="str">
        <f ca="1">+WORLDCUP!BD58</f>
        <v>República Checa</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Canadá</v>
      </c>
      <c r="F289" s="9" t="str">
        <f ca="1">+WORLDCUP!BD63</f>
        <v>Suecia</v>
      </c>
      <c r="G289" s="9" t="str">
        <f ca="1">+WORLDCUP!BD58</f>
        <v>República Checa</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Canadá</v>
      </c>
      <c r="F290" s="9" t="str">
        <f ca="1">+WORLDCUP!BD63</f>
        <v>Suecia</v>
      </c>
      <c r="G290" s="9" t="str">
        <f ca="1">+WORLDCUP!BD58</f>
        <v>República Checa</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Irán</v>
      </c>
      <c r="E291" s="9" t="str">
        <f ca="1">+WORLDCUP!BD59</f>
        <v>Canadá</v>
      </c>
      <c r="F291" s="9" t="str">
        <f ca="1">+WORLDCUP!BD58</f>
        <v>República Checa</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Canadá</v>
      </c>
      <c r="F292" s="9" t="str">
        <f ca="1">+WORLDCUP!BD63</f>
        <v>Suecia</v>
      </c>
      <c r="G292" s="9" t="str">
        <f ca="1">+WORLDCUP!BD58</f>
        <v>República Checa</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Canadá</v>
      </c>
      <c r="F293" s="9" t="str">
        <f ca="1">+WORLDCUP!BD63</f>
        <v>Suecia</v>
      </c>
      <c r="G293" s="9" t="str">
        <f ca="1">+WORLDCUP!BD58</f>
        <v>República Checa</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Costa de Marfil</v>
      </c>
      <c r="D294" s="9" t="str">
        <f ca="1">+WORLDCUP!BD67</f>
        <v>Argelia</v>
      </c>
      <c r="E294" s="9" t="str">
        <f ca="1">+WORLDCUP!BD59</f>
        <v>Canadá</v>
      </c>
      <c r="F294" s="9" t="str">
        <f ca="1">+WORLDCUP!BD58</f>
        <v>República Checa</v>
      </c>
      <c r="G294" s="9" t="str">
        <f ca="1">+WORLDCUP!BD66</f>
        <v>Senegal</v>
      </c>
      <c r="H294" s="9" t="str">
        <f ca="1">+WORLDCUP!BD65</f>
        <v>Arabia Saudita</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Costa de Marfil</v>
      </c>
      <c r="D295" s="9" t="str">
        <f ca="1">+WORLDCUP!BD67</f>
        <v>Argelia</v>
      </c>
      <c r="E295" s="9" t="str">
        <f ca="1">+WORLDCUP!BD59</f>
        <v>Canadá</v>
      </c>
      <c r="F295" s="9" t="str">
        <f ca="1">+WORLDCUP!BD58</f>
        <v>República Checa</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Costa de Marfil</v>
      </c>
      <c r="D296" s="9" t="str">
        <f ca="1">+WORLDCUP!BD67</f>
        <v>Argelia</v>
      </c>
      <c r="E296" s="9" t="str">
        <f ca="1">+WORLDCUP!BD59</f>
        <v>Canadá</v>
      </c>
      <c r="F296" s="9" t="str">
        <f ca="1">+WORLDCUP!BD58</f>
        <v>República Checa</v>
      </c>
      <c r="G296" s="9" t="str">
        <f ca="1">+WORLDCUP!BD65</f>
        <v>Arabia Saudita</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Costa de Marfil</v>
      </c>
      <c r="D297" s="9" t="str">
        <f ca="1">+WORLDCUP!BD64</f>
        <v>Irán</v>
      </c>
      <c r="E297" s="9" t="str">
        <f ca="1">+WORLDCUP!BD59</f>
        <v>Canadá</v>
      </c>
      <c r="F297" s="9" t="str">
        <f ca="1">+WORLDCUP!BD58</f>
        <v>República Checa</v>
      </c>
      <c r="G297" s="9" t="str">
        <f ca="1">+WORLDCUP!BD66</f>
        <v>Senegal</v>
      </c>
      <c r="H297" s="9" t="str">
        <f ca="1">+WORLDCUP!BD65</f>
        <v>Arabia Saudita</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Costa de Marfil</v>
      </c>
      <c r="D298" s="9" t="str">
        <f ca="1">+WORLDCUP!BD67</f>
        <v>Argelia</v>
      </c>
      <c r="E298" s="9" t="str">
        <f ca="1">+WORLDCUP!BD59</f>
        <v>Canadá</v>
      </c>
      <c r="F298" s="9" t="str">
        <f ca="1">+WORLDCUP!BD58</f>
        <v>República Checa</v>
      </c>
      <c r="G298" s="9" t="str">
        <f ca="1">+WORLDCUP!BD65</f>
        <v>Arabia Saudita</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Costa de Marfil</v>
      </c>
      <c r="D299" s="9" t="str">
        <f ca="1">+WORLDCUP!BD67</f>
        <v>Argelia</v>
      </c>
      <c r="E299" s="9" t="str">
        <f ca="1">+WORLDCUP!BD59</f>
        <v>Canadá</v>
      </c>
      <c r="F299" s="9" t="str">
        <f ca="1">+WORLDCUP!BD58</f>
        <v>República Checa</v>
      </c>
      <c r="G299" s="9" t="str">
        <f ca="1">+WORLDCUP!BD65</f>
        <v>Arabia Saudita</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Costa de Marfil</v>
      </c>
      <c r="D300" s="9" t="str">
        <f ca="1">+WORLDCUP!BD67</f>
        <v>Argelia</v>
      </c>
      <c r="E300" s="9" t="str">
        <f ca="1">+WORLDCUP!BD59</f>
        <v>Canadá</v>
      </c>
      <c r="F300" s="9" t="str">
        <f ca="1">+WORLDCUP!BD58</f>
        <v>República Checa</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Costa de Marfil</v>
      </c>
      <c r="D301" s="9" t="str">
        <f ca="1">+WORLDCUP!BD67</f>
        <v>Argelia</v>
      </c>
      <c r="E301" s="9" t="str">
        <f ca="1">+WORLDCUP!BD59</f>
        <v>Canadá</v>
      </c>
      <c r="F301" s="9" t="str">
        <f ca="1">+WORLDCUP!BD63</f>
        <v>Suecia</v>
      </c>
      <c r="G301" s="9" t="str">
        <f ca="1">+WORLDCUP!BD58</f>
        <v>República Checa</v>
      </c>
      <c r="H301" s="9" t="str">
        <f ca="1">+WORLDCUP!BD65</f>
        <v>Arabia Saudita</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Costa de Marfil</v>
      </c>
      <c r="D302" s="9" t="str">
        <f ca="1">+WORLDCUP!BD66</f>
        <v>Senegal</v>
      </c>
      <c r="E302" s="9" t="str">
        <f ca="1">+WORLDCUP!BD59</f>
        <v>Canadá</v>
      </c>
      <c r="F302" s="9" t="str">
        <f ca="1">+WORLDCUP!BD63</f>
        <v>Suecia</v>
      </c>
      <c r="G302" s="9" t="str">
        <f ca="1">+WORLDCUP!BD58</f>
        <v>República Checa</v>
      </c>
      <c r="H302" s="9" t="str">
        <f ca="1">+WORLDCUP!BD65</f>
        <v>Arabia Saudita</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Costa de Marfil</v>
      </c>
      <c r="D303" s="9" t="str">
        <f ca="1">+WORLDCUP!BD67</f>
        <v>Argelia</v>
      </c>
      <c r="E303" s="9" t="str">
        <f ca="1">+WORLDCUP!BD59</f>
        <v>Canadá</v>
      </c>
      <c r="F303" s="9" t="str">
        <f ca="1">+WORLDCUP!BD63</f>
        <v>Suecia</v>
      </c>
      <c r="G303" s="9" t="str">
        <f ca="1">+WORLDCUP!BD58</f>
        <v>República Checa</v>
      </c>
      <c r="H303" s="9" t="str">
        <f ca="1">+WORLDCUP!BD65</f>
        <v>Arabia Saudita</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Costa de Marfil</v>
      </c>
      <c r="D304" s="9" t="str">
        <f ca="1">+WORLDCUP!BD67</f>
        <v>Argelia</v>
      </c>
      <c r="E304" s="9" t="str">
        <f ca="1">+WORLDCUP!BD59</f>
        <v>Canadá</v>
      </c>
      <c r="F304" s="9" t="str">
        <f ca="1">+WORLDCUP!BD63</f>
        <v>Suecia</v>
      </c>
      <c r="G304" s="9" t="str">
        <f ca="1">+WORLDCUP!BD58</f>
        <v>República Checa</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Costa de Marfil</v>
      </c>
      <c r="D305" s="9" t="str">
        <f ca="1">+WORLDCUP!BD67</f>
        <v>Argelia</v>
      </c>
      <c r="E305" s="9" t="str">
        <f ca="1">+WORLDCUP!BD59</f>
        <v>Canadá</v>
      </c>
      <c r="F305" s="9" t="str">
        <f ca="1">+WORLDCUP!BD63</f>
        <v>Suecia</v>
      </c>
      <c r="G305" s="9" t="str">
        <f ca="1">+WORLDCUP!BD58</f>
        <v>República Checa</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Costa de Marfil</v>
      </c>
      <c r="D306" s="9" t="str">
        <f ca="1">+WORLDCUP!BD64</f>
        <v>Irán</v>
      </c>
      <c r="E306" s="9" t="str">
        <f ca="1">+WORLDCUP!BD59</f>
        <v>Canadá</v>
      </c>
      <c r="F306" s="9" t="str">
        <f ca="1">+WORLDCUP!BD58</f>
        <v>República Checa</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Costa de Marfil</v>
      </c>
      <c r="D307" s="9" t="str">
        <f ca="1">+WORLDCUP!BD67</f>
        <v>Argelia</v>
      </c>
      <c r="E307" s="9" t="str">
        <f ca="1">+WORLDCUP!BD59</f>
        <v>Canadá</v>
      </c>
      <c r="F307" s="9" t="str">
        <f ca="1">+WORLDCUP!BD63</f>
        <v>Suecia</v>
      </c>
      <c r="G307" s="9" t="str">
        <f ca="1">+WORLDCUP!BD58</f>
        <v>República Checa</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Costa de Marfil</v>
      </c>
      <c r="D308" s="9" t="str">
        <f ca="1">+WORLDCUP!BD67</f>
        <v>Argelia</v>
      </c>
      <c r="E308" s="9" t="str">
        <f ca="1">+WORLDCUP!BD59</f>
        <v>Canadá</v>
      </c>
      <c r="F308" s="9" t="str">
        <f ca="1">+WORLDCUP!BD63</f>
        <v>Suecia</v>
      </c>
      <c r="G308" s="9" t="str">
        <f ca="1">+WORLDCUP!BD58</f>
        <v>República Checa</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Costa de Marfil</v>
      </c>
      <c r="D309" s="9" t="str">
        <f ca="1">+WORLDCUP!BD64</f>
        <v>Irán</v>
      </c>
      <c r="E309" s="9" t="str">
        <f ca="1">+WORLDCUP!BD59</f>
        <v>Canadá</v>
      </c>
      <c r="F309" s="9" t="str">
        <f ca="1">+WORLDCUP!BD63</f>
        <v>Suecia</v>
      </c>
      <c r="G309" s="9" t="str">
        <f ca="1">+WORLDCUP!BD58</f>
        <v>República Checa</v>
      </c>
      <c r="H309" s="9" t="str">
        <f ca="1">+WORLDCUP!BD65</f>
        <v>Arabia Saudita</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Canadá</v>
      </c>
      <c r="F310" s="9" t="str">
        <f ca="1">+WORLDCUP!BD63</f>
        <v>Suecia</v>
      </c>
      <c r="G310" s="9" t="str">
        <f ca="1">+WORLDCUP!BD58</f>
        <v>República Checa</v>
      </c>
      <c r="H310" s="9" t="str">
        <f ca="1">+WORLDCUP!BD64</f>
        <v>Irán</v>
      </c>
      <c r="I310" s="9" t="str">
        <f ca="1">+WORLDCUP!BD69</f>
        <v>Ghana</v>
      </c>
      <c r="J310" s="9" t="str">
        <f ca="1">+WORLDCUP!BD62</f>
        <v>Costa de Marfil</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Canadá</v>
      </c>
      <c r="F311" s="9" t="str">
        <f ca="1">+WORLDCUP!BD63</f>
        <v>Suecia</v>
      </c>
      <c r="G311" s="9" t="str">
        <f ca="1">+WORLDCUP!BD58</f>
        <v>República Checa</v>
      </c>
      <c r="H311" s="9" t="str">
        <f ca="1">+WORLDCUP!BD64</f>
        <v>Irán</v>
      </c>
      <c r="I311" s="9" t="str">
        <f ca="1">+WORLDCUP!BD62</f>
        <v>Costa de Marfil</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Costa de Marfil</v>
      </c>
      <c r="D312" s="9" t="str">
        <f ca="1">+WORLDCUP!BD64</f>
        <v>Irán</v>
      </c>
      <c r="E312" s="9" t="str">
        <f ca="1">+WORLDCUP!BD59</f>
        <v>Canadá</v>
      </c>
      <c r="F312" s="9" t="str">
        <f ca="1">+WORLDCUP!BD63</f>
        <v>Suecia</v>
      </c>
      <c r="G312" s="9" t="str">
        <f ca="1">+WORLDCUP!BD58</f>
        <v>República Checa</v>
      </c>
      <c r="H312" s="9" t="str">
        <f ca="1">+WORLDCUP!BD65</f>
        <v>Arabia Saudita</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Costa de Marfil</v>
      </c>
      <c r="D313" s="9" t="str">
        <f ca="1">+WORLDCUP!BD64</f>
        <v>Irán</v>
      </c>
      <c r="E313" s="9" t="str">
        <f ca="1">+WORLDCUP!BD59</f>
        <v>Canadá</v>
      </c>
      <c r="F313" s="9" t="str">
        <f ca="1">+WORLDCUP!BD63</f>
        <v>Suecia</v>
      </c>
      <c r="G313" s="9" t="str">
        <f ca="1">+WORLDCUP!BD58</f>
        <v>República Checa</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Canadá</v>
      </c>
      <c r="F314" s="9" t="str">
        <f ca="1">+WORLDCUP!BD63</f>
        <v>Suecia</v>
      </c>
      <c r="G314" s="9" t="str">
        <f ca="1">+WORLDCUP!BD58</f>
        <v>República Checa</v>
      </c>
      <c r="H314" s="9" t="str">
        <f ca="1">+WORLDCUP!BD64</f>
        <v>Irán</v>
      </c>
      <c r="I314" s="9" t="str">
        <f ca="1">+WORLDCUP!BD62</f>
        <v>Costa de Marfil</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Canadá</v>
      </c>
      <c r="F315" s="9" t="str">
        <f ca="1">+WORLDCUP!BD61</f>
        <v>Paraguay</v>
      </c>
      <c r="G315" s="9" t="str">
        <f ca="1">+WORLDCUP!BD58</f>
        <v>República Checa</v>
      </c>
      <c r="H315" s="9" t="str">
        <f ca="1">+WORLDCUP!BD65</f>
        <v>Arabia Saudita</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Canadá</v>
      </c>
      <c r="F316" s="9" t="str">
        <f ca="1">+WORLDCUP!BD61</f>
        <v>Paraguay</v>
      </c>
      <c r="G316" s="9" t="str">
        <f ca="1">+WORLDCUP!BD58</f>
        <v>República Checa</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Canadá</v>
      </c>
      <c r="F317" s="9" t="str">
        <f ca="1">+WORLDCUP!BD61</f>
        <v>Paraguay</v>
      </c>
      <c r="G317" s="9" t="str">
        <f ca="1">+WORLDCUP!BD58</f>
        <v>República Checa</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Irán</v>
      </c>
      <c r="E318" s="9" t="str">
        <f ca="1">+WORLDCUP!BD59</f>
        <v>Canadá</v>
      </c>
      <c r="F318" s="9" t="str">
        <f ca="1">+WORLDCUP!BD61</f>
        <v>Paraguay</v>
      </c>
      <c r="G318" s="9" t="str">
        <f ca="1">+WORLDCUP!BD58</f>
        <v>República Checa</v>
      </c>
      <c r="H318" s="9" t="str">
        <f ca="1">+WORLDCUP!BD65</f>
        <v>Arabia Saudita</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Canadá</v>
      </c>
      <c r="F319" s="9" t="str">
        <f ca="1">+WORLDCUP!BD61</f>
        <v>Paraguay</v>
      </c>
      <c r="G319" s="9" t="str">
        <f ca="1">+WORLDCUP!BD58</f>
        <v>República Checa</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Canadá</v>
      </c>
      <c r="F320" s="9" t="str">
        <f ca="1">+WORLDCUP!BD61</f>
        <v>Paraguay</v>
      </c>
      <c r="G320" s="9" t="str">
        <f ca="1">+WORLDCUP!BD58</f>
        <v>República Checa</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Canadá</v>
      </c>
      <c r="F321" s="9" t="str">
        <f ca="1">+WORLDCUP!BD61</f>
        <v>Paraguay</v>
      </c>
      <c r="G321" s="9" t="str">
        <f ca="1">+WORLDCUP!BD58</f>
        <v>República Checa</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Canadá</v>
      </c>
      <c r="F322" s="9" t="str">
        <f ca="1">+WORLDCUP!BD61</f>
        <v>Paraguay</v>
      </c>
      <c r="G322" s="9" t="str">
        <f ca="1">+WORLDCUP!BD58</f>
        <v>República Checa</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Canadá</v>
      </c>
      <c r="F323" s="9" t="str">
        <f ca="1">+WORLDCUP!BD61</f>
        <v>Paraguay</v>
      </c>
      <c r="G323" s="9" t="str">
        <f ca="1">+WORLDCUP!BD58</f>
        <v>República Checa</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Canadá</v>
      </c>
      <c r="F324" s="9" t="str">
        <f ca="1">+WORLDCUP!BD61</f>
        <v>Paraguay</v>
      </c>
      <c r="G324" s="9" t="str">
        <f ca="1">+WORLDCUP!BD58</f>
        <v>República Checa</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Canadá</v>
      </c>
      <c r="F325" s="9" t="str">
        <f ca="1">+WORLDCUP!BD61</f>
        <v>Paraguay</v>
      </c>
      <c r="G325" s="9" t="str">
        <f ca="1">+WORLDCUP!BD58</f>
        <v>República Checa</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Canadá</v>
      </c>
      <c r="F326" s="9" t="str">
        <f ca="1">+WORLDCUP!BD61</f>
        <v>Paraguay</v>
      </c>
      <c r="G326" s="9" t="str">
        <f ca="1">+WORLDCUP!BD58</f>
        <v>República Checa</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Irán</v>
      </c>
      <c r="E327" s="9" t="str">
        <f ca="1">+WORLDCUP!BD59</f>
        <v>Canadá</v>
      </c>
      <c r="F327" s="9" t="str">
        <f ca="1">+WORLDCUP!BD61</f>
        <v>Paraguay</v>
      </c>
      <c r="G327" s="9" t="str">
        <f ca="1">+WORLDCUP!BD58</f>
        <v>República Checa</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Canadá</v>
      </c>
      <c r="F328" s="9" t="str">
        <f ca="1">+WORLDCUP!BD61</f>
        <v>Paraguay</v>
      </c>
      <c r="G328" s="9" t="str">
        <f ca="1">+WORLDCUP!BD58</f>
        <v>República Checa</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Canadá</v>
      </c>
      <c r="F329" s="9" t="str">
        <f ca="1">+WORLDCUP!BD61</f>
        <v>Paraguay</v>
      </c>
      <c r="G329" s="9" t="str">
        <f ca="1">+WORLDCUP!BD58</f>
        <v>República Checa</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Irán</v>
      </c>
      <c r="E330" s="9" t="str">
        <f ca="1">+WORLDCUP!BD59</f>
        <v>Canadá</v>
      </c>
      <c r="F330" s="9" t="str">
        <f ca="1">+WORLDCUP!BD61</f>
        <v>Paraguay</v>
      </c>
      <c r="G330" s="9" t="str">
        <f ca="1">+WORLDCUP!BD58</f>
        <v>República Checa</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Irán</v>
      </c>
      <c r="E331" s="9" t="str">
        <f ca="1">+WORLDCUP!BD59</f>
        <v>Canadá</v>
      </c>
      <c r="F331" s="9" t="str">
        <f ca="1">+WORLDCUP!BD61</f>
        <v>Paraguay</v>
      </c>
      <c r="G331" s="9" t="str">
        <f ca="1">+WORLDCUP!BD58</f>
        <v>República Checa</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Irán</v>
      </c>
      <c r="E332" s="9" t="str">
        <f ca="1">+WORLDCUP!BD59</f>
        <v>Canadá</v>
      </c>
      <c r="F332" s="9" t="str">
        <f ca="1">+WORLDCUP!BD61</f>
        <v>Paraguay</v>
      </c>
      <c r="G332" s="9" t="str">
        <f ca="1">+WORLDCUP!BD58</f>
        <v>República Checa</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Irán</v>
      </c>
      <c r="E333" s="9" t="str">
        <f ca="1">+WORLDCUP!BD59</f>
        <v>Canadá</v>
      </c>
      <c r="F333" s="9" t="str">
        <f ca="1">+WORLDCUP!BD61</f>
        <v>Paraguay</v>
      </c>
      <c r="G333" s="9" t="str">
        <f ca="1">+WORLDCUP!BD58</f>
        <v>República Checa</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Irán</v>
      </c>
      <c r="E334" s="9" t="str">
        <f ca="1">+WORLDCUP!BD59</f>
        <v>Canadá</v>
      </c>
      <c r="F334" s="9" t="str">
        <f ca="1">+WORLDCUP!BD61</f>
        <v>Paraguay</v>
      </c>
      <c r="G334" s="9" t="str">
        <f ca="1">+WORLDCUP!BD58</f>
        <v>República Checa</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Irán</v>
      </c>
      <c r="E335" s="9" t="str">
        <f ca="1">+WORLDCUP!BD59</f>
        <v>Canadá</v>
      </c>
      <c r="F335" s="9" t="str">
        <f ca="1">+WORLDCUP!BD61</f>
        <v>Paraguay</v>
      </c>
      <c r="G335" s="9" t="str">
        <f ca="1">+WORLDCUP!BD58</f>
        <v>República Checa</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Costa de Marfil</v>
      </c>
      <c r="D336" s="9" t="str">
        <f ca="1">+WORLDCUP!BD67</f>
        <v>Argelia</v>
      </c>
      <c r="E336" s="9" t="str">
        <f ca="1">+WORLDCUP!BD59</f>
        <v>Canadá</v>
      </c>
      <c r="F336" s="9" t="str">
        <f ca="1">+WORLDCUP!BD58</f>
        <v>República Checa</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Costa de Marfil</v>
      </c>
      <c r="D337" s="9" t="str">
        <f ca="1">+WORLDCUP!BD67</f>
        <v>Argelia</v>
      </c>
      <c r="E337" s="9" t="str">
        <f ca="1">+WORLDCUP!BD59</f>
        <v>Canadá</v>
      </c>
      <c r="F337" s="9" t="str">
        <f ca="1">+WORLDCUP!BD61</f>
        <v>Paraguay</v>
      </c>
      <c r="G337" s="9" t="str">
        <f ca="1">+WORLDCUP!BD58</f>
        <v>República Checa</v>
      </c>
      <c r="H337" s="9" t="str">
        <f ca="1">+WORLDCUP!BD65</f>
        <v>Arabia Saudita</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Costa de Marfil</v>
      </c>
      <c r="D338" s="9" t="str">
        <f ca="1">+WORLDCUP!BD66</f>
        <v>Senegal</v>
      </c>
      <c r="E338" s="9" t="str">
        <f ca="1">+WORLDCUP!BD59</f>
        <v>Canadá</v>
      </c>
      <c r="F338" s="9" t="str">
        <f ca="1">+WORLDCUP!BD61</f>
        <v>Paraguay</v>
      </c>
      <c r="G338" s="9" t="str">
        <f ca="1">+WORLDCUP!BD58</f>
        <v>República Checa</v>
      </c>
      <c r="H338" s="9" t="str">
        <f ca="1">+WORLDCUP!BD65</f>
        <v>Arabia Saudita</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Costa de Marfil</v>
      </c>
      <c r="D339" s="9" t="str">
        <f ca="1">+WORLDCUP!BD67</f>
        <v>Argelia</v>
      </c>
      <c r="E339" s="9" t="str">
        <f ca="1">+WORLDCUP!BD59</f>
        <v>Canadá</v>
      </c>
      <c r="F339" s="9" t="str">
        <f ca="1">+WORLDCUP!BD61</f>
        <v>Paraguay</v>
      </c>
      <c r="G339" s="9" t="str">
        <f ca="1">+WORLDCUP!BD58</f>
        <v>República Checa</v>
      </c>
      <c r="H339" s="9" t="str">
        <f ca="1">+WORLDCUP!BD65</f>
        <v>Arabia Saudita</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Costa de Marfil</v>
      </c>
      <c r="D340" s="9" t="str">
        <f ca="1">+WORLDCUP!BD67</f>
        <v>Argelia</v>
      </c>
      <c r="E340" s="9" t="str">
        <f ca="1">+WORLDCUP!BD59</f>
        <v>Canadá</v>
      </c>
      <c r="F340" s="9" t="str">
        <f ca="1">+WORLDCUP!BD61</f>
        <v>Paraguay</v>
      </c>
      <c r="G340" s="9" t="str">
        <f ca="1">+WORLDCUP!BD58</f>
        <v>República Checa</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Costa de Marfil</v>
      </c>
      <c r="D341" s="9" t="str">
        <f ca="1">+WORLDCUP!BD67</f>
        <v>Argelia</v>
      </c>
      <c r="E341" s="9" t="str">
        <f ca="1">+WORLDCUP!BD59</f>
        <v>Canadá</v>
      </c>
      <c r="F341" s="9" t="str">
        <f ca="1">+WORLDCUP!BD61</f>
        <v>Paraguay</v>
      </c>
      <c r="G341" s="9" t="str">
        <f ca="1">+WORLDCUP!BD58</f>
        <v>República Checa</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Costa de Marfil</v>
      </c>
      <c r="D342" s="9" t="str">
        <f ca="1">+WORLDCUP!BD64</f>
        <v>Irán</v>
      </c>
      <c r="E342" s="9" t="str">
        <f ca="1">+WORLDCUP!BD59</f>
        <v>Canadá</v>
      </c>
      <c r="F342" s="9" t="str">
        <f ca="1">+WORLDCUP!BD58</f>
        <v>República Checa</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Costa de Marfil</v>
      </c>
      <c r="D343" s="9" t="str">
        <f ca="1">+WORLDCUP!BD67</f>
        <v>Argelia</v>
      </c>
      <c r="E343" s="9" t="str">
        <f ca="1">+WORLDCUP!BD59</f>
        <v>Canadá</v>
      </c>
      <c r="F343" s="9" t="str">
        <f ca="1">+WORLDCUP!BD61</f>
        <v>Paraguay</v>
      </c>
      <c r="G343" s="9" t="str">
        <f ca="1">+WORLDCUP!BD58</f>
        <v>República Checa</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Costa de Marfil</v>
      </c>
      <c r="D344" s="9" t="str">
        <f ca="1">+WORLDCUP!BD67</f>
        <v>Argelia</v>
      </c>
      <c r="E344" s="9" t="str">
        <f ca="1">+WORLDCUP!BD59</f>
        <v>Canadá</v>
      </c>
      <c r="F344" s="9" t="str">
        <f ca="1">+WORLDCUP!BD61</f>
        <v>Paraguay</v>
      </c>
      <c r="G344" s="9" t="str">
        <f ca="1">+WORLDCUP!BD58</f>
        <v>República Checa</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Costa de Marfil</v>
      </c>
      <c r="D345" s="9" t="str">
        <f ca="1">+WORLDCUP!BD64</f>
        <v>Irán</v>
      </c>
      <c r="E345" s="9" t="str">
        <f ca="1">+WORLDCUP!BD59</f>
        <v>Canadá</v>
      </c>
      <c r="F345" s="9" t="str">
        <f ca="1">+WORLDCUP!BD61</f>
        <v>Paraguay</v>
      </c>
      <c r="G345" s="9" t="str">
        <f ca="1">+WORLDCUP!BD58</f>
        <v>República Checa</v>
      </c>
      <c r="H345" s="9" t="str">
        <f ca="1">+WORLDCUP!BD65</f>
        <v>Arabia Saudita</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Canadá</v>
      </c>
      <c r="F346" s="9" t="str">
        <f ca="1">+WORLDCUP!BD61</f>
        <v>Paraguay</v>
      </c>
      <c r="G346" s="9" t="str">
        <f ca="1">+WORLDCUP!BD58</f>
        <v>República Checa</v>
      </c>
      <c r="H346" s="9" t="str">
        <f ca="1">+WORLDCUP!BD64</f>
        <v>Irán</v>
      </c>
      <c r="I346" s="9" t="str">
        <f ca="1">+WORLDCUP!BD69</f>
        <v>Ghana</v>
      </c>
      <c r="J346" s="9" t="str">
        <f ca="1">+WORLDCUP!BD62</f>
        <v>Costa de Marfil</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Canadá</v>
      </c>
      <c r="F347" s="9" t="str">
        <f ca="1">+WORLDCUP!BD61</f>
        <v>Paraguay</v>
      </c>
      <c r="G347" s="9" t="str">
        <f ca="1">+WORLDCUP!BD58</f>
        <v>República Checa</v>
      </c>
      <c r="H347" s="9" t="str">
        <f ca="1">+WORLDCUP!BD64</f>
        <v>Irán</v>
      </c>
      <c r="I347" s="9" t="str">
        <f ca="1">+WORLDCUP!BD62</f>
        <v>Costa de Marfil</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Costa de Marfil</v>
      </c>
      <c r="D348" s="9" t="str">
        <f ca="1">+WORLDCUP!BD64</f>
        <v>Irán</v>
      </c>
      <c r="E348" s="9" t="str">
        <f ca="1">+WORLDCUP!BD59</f>
        <v>Canadá</v>
      </c>
      <c r="F348" s="9" t="str">
        <f ca="1">+WORLDCUP!BD61</f>
        <v>Paraguay</v>
      </c>
      <c r="G348" s="9" t="str">
        <f ca="1">+WORLDCUP!BD58</f>
        <v>República Checa</v>
      </c>
      <c r="H348" s="9" t="str">
        <f ca="1">+WORLDCUP!BD65</f>
        <v>Arabia Saudita</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Costa de Marfil</v>
      </c>
      <c r="D349" s="9" t="str">
        <f ca="1">+WORLDCUP!BD64</f>
        <v>Irán</v>
      </c>
      <c r="E349" s="9" t="str">
        <f ca="1">+WORLDCUP!BD59</f>
        <v>Canadá</v>
      </c>
      <c r="F349" s="9" t="str">
        <f ca="1">+WORLDCUP!BD61</f>
        <v>Paraguay</v>
      </c>
      <c r="G349" s="9" t="str">
        <f ca="1">+WORLDCUP!BD58</f>
        <v>República Checa</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Canadá</v>
      </c>
      <c r="F350" s="9" t="str">
        <f ca="1">+WORLDCUP!BD61</f>
        <v>Paraguay</v>
      </c>
      <c r="G350" s="9" t="str">
        <f ca="1">+WORLDCUP!BD58</f>
        <v>República Checa</v>
      </c>
      <c r="H350" s="9" t="str">
        <f ca="1">+WORLDCUP!BD64</f>
        <v>Irán</v>
      </c>
      <c r="I350" s="9" t="str">
        <f ca="1">+WORLDCUP!BD62</f>
        <v>Costa de Marfil</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Costa de Marfil</v>
      </c>
      <c r="D351" s="9" t="str">
        <f ca="1">+WORLDCUP!BD67</f>
        <v>Argelia</v>
      </c>
      <c r="E351" s="9" t="str">
        <f ca="1">+WORLDCUP!BD59</f>
        <v>Canadá</v>
      </c>
      <c r="F351" s="9" t="str">
        <f ca="1">+WORLDCUP!BD61</f>
        <v>Paraguay</v>
      </c>
      <c r="G351" s="9" t="str">
        <f ca="1">+WORLDCUP!BD58</f>
        <v>República Checa</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Costa de Marfil</v>
      </c>
      <c r="D352" s="9" t="str">
        <f ca="1">+WORLDCUP!BD66</f>
        <v>Senegal</v>
      </c>
      <c r="E352" s="9" t="str">
        <f ca="1">+WORLDCUP!BD59</f>
        <v>Canadá</v>
      </c>
      <c r="F352" s="9" t="str">
        <f ca="1">+WORLDCUP!BD61</f>
        <v>Paraguay</v>
      </c>
      <c r="G352" s="9" t="str">
        <f ca="1">+WORLDCUP!BD58</f>
        <v>República Checa</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Costa de Marfil</v>
      </c>
      <c r="D353" s="9" t="str">
        <f ca="1">+WORLDCUP!BD67</f>
        <v>Argelia</v>
      </c>
      <c r="E353" s="9" t="str">
        <f ca="1">+WORLDCUP!BD59</f>
        <v>Canadá</v>
      </c>
      <c r="F353" s="9" t="str">
        <f ca="1">+WORLDCUP!BD61</f>
        <v>Paraguay</v>
      </c>
      <c r="G353" s="9" t="str">
        <f ca="1">+WORLDCUP!BD58</f>
        <v>República Checa</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Costa de Marfil</v>
      </c>
      <c r="D354" s="9" t="str">
        <f ca="1">+WORLDCUP!BD67</f>
        <v>Argelia</v>
      </c>
      <c r="E354" s="9" t="str">
        <f ca="1">+WORLDCUP!BD59</f>
        <v>Canadá</v>
      </c>
      <c r="F354" s="9" t="str">
        <f ca="1">+WORLDCUP!BD61</f>
        <v>Paraguay</v>
      </c>
      <c r="G354" s="9" t="str">
        <f ca="1">+WORLDCUP!BD58</f>
        <v>República Checa</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Costa de Marfil</v>
      </c>
      <c r="E355" s="9" t="str">
        <f ca="1">+WORLDCUP!BD59</f>
        <v>Canadá</v>
      </c>
      <c r="F355" s="9" t="str">
        <f ca="1">+WORLDCUP!BD61</f>
        <v>Paraguay</v>
      </c>
      <c r="G355" s="9" t="str">
        <f ca="1">+WORLDCUP!BD58</f>
        <v>República Checa</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Canadá</v>
      </c>
      <c r="F356" s="9" t="str">
        <f ca="1">+WORLDCUP!BD61</f>
        <v>Paraguay</v>
      </c>
      <c r="G356" s="9" t="str">
        <f ca="1">+WORLDCUP!BD58</f>
        <v>República Checa</v>
      </c>
      <c r="H356" s="9" t="str">
        <f ca="1">+WORLDCUP!BD63</f>
        <v>Suecia</v>
      </c>
      <c r="I356" s="9" t="str">
        <f ca="1">+WORLDCUP!BD69</f>
        <v>Ghana</v>
      </c>
      <c r="J356" s="9" t="str">
        <f ca="1">+WORLDCUP!BD62</f>
        <v>Costa de Marfil</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Canadá</v>
      </c>
      <c r="F357" s="9" t="str">
        <f ca="1">+WORLDCUP!BD61</f>
        <v>Paraguay</v>
      </c>
      <c r="G357" s="9" t="str">
        <f ca="1">+WORLDCUP!BD58</f>
        <v>República Checa</v>
      </c>
      <c r="H357" s="9" t="str">
        <f ca="1">+WORLDCUP!BD63</f>
        <v>Suecia</v>
      </c>
      <c r="I357" s="9" t="str">
        <f ca="1">+WORLDCUP!BD62</f>
        <v>Costa de Marfil</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Costa de Marfil</v>
      </c>
      <c r="E358" s="9" t="str">
        <f ca="1">+WORLDCUP!BD59</f>
        <v>Canadá</v>
      </c>
      <c r="F358" s="9" t="str">
        <f ca="1">+WORLDCUP!BD61</f>
        <v>Paraguay</v>
      </c>
      <c r="G358" s="9" t="str">
        <f ca="1">+WORLDCUP!BD58</f>
        <v>República Checa</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Costa de Marfil</v>
      </c>
      <c r="E359" s="9" t="str">
        <f ca="1">+WORLDCUP!BD59</f>
        <v>Canadá</v>
      </c>
      <c r="F359" s="9" t="str">
        <f ca="1">+WORLDCUP!BD61</f>
        <v>Paraguay</v>
      </c>
      <c r="G359" s="9" t="str">
        <f ca="1">+WORLDCUP!BD58</f>
        <v>República Checa</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Canadá</v>
      </c>
      <c r="F360" s="9" t="str">
        <f ca="1">+WORLDCUP!BD61</f>
        <v>Paraguay</v>
      </c>
      <c r="G360" s="9" t="str">
        <f ca="1">+WORLDCUP!BD58</f>
        <v>República Checa</v>
      </c>
      <c r="H360" s="9" t="str">
        <f ca="1">+WORLDCUP!BD63</f>
        <v>Suecia</v>
      </c>
      <c r="I360" s="9" t="str">
        <f ca="1">+WORLDCUP!BD62</f>
        <v>Costa de Marfil</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Costa de Marfil</v>
      </c>
      <c r="D361" s="9" t="str">
        <f ca="1">+WORLDCUP!BD64</f>
        <v>Irán</v>
      </c>
      <c r="E361" s="9" t="str">
        <f ca="1">+WORLDCUP!BD59</f>
        <v>Canadá</v>
      </c>
      <c r="F361" s="9" t="str">
        <f ca="1">+WORLDCUP!BD61</f>
        <v>Paraguay</v>
      </c>
      <c r="G361" s="9" t="str">
        <f ca="1">+WORLDCUP!BD58</f>
        <v>República Checa</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Costa de Marfil</v>
      </c>
      <c r="D362" s="9" t="str">
        <f ca="1">+WORLDCUP!BD64</f>
        <v>Irán</v>
      </c>
      <c r="E362" s="9" t="str">
        <f ca="1">+WORLDCUP!BD59</f>
        <v>Canadá</v>
      </c>
      <c r="F362" s="9" t="str">
        <f ca="1">+WORLDCUP!BD61</f>
        <v>Paraguay</v>
      </c>
      <c r="G362" s="9" t="str">
        <f ca="1">+WORLDCUP!BD58</f>
        <v>República Checa</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Costa de Marfil</v>
      </c>
      <c r="D363" s="9" t="str">
        <f ca="1">+WORLDCUP!BD64</f>
        <v>Irán</v>
      </c>
      <c r="E363" s="9" t="str">
        <f ca="1">+WORLDCUP!BD59</f>
        <v>Canadá</v>
      </c>
      <c r="F363" s="9" t="str">
        <f ca="1">+WORLDCUP!BD61</f>
        <v>Paraguay</v>
      </c>
      <c r="G363" s="9" t="str">
        <f ca="1">+WORLDCUP!BD58</f>
        <v>República Checa</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Costa de Marfil</v>
      </c>
      <c r="D364" s="9" t="str">
        <f ca="1">+WORLDCUP!BD64</f>
        <v>Irán</v>
      </c>
      <c r="E364" s="9" t="str">
        <f ca="1">+WORLDCUP!BD59</f>
        <v>Canadá</v>
      </c>
      <c r="F364" s="9" t="str">
        <f ca="1">+WORLDCUP!BD61</f>
        <v>Paraguay</v>
      </c>
      <c r="G364" s="9" t="str">
        <f ca="1">+WORLDCUP!BD58</f>
        <v>República Checa</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Costa de Marfil</v>
      </c>
      <c r="D365" s="9" t="str">
        <f ca="1">+WORLDCUP!BD64</f>
        <v>Irán</v>
      </c>
      <c r="E365" s="9" t="str">
        <f ca="1">+WORLDCUP!BD59</f>
        <v>Canadá</v>
      </c>
      <c r="F365" s="9" t="str">
        <f ca="1">+WORLDCUP!BD61</f>
        <v>Paraguay</v>
      </c>
      <c r="G365" s="9" t="str">
        <f ca="1">+WORLDCUP!BD58</f>
        <v>República Checa</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Costa de Marfil</v>
      </c>
      <c r="D366" s="9" t="str">
        <f ca="1">+WORLDCUP!BD64</f>
        <v>Irán</v>
      </c>
      <c r="E366" s="9" t="str">
        <f ca="1">+WORLDCUP!BD59</f>
        <v>Canadá</v>
      </c>
      <c r="F366" s="9" t="str">
        <f ca="1">+WORLDCUP!BD61</f>
        <v>Paraguay</v>
      </c>
      <c r="G366" s="9" t="str">
        <f ca="1">+WORLDCUP!BD58</f>
        <v>República Checa</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Irán</v>
      </c>
      <c r="E367" s="9" t="str">
        <f ca="1">+WORLDCUP!BD59</f>
        <v>Canadá</v>
      </c>
      <c r="F367" s="9" t="str">
        <f ca="1">+WORLDCUP!BD61</f>
        <v>Paraguay</v>
      </c>
      <c r="G367" s="9" t="str">
        <f ca="1">+WORLDCUP!BD58</f>
        <v>República Checa</v>
      </c>
      <c r="H367" s="9" t="str">
        <f ca="1">+WORLDCUP!BD63</f>
        <v>Suecia</v>
      </c>
      <c r="I367" s="9" t="str">
        <f ca="1">+WORLDCUP!BD69</f>
        <v>Ghana</v>
      </c>
      <c r="J367" s="9" t="str">
        <f ca="1">+WORLDCUP!BD62</f>
        <v>Costa de Marfil</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Irán</v>
      </c>
      <c r="E368" s="9" t="str">
        <f ca="1">+WORLDCUP!BD59</f>
        <v>Canadá</v>
      </c>
      <c r="F368" s="9" t="str">
        <f ca="1">+WORLDCUP!BD61</f>
        <v>Paraguay</v>
      </c>
      <c r="G368" s="9" t="str">
        <f ca="1">+WORLDCUP!BD58</f>
        <v>República Checa</v>
      </c>
      <c r="H368" s="9" t="str">
        <f ca="1">+WORLDCUP!BD63</f>
        <v>Suecia</v>
      </c>
      <c r="I368" s="9" t="str">
        <f ca="1">+WORLDCUP!BD62</f>
        <v>Costa de Marfil</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Irán</v>
      </c>
      <c r="E369" s="9" t="str">
        <f ca="1">+WORLDCUP!BD59</f>
        <v>Canadá</v>
      </c>
      <c r="F369" s="9" t="str">
        <f ca="1">+WORLDCUP!BD61</f>
        <v>Paraguay</v>
      </c>
      <c r="G369" s="9" t="str">
        <f ca="1">+WORLDCUP!BD58</f>
        <v>República Checa</v>
      </c>
      <c r="H369" s="9" t="str">
        <f ca="1">+WORLDCUP!BD63</f>
        <v>Suecia</v>
      </c>
      <c r="I369" s="9" t="str">
        <f ca="1">+WORLDCUP!BD62</f>
        <v>Costa de Marfil</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Irán</v>
      </c>
      <c r="E370" s="9" t="str">
        <f ca="1">+WORLDCUP!BD59</f>
        <v>Canadá</v>
      </c>
      <c r="F370" s="9" t="str">
        <f ca="1">+WORLDCUP!BD61</f>
        <v>Paraguay</v>
      </c>
      <c r="G370" s="9" t="str">
        <f ca="1">+WORLDCUP!BD58</f>
        <v>República Checa</v>
      </c>
      <c r="H370" s="9" t="str">
        <f ca="1">+WORLDCUP!BD63</f>
        <v>Suecia</v>
      </c>
      <c r="I370" s="9" t="str">
        <f ca="1">+WORLDCUP!BD62</f>
        <v>Costa de Marfil</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Canadá</v>
      </c>
      <c r="F371" s="9" t="str">
        <f ca="1">+WORLDCUP!BD60</f>
        <v>Escocia</v>
      </c>
      <c r="G371" s="9" t="str">
        <f ca="1">+WORLDCUP!BD58</f>
        <v>República Checa</v>
      </c>
      <c r="H371" s="9" t="str">
        <f ca="1">+WORLDCUP!BD65</f>
        <v>Arabia Saudita</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Canadá</v>
      </c>
      <c r="F372" s="9" t="str">
        <f ca="1">+WORLDCUP!BD60</f>
        <v>Escocia</v>
      </c>
      <c r="G372" s="9" t="str">
        <f ca="1">+WORLDCUP!BD58</f>
        <v>República Checa</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Canadá</v>
      </c>
      <c r="F373" s="9" t="str">
        <f ca="1">+WORLDCUP!BD60</f>
        <v>Escocia</v>
      </c>
      <c r="G373" s="9" t="str">
        <f ca="1">+WORLDCUP!BD58</f>
        <v>República Checa</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Irán</v>
      </c>
      <c r="E374" s="9" t="str">
        <f ca="1">+WORLDCUP!BD59</f>
        <v>Canadá</v>
      </c>
      <c r="F374" s="9" t="str">
        <f ca="1">+WORLDCUP!BD60</f>
        <v>Escocia</v>
      </c>
      <c r="G374" s="9" t="str">
        <f ca="1">+WORLDCUP!BD58</f>
        <v>República Checa</v>
      </c>
      <c r="H374" s="9" t="str">
        <f ca="1">+WORLDCUP!BD65</f>
        <v>Arabia Saudita</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Canadá</v>
      </c>
      <c r="F375" s="9" t="str">
        <f ca="1">+WORLDCUP!BD60</f>
        <v>Escocia</v>
      </c>
      <c r="G375" s="9" t="str">
        <f ca="1">+WORLDCUP!BD58</f>
        <v>República Checa</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Canadá</v>
      </c>
      <c r="F376" s="9" t="str">
        <f ca="1">+WORLDCUP!BD60</f>
        <v>Escocia</v>
      </c>
      <c r="G376" s="9" t="str">
        <f ca="1">+WORLDCUP!BD58</f>
        <v>República Checa</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Canadá</v>
      </c>
      <c r="F377" s="9" t="str">
        <f ca="1">+WORLDCUP!BD60</f>
        <v>Escocia</v>
      </c>
      <c r="G377" s="9" t="str">
        <f ca="1">+WORLDCUP!BD58</f>
        <v>República Checa</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Canadá</v>
      </c>
      <c r="F378" s="9" t="str">
        <f ca="1">+WORLDCUP!BD60</f>
        <v>Escocia</v>
      </c>
      <c r="G378" s="9" t="str">
        <f ca="1">+WORLDCUP!BD58</f>
        <v>República Checa</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Canadá</v>
      </c>
      <c r="F379" s="9" t="str">
        <f ca="1">+WORLDCUP!BD60</f>
        <v>Escocia</v>
      </c>
      <c r="G379" s="9" t="str">
        <f ca="1">+WORLDCUP!BD58</f>
        <v>República Checa</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Canadá</v>
      </c>
      <c r="F380" s="9" t="str">
        <f ca="1">+WORLDCUP!BD60</f>
        <v>Escocia</v>
      </c>
      <c r="G380" s="9" t="str">
        <f ca="1">+WORLDCUP!BD58</f>
        <v>República Checa</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Canadá</v>
      </c>
      <c r="F381" s="9" t="str">
        <f ca="1">+WORLDCUP!BD60</f>
        <v>Escocia</v>
      </c>
      <c r="G381" s="9" t="str">
        <f ca="1">+WORLDCUP!BD58</f>
        <v>República Checa</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Canadá</v>
      </c>
      <c r="F382" s="9" t="str">
        <f ca="1">+WORLDCUP!BD63</f>
        <v>Suecia</v>
      </c>
      <c r="G382" s="9" t="str">
        <f ca="1">+WORLDCUP!BD58</f>
        <v>República Checa</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Irán</v>
      </c>
      <c r="E383" s="9" t="str">
        <f ca="1">+WORLDCUP!BD59</f>
        <v>Canadá</v>
      </c>
      <c r="F383" s="9" t="str">
        <f ca="1">+WORLDCUP!BD60</f>
        <v>Escocia</v>
      </c>
      <c r="G383" s="9" t="str">
        <f ca="1">+WORLDCUP!BD58</f>
        <v>República Checa</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Canadá</v>
      </c>
      <c r="F384" s="9" t="str">
        <f ca="1">+WORLDCUP!BD63</f>
        <v>Suecia</v>
      </c>
      <c r="G384" s="9" t="str">
        <f ca="1">+WORLDCUP!BD58</f>
        <v>República Checa</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Canadá</v>
      </c>
      <c r="F385" s="9" t="str">
        <f ca="1">+WORLDCUP!BD63</f>
        <v>Suecia</v>
      </c>
      <c r="G385" s="9" t="str">
        <f ca="1">+WORLDCUP!BD58</f>
        <v>República Checa</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Irán</v>
      </c>
      <c r="E386" s="9" t="str">
        <f ca="1">+WORLDCUP!BD59</f>
        <v>Canadá</v>
      </c>
      <c r="F386" s="9" t="str">
        <f ca="1">+WORLDCUP!BD60</f>
        <v>Escocia</v>
      </c>
      <c r="G386" s="9" t="str">
        <f ca="1">+WORLDCUP!BD58</f>
        <v>República Checa</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Irán</v>
      </c>
      <c r="E387" s="9" t="str">
        <f ca="1">+WORLDCUP!BD59</f>
        <v>Canadá</v>
      </c>
      <c r="F387" s="9" t="str">
        <f ca="1">+WORLDCUP!BD60</f>
        <v>Escocia</v>
      </c>
      <c r="G387" s="9" t="str">
        <f ca="1">+WORLDCUP!BD58</f>
        <v>República Checa</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Irán</v>
      </c>
      <c r="E388" s="9" t="str">
        <f ca="1">+WORLDCUP!BD59</f>
        <v>Canadá</v>
      </c>
      <c r="F388" s="9" t="str">
        <f ca="1">+WORLDCUP!BD60</f>
        <v>Escocia</v>
      </c>
      <c r="G388" s="9" t="str">
        <f ca="1">+WORLDCUP!BD58</f>
        <v>República Checa</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Irán</v>
      </c>
      <c r="E389" s="9" t="str">
        <f ca="1">+WORLDCUP!BD59</f>
        <v>Canadá</v>
      </c>
      <c r="F389" s="9" t="str">
        <f ca="1">+WORLDCUP!BD60</f>
        <v>Escocia</v>
      </c>
      <c r="G389" s="9" t="str">
        <f ca="1">+WORLDCUP!BD58</f>
        <v>República Checa</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Irán</v>
      </c>
      <c r="E390" s="9" t="str">
        <f ca="1">+WORLDCUP!BD59</f>
        <v>Canadá</v>
      </c>
      <c r="F390" s="9" t="str">
        <f ca="1">+WORLDCUP!BD60</f>
        <v>Escocia</v>
      </c>
      <c r="G390" s="9" t="str">
        <f ca="1">+WORLDCUP!BD58</f>
        <v>República Checa</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Irán</v>
      </c>
      <c r="E391" s="9" t="str">
        <f ca="1">+WORLDCUP!BD59</f>
        <v>Canadá</v>
      </c>
      <c r="F391" s="9" t="str">
        <f ca="1">+WORLDCUP!BD60</f>
        <v>Escocia</v>
      </c>
      <c r="G391" s="9" t="str">
        <f ca="1">+WORLDCUP!BD58</f>
        <v>República Checa</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Costa de Marfil</v>
      </c>
      <c r="D392" s="9" t="str">
        <f ca="1">+WORLDCUP!BD67</f>
        <v>Argelia</v>
      </c>
      <c r="E392" s="9" t="str">
        <f ca="1">+WORLDCUP!BD59</f>
        <v>Canadá</v>
      </c>
      <c r="F392" s="9" t="str">
        <f ca="1">+WORLDCUP!BD58</f>
        <v>República Checa</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Costa de Marfil</v>
      </c>
      <c r="D393" s="9" t="str">
        <f ca="1">+WORLDCUP!BD67</f>
        <v>Argelia</v>
      </c>
      <c r="E393" s="9" t="str">
        <f ca="1">+WORLDCUP!BD59</f>
        <v>Canadá</v>
      </c>
      <c r="F393" s="9" t="str">
        <f ca="1">+WORLDCUP!BD60</f>
        <v>Escocia</v>
      </c>
      <c r="G393" s="9" t="str">
        <f ca="1">+WORLDCUP!BD58</f>
        <v>República Checa</v>
      </c>
      <c r="H393" s="9" t="str">
        <f ca="1">+WORLDCUP!BD65</f>
        <v>Arabia Saudita</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Costa de Marfil</v>
      </c>
      <c r="D394" s="9" t="str">
        <f ca="1">+WORLDCUP!BD66</f>
        <v>Senegal</v>
      </c>
      <c r="E394" s="9" t="str">
        <f ca="1">+WORLDCUP!BD59</f>
        <v>Canadá</v>
      </c>
      <c r="F394" s="9" t="str">
        <f ca="1">+WORLDCUP!BD60</f>
        <v>Escocia</v>
      </c>
      <c r="G394" s="9" t="str">
        <f ca="1">+WORLDCUP!BD58</f>
        <v>República Checa</v>
      </c>
      <c r="H394" s="9" t="str">
        <f ca="1">+WORLDCUP!BD65</f>
        <v>Arabia Saudita</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Costa de Marfil</v>
      </c>
      <c r="D395" s="9" t="str">
        <f ca="1">+WORLDCUP!BD67</f>
        <v>Argelia</v>
      </c>
      <c r="E395" s="9" t="str">
        <f ca="1">+WORLDCUP!BD59</f>
        <v>Canadá</v>
      </c>
      <c r="F395" s="9" t="str">
        <f ca="1">+WORLDCUP!BD60</f>
        <v>Escocia</v>
      </c>
      <c r="G395" s="9" t="str">
        <f ca="1">+WORLDCUP!BD58</f>
        <v>República Checa</v>
      </c>
      <c r="H395" s="9" t="str">
        <f ca="1">+WORLDCUP!BD65</f>
        <v>Arabia Saudita</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Costa de Marfil</v>
      </c>
      <c r="D396" s="9" t="str">
        <f ca="1">+WORLDCUP!BD67</f>
        <v>Argelia</v>
      </c>
      <c r="E396" s="9" t="str">
        <f ca="1">+WORLDCUP!BD59</f>
        <v>Canadá</v>
      </c>
      <c r="F396" s="9" t="str">
        <f ca="1">+WORLDCUP!BD60</f>
        <v>Escocia</v>
      </c>
      <c r="G396" s="9" t="str">
        <f ca="1">+WORLDCUP!BD58</f>
        <v>República Checa</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Costa de Marfil</v>
      </c>
      <c r="D397" s="9" t="str">
        <f ca="1">+WORLDCUP!BD67</f>
        <v>Argelia</v>
      </c>
      <c r="E397" s="9" t="str">
        <f ca="1">+WORLDCUP!BD59</f>
        <v>Canadá</v>
      </c>
      <c r="F397" s="9" t="str">
        <f ca="1">+WORLDCUP!BD60</f>
        <v>Escocia</v>
      </c>
      <c r="G397" s="9" t="str">
        <f ca="1">+WORLDCUP!BD58</f>
        <v>República Checa</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Costa de Marfil</v>
      </c>
      <c r="D398" s="9" t="str">
        <f ca="1">+WORLDCUP!BD64</f>
        <v>Irán</v>
      </c>
      <c r="E398" s="9" t="str">
        <f ca="1">+WORLDCUP!BD59</f>
        <v>Canadá</v>
      </c>
      <c r="F398" s="9" t="str">
        <f ca="1">+WORLDCUP!BD58</f>
        <v>República Checa</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Costa de Marfil</v>
      </c>
      <c r="D399" s="9" t="str">
        <f ca="1">+WORLDCUP!BD67</f>
        <v>Argelia</v>
      </c>
      <c r="E399" s="9" t="str">
        <f ca="1">+WORLDCUP!BD59</f>
        <v>Canadá</v>
      </c>
      <c r="F399" s="9" t="str">
        <f ca="1">+WORLDCUP!BD60</f>
        <v>Escocia</v>
      </c>
      <c r="G399" s="9" t="str">
        <f ca="1">+WORLDCUP!BD58</f>
        <v>República Checa</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Costa de Marfil</v>
      </c>
      <c r="D400" s="9" t="str">
        <f ca="1">+WORLDCUP!BD67</f>
        <v>Argelia</v>
      </c>
      <c r="E400" s="9" t="str">
        <f ca="1">+WORLDCUP!BD59</f>
        <v>Canadá</v>
      </c>
      <c r="F400" s="9" t="str">
        <f ca="1">+WORLDCUP!BD60</f>
        <v>Escocia</v>
      </c>
      <c r="G400" s="9" t="str">
        <f ca="1">+WORLDCUP!BD58</f>
        <v>República Checa</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Costa de Marfil</v>
      </c>
      <c r="D401" s="9" t="str">
        <f ca="1">+WORLDCUP!BD64</f>
        <v>Irán</v>
      </c>
      <c r="E401" s="9" t="str">
        <f ca="1">+WORLDCUP!BD59</f>
        <v>Canadá</v>
      </c>
      <c r="F401" s="9" t="str">
        <f ca="1">+WORLDCUP!BD60</f>
        <v>Escocia</v>
      </c>
      <c r="G401" s="9" t="str">
        <f ca="1">+WORLDCUP!BD58</f>
        <v>República Checa</v>
      </c>
      <c r="H401" s="9" t="str">
        <f ca="1">+WORLDCUP!BD65</f>
        <v>Arabia Saudita</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Canadá</v>
      </c>
      <c r="F402" s="9" t="str">
        <f ca="1">+WORLDCUP!BD60</f>
        <v>Escocia</v>
      </c>
      <c r="G402" s="9" t="str">
        <f ca="1">+WORLDCUP!BD58</f>
        <v>República Checa</v>
      </c>
      <c r="H402" s="9" t="str">
        <f ca="1">+WORLDCUP!BD64</f>
        <v>Irán</v>
      </c>
      <c r="I402" s="9" t="str">
        <f ca="1">+WORLDCUP!BD69</f>
        <v>Ghana</v>
      </c>
      <c r="J402" s="9" t="str">
        <f ca="1">+WORLDCUP!BD62</f>
        <v>Costa de Marfil</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Canadá</v>
      </c>
      <c r="F403" s="9" t="str">
        <f ca="1">+WORLDCUP!BD60</f>
        <v>Escocia</v>
      </c>
      <c r="G403" s="9" t="str">
        <f ca="1">+WORLDCUP!BD58</f>
        <v>República Checa</v>
      </c>
      <c r="H403" s="9" t="str">
        <f ca="1">+WORLDCUP!BD64</f>
        <v>Irán</v>
      </c>
      <c r="I403" s="9" t="str">
        <f ca="1">+WORLDCUP!BD62</f>
        <v>Costa de Marfil</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Costa de Marfil</v>
      </c>
      <c r="D404" s="9" t="str">
        <f ca="1">+WORLDCUP!BD64</f>
        <v>Irán</v>
      </c>
      <c r="E404" s="9" t="str">
        <f ca="1">+WORLDCUP!BD59</f>
        <v>Canadá</v>
      </c>
      <c r="F404" s="9" t="str">
        <f ca="1">+WORLDCUP!BD60</f>
        <v>Escocia</v>
      </c>
      <c r="G404" s="9" t="str">
        <f ca="1">+WORLDCUP!BD58</f>
        <v>República Checa</v>
      </c>
      <c r="H404" s="9" t="str">
        <f ca="1">+WORLDCUP!BD65</f>
        <v>Arabia Saudita</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Costa de Marfil</v>
      </c>
      <c r="D405" s="9" t="str">
        <f ca="1">+WORLDCUP!BD64</f>
        <v>Irán</v>
      </c>
      <c r="E405" s="9" t="str">
        <f ca="1">+WORLDCUP!BD59</f>
        <v>Canadá</v>
      </c>
      <c r="F405" s="9" t="str">
        <f ca="1">+WORLDCUP!BD60</f>
        <v>Escocia</v>
      </c>
      <c r="G405" s="9" t="str">
        <f ca="1">+WORLDCUP!BD58</f>
        <v>República Checa</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Canadá</v>
      </c>
      <c r="F406" s="9" t="str">
        <f ca="1">+WORLDCUP!BD60</f>
        <v>Escocia</v>
      </c>
      <c r="G406" s="9" t="str">
        <f ca="1">+WORLDCUP!BD58</f>
        <v>República Checa</v>
      </c>
      <c r="H406" s="9" t="str">
        <f ca="1">+WORLDCUP!BD64</f>
        <v>Irán</v>
      </c>
      <c r="I406" s="9" t="str">
        <f ca="1">+WORLDCUP!BD62</f>
        <v>Costa de Marfil</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Costa de Marfil</v>
      </c>
      <c r="D407" s="9" t="str">
        <f ca="1">+WORLDCUP!BD67</f>
        <v>Argelia</v>
      </c>
      <c r="E407" s="9" t="str">
        <f ca="1">+WORLDCUP!BD59</f>
        <v>Canadá</v>
      </c>
      <c r="F407" s="9" t="str">
        <f ca="1">+WORLDCUP!BD60</f>
        <v>Escocia</v>
      </c>
      <c r="G407" s="9" t="str">
        <f ca="1">+WORLDCUP!BD58</f>
        <v>República Checa</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Costa de Marfil</v>
      </c>
      <c r="D408" s="9" t="str">
        <f ca="1">+WORLDCUP!BD66</f>
        <v>Senegal</v>
      </c>
      <c r="E408" s="9" t="str">
        <f ca="1">+WORLDCUP!BD59</f>
        <v>Canadá</v>
      </c>
      <c r="F408" s="9" t="str">
        <f ca="1">+WORLDCUP!BD60</f>
        <v>Escocia</v>
      </c>
      <c r="G408" s="9" t="str">
        <f ca="1">+WORLDCUP!BD58</f>
        <v>República Checa</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Costa de Marfil</v>
      </c>
      <c r="D409" s="9" t="str">
        <f ca="1">+WORLDCUP!BD67</f>
        <v>Argelia</v>
      </c>
      <c r="E409" s="9" t="str">
        <f ca="1">+WORLDCUP!BD59</f>
        <v>Canadá</v>
      </c>
      <c r="F409" s="9" t="str">
        <f ca="1">+WORLDCUP!BD60</f>
        <v>Escocia</v>
      </c>
      <c r="G409" s="9" t="str">
        <f ca="1">+WORLDCUP!BD58</f>
        <v>República Checa</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Costa de Marfil</v>
      </c>
      <c r="D410" s="9" t="str">
        <f ca="1">+WORLDCUP!BD67</f>
        <v>Argelia</v>
      </c>
      <c r="E410" s="9" t="str">
        <f ca="1">+WORLDCUP!BD59</f>
        <v>Canadá</v>
      </c>
      <c r="F410" s="9" t="str">
        <f ca="1">+WORLDCUP!BD60</f>
        <v>Escocia</v>
      </c>
      <c r="G410" s="9" t="str">
        <f ca="1">+WORLDCUP!BD58</f>
        <v>República Checa</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Costa de Marfil</v>
      </c>
      <c r="E411" s="9" t="str">
        <f ca="1">+WORLDCUP!BD59</f>
        <v>Canadá</v>
      </c>
      <c r="F411" s="9" t="str">
        <f ca="1">+WORLDCUP!BD60</f>
        <v>Escocia</v>
      </c>
      <c r="G411" s="9" t="str">
        <f ca="1">+WORLDCUP!BD58</f>
        <v>República Checa</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Canadá</v>
      </c>
      <c r="F412" s="9" t="str">
        <f ca="1">+WORLDCUP!BD60</f>
        <v>Escocia</v>
      </c>
      <c r="G412" s="9" t="str">
        <f ca="1">+WORLDCUP!BD58</f>
        <v>República Checa</v>
      </c>
      <c r="H412" s="9" t="str">
        <f ca="1">+WORLDCUP!BD63</f>
        <v>Suecia</v>
      </c>
      <c r="I412" s="9" t="str">
        <f ca="1">+WORLDCUP!BD69</f>
        <v>Ghana</v>
      </c>
      <c r="J412" s="9" t="str">
        <f ca="1">+WORLDCUP!BD62</f>
        <v>Costa de Marfil</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Canadá</v>
      </c>
      <c r="F413" s="9" t="str">
        <f ca="1">+WORLDCUP!BD60</f>
        <v>Escocia</v>
      </c>
      <c r="G413" s="9" t="str">
        <f ca="1">+WORLDCUP!BD58</f>
        <v>República Checa</v>
      </c>
      <c r="H413" s="9" t="str">
        <f ca="1">+WORLDCUP!BD63</f>
        <v>Suecia</v>
      </c>
      <c r="I413" s="9" t="str">
        <f ca="1">+WORLDCUP!BD62</f>
        <v>Costa de Marfil</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Costa de Marfil</v>
      </c>
      <c r="E414" s="9" t="str">
        <f ca="1">+WORLDCUP!BD59</f>
        <v>Canadá</v>
      </c>
      <c r="F414" s="9" t="str">
        <f ca="1">+WORLDCUP!BD60</f>
        <v>Escocia</v>
      </c>
      <c r="G414" s="9" t="str">
        <f ca="1">+WORLDCUP!BD58</f>
        <v>República Checa</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Costa de Marfil</v>
      </c>
      <c r="E415" s="9" t="str">
        <f ca="1">+WORLDCUP!BD59</f>
        <v>Canadá</v>
      </c>
      <c r="F415" s="9" t="str">
        <f ca="1">+WORLDCUP!BD60</f>
        <v>Escocia</v>
      </c>
      <c r="G415" s="9" t="str">
        <f ca="1">+WORLDCUP!BD58</f>
        <v>República Checa</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Canadá</v>
      </c>
      <c r="F416" s="9" t="str">
        <f ca="1">+WORLDCUP!BD60</f>
        <v>Escocia</v>
      </c>
      <c r="G416" s="9" t="str">
        <f ca="1">+WORLDCUP!BD58</f>
        <v>República Checa</v>
      </c>
      <c r="H416" s="9" t="str">
        <f ca="1">+WORLDCUP!BD63</f>
        <v>Suecia</v>
      </c>
      <c r="I416" s="9" t="str">
        <f ca="1">+WORLDCUP!BD62</f>
        <v>Costa de Marfil</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Costa de Marfil</v>
      </c>
      <c r="D417" s="9" t="str">
        <f ca="1">+WORLDCUP!BD64</f>
        <v>Irán</v>
      </c>
      <c r="E417" s="9" t="str">
        <f ca="1">+WORLDCUP!BD59</f>
        <v>Canadá</v>
      </c>
      <c r="F417" s="9" t="str">
        <f ca="1">+WORLDCUP!BD60</f>
        <v>Escocia</v>
      </c>
      <c r="G417" s="9" t="str">
        <f ca="1">+WORLDCUP!BD58</f>
        <v>República Checa</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Costa de Marfil</v>
      </c>
      <c r="D418" s="9" t="str">
        <f ca="1">+WORLDCUP!BD64</f>
        <v>Irán</v>
      </c>
      <c r="E418" s="9" t="str">
        <f ca="1">+WORLDCUP!BD59</f>
        <v>Canadá</v>
      </c>
      <c r="F418" s="9" t="str">
        <f ca="1">+WORLDCUP!BD60</f>
        <v>Escocia</v>
      </c>
      <c r="G418" s="9" t="str">
        <f ca="1">+WORLDCUP!BD58</f>
        <v>República Checa</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Costa de Marfil</v>
      </c>
      <c r="D419" s="9" t="str">
        <f ca="1">+WORLDCUP!BD64</f>
        <v>Irán</v>
      </c>
      <c r="E419" s="9" t="str">
        <f ca="1">+WORLDCUP!BD59</f>
        <v>Canadá</v>
      </c>
      <c r="F419" s="9" t="str">
        <f ca="1">+WORLDCUP!BD60</f>
        <v>Escocia</v>
      </c>
      <c r="G419" s="9" t="str">
        <f ca="1">+WORLDCUP!BD58</f>
        <v>República Checa</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Costa de Marfil</v>
      </c>
      <c r="D420" s="9" t="str">
        <f ca="1">+WORLDCUP!BD64</f>
        <v>Irán</v>
      </c>
      <c r="E420" s="9" t="str">
        <f ca="1">+WORLDCUP!BD59</f>
        <v>Canadá</v>
      </c>
      <c r="F420" s="9" t="str">
        <f ca="1">+WORLDCUP!BD60</f>
        <v>Escocia</v>
      </c>
      <c r="G420" s="9" t="str">
        <f ca="1">+WORLDCUP!BD58</f>
        <v>República Checa</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Costa de Marfil</v>
      </c>
      <c r="D421" s="9" t="str">
        <f ca="1">+WORLDCUP!BD64</f>
        <v>Irán</v>
      </c>
      <c r="E421" s="9" t="str">
        <f ca="1">+WORLDCUP!BD59</f>
        <v>Canadá</v>
      </c>
      <c r="F421" s="9" t="str">
        <f ca="1">+WORLDCUP!BD60</f>
        <v>Escocia</v>
      </c>
      <c r="G421" s="9" t="str">
        <f ca="1">+WORLDCUP!BD58</f>
        <v>República Checa</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Costa de Marfil</v>
      </c>
      <c r="D422" s="9" t="str">
        <f ca="1">+WORLDCUP!BD64</f>
        <v>Irán</v>
      </c>
      <c r="E422" s="9" t="str">
        <f ca="1">+WORLDCUP!BD59</f>
        <v>Canadá</v>
      </c>
      <c r="F422" s="9" t="str">
        <f ca="1">+WORLDCUP!BD60</f>
        <v>Escocia</v>
      </c>
      <c r="G422" s="9" t="str">
        <f ca="1">+WORLDCUP!BD58</f>
        <v>República Checa</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Irán</v>
      </c>
      <c r="E423" s="9" t="str">
        <f ca="1">+WORLDCUP!BD59</f>
        <v>Canadá</v>
      </c>
      <c r="F423" s="9" t="str">
        <f ca="1">+WORLDCUP!BD60</f>
        <v>Escocia</v>
      </c>
      <c r="G423" s="9" t="str">
        <f ca="1">+WORLDCUP!BD58</f>
        <v>República Checa</v>
      </c>
      <c r="H423" s="9" t="str">
        <f ca="1">+WORLDCUP!BD63</f>
        <v>Suecia</v>
      </c>
      <c r="I423" s="9" t="str">
        <f ca="1">+WORLDCUP!BD69</f>
        <v>Ghana</v>
      </c>
      <c r="J423" s="9" t="str">
        <f ca="1">+WORLDCUP!BD62</f>
        <v>Costa de Marfil</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Irán</v>
      </c>
      <c r="E424" s="9" t="str">
        <f ca="1">+WORLDCUP!BD59</f>
        <v>Canadá</v>
      </c>
      <c r="F424" s="9" t="str">
        <f ca="1">+WORLDCUP!BD60</f>
        <v>Escocia</v>
      </c>
      <c r="G424" s="9" t="str">
        <f ca="1">+WORLDCUP!BD58</f>
        <v>República Checa</v>
      </c>
      <c r="H424" s="9" t="str">
        <f ca="1">+WORLDCUP!BD63</f>
        <v>Suecia</v>
      </c>
      <c r="I424" s="9" t="str">
        <f ca="1">+WORLDCUP!BD62</f>
        <v>Costa de Marfil</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Irán</v>
      </c>
      <c r="E425" s="9" t="str">
        <f ca="1">+WORLDCUP!BD59</f>
        <v>Canadá</v>
      </c>
      <c r="F425" s="9" t="str">
        <f ca="1">+WORLDCUP!BD60</f>
        <v>Escocia</v>
      </c>
      <c r="G425" s="9" t="str">
        <f ca="1">+WORLDCUP!BD58</f>
        <v>República Checa</v>
      </c>
      <c r="H425" s="9" t="str">
        <f ca="1">+WORLDCUP!BD63</f>
        <v>Suecia</v>
      </c>
      <c r="I425" s="9" t="str">
        <f ca="1">+WORLDCUP!BD62</f>
        <v>Costa de Marfil</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Irán</v>
      </c>
      <c r="E426" s="9" t="str">
        <f ca="1">+WORLDCUP!BD59</f>
        <v>Canadá</v>
      </c>
      <c r="F426" s="9" t="str">
        <f ca="1">+WORLDCUP!BD60</f>
        <v>Escocia</v>
      </c>
      <c r="G426" s="9" t="str">
        <f ca="1">+WORLDCUP!BD58</f>
        <v>República Checa</v>
      </c>
      <c r="H426" s="9" t="str">
        <f ca="1">+WORLDCUP!BD63</f>
        <v>Suecia</v>
      </c>
      <c r="I426" s="9" t="str">
        <f ca="1">+WORLDCUP!BD62</f>
        <v>Costa de Marfil</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Canadá</v>
      </c>
      <c r="F427" s="9" t="str">
        <f ca="1">+WORLDCUP!BD60</f>
        <v>Escocia</v>
      </c>
      <c r="G427" s="9" t="str">
        <f ca="1">+WORLDCUP!BD58</f>
        <v>República Checa</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Canadá</v>
      </c>
      <c r="F428" s="9" t="str">
        <f ca="1">+WORLDCUP!BD60</f>
        <v>Escocia</v>
      </c>
      <c r="G428" s="9" t="str">
        <f ca="1">+WORLDCUP!BD58</f>
        <v>República Checa</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Canadá</v>
      </c>
      <c r="F429" s="9" t="str">
        <f ca="1">+WORLDCUP!BD60</f>
        <v>Escocia</v>
      </c>
      <c r="G429" s="9" t="str">
        <f ca="1">+WORLDCUP!BD58</f>
        <v>República Checa</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Canadá</v>
      </c>
      <c r="F430" s="9" t="str">
        <f ca="1">+WORLDCUP!BD60</f>
        <v>Escocia</v>
      </c>
      <c r="G430" s="9" t="str">
        <f ca="1">+WORLDCUP!BD58</f>
        <v>República Checa</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Canadá</v>
      </c>
      <c r="F431" s="9" t="str">
        <f ca="1">+WORLDCUP!BD60</f>
        <v>Escocia</v>
      </c>
      <c r="G431" s="9" t="str">
        <f ca="1">+WORLDCUP!BD58</f>
        <v>República Checa</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Canadá</v>
      </c>
      <c r="F432" s="9" t="str">
        <f ca="1">+WORLDCUP!BD61</f>
        <v>Paraguay</v>
      </c>
      <c r="G432" s="9" t="str">
        <f ca="1">+WORLDCUP!BD58</f>
        <v>República Checa</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Irán</v>
      </c>
      <c r="E433" s="9" t="str">
        <f ca="1">+WORLDCUP!BD59</f>
        <v>Canadá</v>
      </c>
      <c r="F433" s="9" t="str">
        <f ca="1">+WORLDCUP!BD60</f>
        <v>Escocia</v>
      </c>
      <c r="G433" s="9" t="str">
        <f ca="1">+WORLDCUP!BD58</f>
        <v>República Checa</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Canadá</v>
      </c>
      <c r="F434" s="9" t="str">
        <f ca="1">+WORLDCUP!BD61</f>
        <v>Paraguay</v>
      </c>
      <c r="G434" s="9" t="str">
        <f ca="1">+WORLDCUP!BD58</f>
        <v>República Checa</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Canadá</v>
      </c>
      <c r="F435" s="9" t="str">
        <f ca="1">+WORLDCUP!BD61</f>
        <v>Paraguay</v>
      </c>
      <c r="G435" s="9" t="str">
        <f ca="1">+WORLDCUP!BD58</f>
        <v>República Checa</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Irán</v>
      </c>
      <c r="E436" s="9" t="str">
        <f ca="1">+WORLDCUP!BD59</f>
        <v>Canadá</v>
      </c>
      <c r="F436" s="9" t="str">
        <f ca="1">+WORLDCUP!BD60</f>
        <v>Escocia</v>
      </c>
      <c r="G436" s="9" t="str">
        <f ca="1">+WORLDCUP!BD58</f>
        <v>República Checa</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Irán</v>
      </c>
      <c r="E437" s="9" t="str">
        <f ca="1">+WORLDCUP!BD59</f>
        <v>Canadá</v>
      </c>
      <c r="F437" s="9" t="str">
        <f ca="1">+WORLDCUP!BD60</f>
        <v>Escocia</v>
      </c>
      <c r="G437" s="9" t="str">
        <f ca="1">+WORLDCUP!BD58</f>
        <v>República Checa</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Irán</v>
      </c>
      <c r="E438" s="9" t="str">
        <f ca="1">+WORLDCUP!BD59</f>
        <v>Canadá</v>
      </c>
      <c r="F438" s="9" t="str">
        <f ca="1">+WORLDCUP!BD60</f>
        <v>Escocia</v>
      </c>
      <c r="G438" s="9" t="str">
        <f ca="1">+WORLDCUP!BD58</f>
        <v>República Checa</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Irán</v>
      </c>
      <c r="E439" s="9" t="str">
        <f ca="1">+WORLDCUP!BD59</f>
        <v>Canadá</v>
      </c>
      <c r="F439" s="9" t="str">
        <f ca="1">+WORLDCUP!BD60</f>
        <v>Escocia</v>
      </c>
      <c r="G439" s="9" t="str">
        <f ca="1">+WORLDCUP!BD58</f>
        <v>República Checa</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Irán</v>
      </c>
      <c r="E440" s="9" t="str">
        <f ca="1">+WORLDCUP!BD59</f>
        <v>Canadá</v>
      </c>
      <c r="F440" s="9" t="str">
        <f ca="1">+WORLDCUP!BD60</f>
        <v>Escocia</v>
      </c>
      <c r="G440" s="9" t="str">
        <f ca="1">+WORLDCUP!BD58</f>
        <v>República Checa</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Irán</v>
      </c>
      <c r="E441" s="9" t="str">
        <f ca="1">+WORLDCUP!BD59</f>
        <v>Canadá</v>
      </c>
      <c r="F441" s="9" t="str">
        <f ca="1">+WORLDCUP!BD60</f>
        <v>Escocia</v>
      </c>
      <c r="G441" s="9" t="str">
        <f ca="1">+WORLDCUP!BD58</f>
        <v>República Checa</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Canadá</v>
      </c>
      <c r="F442" s="9" t="str">
        <f ca="1">+WORLDCUP!BD61</f>
        <v>Paraguay</v>
      </c>
      <c r="G442" s="9" t="str">
        <f ca="1">+WORLDCUP!BD58</f>
        <v>República Checa</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Canadá</v>
      </c>
      <c r="F443" s="9" t="str">
        <f ca="1">+WORLDCUP!BD61</f>
        <v>Paraguay</v>
      </c>
      <c r="G443" s="9" t="str">
        <f ca="1">+WORLDCUP!BD58</f>
        <v>República Checa</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Canadá</v>
      </c>
      <c r="F444" s="9" t="str">
        <f ca="1">+WORLDCUP!BD61</f>
        <v>Paraguay</v>
      </c>
      <c r="G444" s="9" t="str">
        <f ca="1">+WORLDCUP!BD58</f>
        <v>República Checa</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Canadá</v>
      </c>
      <c r="F445" s="9" t="str">
        <f ca="1">+WORLDCUP!BD61</f>
        <v>Paraguay</v>
      </c>
      <c r="G445" s="9" t="str">
        <f ca="1">+WORLDCUP!BD58</f>
        <v>República Checa</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Canadá</v>
      </c>
      <c r="F446" s="9" t="str">
        <f ca="1">+WORLDCUP!BD60</f>
        <v>Escocia</v>
      </c>
      <c r="G446" s="9" t="str">
        <f ca="1">+WORLDCUP!BD58</f>
        <v>República Checa</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Canadá</v>
      </c>
      <c r="F447" s="9" t="str">
        <f ca="1">+WORLDCUP!BD61</f>
        <v>Paraguay</v>
      </c>
      <c r="G447" s="9" t="str">
        <f ca="1">+WORLDCUP!BD58</f>
        <v>República Checa</v>
      </c>
      <c r="H447" s="9" t="str">
        <f ca="1">+WORLDCUP!BD63</f>
        <v>Suecia</v>
      </c>
      <c r="I447" s="9" t="str">
        <f ca="1">+WORLDCUP!BD69</f>
        <v>Ghana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Canadá</v>
      </c>
      <c r="F448" s="9" t="str">
        <f ca="1">+WORLDCUP!BD60</f>
        <v>Escocia</v>
      </c>
      <c r="G448" s="9" t="str">
        <f ca="1">+WORLDCUP!BD58</f>
        <v>República Checa</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Canadá</v>
      </c>
      <c r="F449" s="9" t="str">
        <f ca="1">+WORLDCUP!BD60</f>
        <v>Escocia</v>
      </c>
      <c r="G449" s="9" t="str">
        <f ca="1">+WORLDCUP!BD58</f>
        <v>República Checa</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Canadá</v>
      </c>
      <c r="F450" s="9" t="str">
        <f ca="1">+WORLDCUP!BD60</f>
        <v>Escocia</v>
      </c>
      <c r="G450" s="9" t="str">
        <f ca="1">+WORLDCUP!BD58</f>
        <v>República Checa</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Canadá</v>
      </c>
      <c r="F451" s="9" t="str">
        <f ca="1">+WORLDCUP!BD60</f>
        <v>Escocia</v>
      </c>
      <c r="G451" s="9" t="str">
        <f ca="1">+WORLDCUP!BD58</f>
        <v>República Checa</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Irán</v>
      </c>
      <c r="E452" s="9" t="str">
        <f ca="1">+WORLDCUP!BD59</f>
        <v>Canadá</v>
      </c>
      <c r="F452" s="9" t="str">
        <f ca="1">+WORLDCUP!BD61</f>
        <v>Paraguay</v>
      </c>
      <c r="G452" s="9" t="str">
        <f ca="1">+WORLDCUP!BD58</f>
        <v>República Checa</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Irán</v>
      </c>
      <c r="E453" s="9" t="str">
        <f ca="1">+WORLDCUP!BD59</f>
        <v>Canadá</v>
      </c>
      <c r="F453" s="9" t="str">
        <f ca="1">+WORLDCUP!BD61</f>
        <v>Paraguay</v>
      </c>
      <c r="G453" s="9" t="str">
        <f ca="1">+WORLDCUP!BD58</f>
        <v>República Checa</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Irán</v>
      </c>
      <c r="E454" s="9" t="str">
        <f ca="1">+WORLDCUP!BD59</f>
        <v>Canadá</v>
      </c>
      <c r="F454" s="9" t="str">
        <f ca="1">+WORLDCUP!BD61</f>
        <v>Paraguay</v>
      </c>
      <c r="G454" s="9" t="str">
        <f ca="1">+WORLDCUP!BD58</f>
        <v>República Checa</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Irán</v>
      </c>
      <c r="E455" s="9" t="str">
        <f ca="1">+WORLDCUP!BD59</f>
        <v>Canadá</v>
      </c>
      <c r="F455" s="9" t="str">
        <f ca="1">+WORLDCUP!BD61</f>
        <v>Paraguay</v>
      </c>
      <c r="G455" s="9" t="str">
        <f ca="1">+WORLDCUP!BD58</f>
        <v>República Checa</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Irán</v>
      </c>
      <c r="E456" s="9" t="str">
        <f ca="1">+WORLDCUP!BD59</f>
        <v>Canadá</v>
      </c>
      <c r="F456" s="9" t="str">
        <f ca="1">+WORLDCUP!BD61</f>
        <v>Paraguay</v>
      </c>
      <c r="G456" s="9" t="str">
        <f ca="1">+WORLDCUP!BD58</f>
        <v>República Checa</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Irán</v>
      </c>
      <c r="E457" s="9" t="str">
        <f ca="1">+WORLDCUP!BD59</f>
        <v>Canadá</v>
      </c>
      <c r="F457" s="9" t="str">
        <f ca="1">+WORLDCUP!BD61</f>
        <v>Paraguay</v>
      </c>
      <c r="G457" s="9" t="str">
        <f ca="1">+WORLDCUP!BD58</f>
        <v>República Checa</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Irán</v>
      </c>
      <c r="E458" s="9" t="str">
        <f ca="1">+WORLDCUP!BD59</f>
        <v>Canadá</v>
      </c>
      <c r="F458" s="9" t="str">
        <f ca="1">+WORLDCUP!BD61</f>
        <v>Paraguay</v>
      </c>
      <c r="G458" s="9" t="str">
        <f ca="1">+WORLDCUP!BD58</f>
        <v>República Checa</v>
      </c>
      <c r="H458" s="9" t="str">
        <f ca="1">+WORLDCUP!BD63</f>
        <v>Suecia</v>
      </c>
      <c r="I458" s="9" t="str">
        <f ca="1">+WORLDCUP!BD69</f>
        <v>Ghana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Irán</v>
      </c>
      <c r="E459" s="9" t="str">
        <f ca="1">+WORLDCUP!BD59</f>
        <v>Canadá</v>
      </c>
      <c r="F459" s="9" t="str">
        <f ca="1">+WORLDCUP!BD60</f>
        <v>Escocia</v>
      </c>
      <c r="G459" s="9" t="str">
        <f ca="1">+WORLDCUP!BD58</f>
        <v>República Checa</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Irán</v>
      </c>
      <c r="E460" s="9" t="str">
        <f ca="1">+WORLDCUP!BD59</f>
        <v>Canadá</v>
      </c>
      <c r="F460" s="9" t="str">
        <f ca="1">+WORLDCUP!BD60</f>
        <v>Escocia</v>
      </c>
      <c r="G460" s="9" t="str">
        <f ca="1">+WORLDCUP!BD58</f>
        <v>República Checa</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Irán</v>
      </c>
      <c r="E461" s="9" t="str">
        <f ca="1">+WORLDCUP!BD59</f>
        <v>Canadá</v>
      </c>
      <c r="F461" s="9" t="str">
        <f ca="1">+WORLDCUP!BD60</f>
        <v>Escocia</v>
      </c>
      <c r="G461" s="9" t="str">
        <f ca="1">+WORLDCUP!BD58</f>
        <v>República Checa</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Costa de Marfil</v>
      </c>
      <c r="D462" s="9" t="str">
        <f ca="1">+WORLDCUP!BD67</f>
        <v>Argelia</v>
      </c>
      <c r="E462" s="9" t="str">
        <f ca="1">+WORLDCUP!BD59</f>
        <v>Canadá</v>
      </c>
      <c r="F462" s="9" t="str">
        <f ca="1">+WORLDCUP!BD60</f>
        <v>Escocia</v>
      </c>
      <c r="G462" s="9" t="str">
        <f ca="1">+WORLDCUP!BD58</f>
        <v>República Checa</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Costa de Marfil</v>
      </c>
      <c r="D463" s="9" t="str">
        <f ca="1">+WORLDCUP!BD66</f>
        <v>Senegal</v>
      </c>
      <c r="E463" s="9" t="str">
        <f ca="1">+WORLDCUP!BD59</f>
        <v>Canadá</v>
      </c>
      <c r="F463" s="9" t="str">
        <f ca="1">+WORLDCUP!BD60</f>
        <v>Escocia</v>
      </c>
      <c r="G463" s="9" t="str">
        <f ca="1">+WORLDCUP!BD58</f>
        <v>República Checa</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Costa de Marfil</v>
      </c>
      <c r="D464" s="9" t="str">
        <f ca="1">+WORLDCUP!BD67</f>
        <v>Argelia</v>
      </c>
      <c r="E464" s="9" t="str">
        <f ca="1">+WORLDCUP!BD59</f>
        <v>Canadá</v>
      </c>
      <c r="F464" s="9" t="str">
        <f ca="1">+WORLDCUP!BD60</f>
        <v>Escocia</v>
      </c>
      <c r="G464" s="9" t="str">
        <f ca="1">+WORLDCUP!BD58</f>
        <v>República Checa</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Costa de Marfil</v>
      </c>
      <c r="D465" s="9" t="str">
        <f ca="1">+WORLDCUP!BD67</f>
        <v>Argelia</v>
      </c>
      <c r="E465" s="9" t="str">
        <f ca="1">+WORLDCUP!BD59</f>
        <v>Canadá</v>
      </c>
      <c r="F465" s="9" t="str">
        <f ca="1">+WORLDCUP!BD60</f>
        <v>Escocia</v>
      </c>
      <c r="G465" s="9" t="str">
        <f ca="1">+WORLDCUP!BD58</f>
        <v>República Checa</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Costa de Marfil</v>
      </c>
      <c r="E466" s="9" t="str">
        <f ca="1">+WORLDCUP!BD59</f>
        <v>Canadá</v>
      </c>
      <c r="F466" s="9" t="str">
        <f ca="1">+WORLDCUP!BD60</f>
        <v>Escocia</v>
      </c>
      <c r="G466" s="9" t="str">
        <f ca="1">+WORLDCUP!BD58</f>
        <v>República Checa</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Canadá</v>
      </c>
      <c r="F467" s="9" t="str">
        <f ca="1">+WORLDCUP!BD60</f>
        <v>Escocia</v>
      </c>
      <c r="G467" s="9" t="str">
        <f ca="1">+WORLDCUP!BD58</f>
        <v>República Checa</v>
      </c>
      <c r="H467" s="9" t="str">
        <f ca="1">+WORLDCUP!BD61</f>
        <v>Paraguay</v>
      </c>
      <c r="I467" s="9" t="str">
        <f ca="1">+WORLDCUP!BD69</f>
        <v>Ghana</v>
      </c>
      <c r="J467" s="9" t="str">
        <f ca="1">+WORLDCUP!BD62</f>
        <v>Costa de Marfil</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Canadá</v>
      </c>
      <c r="F468" s="9" t="str">
        <f ca="1">+WORLDCUP!BD60</f>
        <v>Escocia</v>
      </c>
      <c r="G468" s="9" t="str">
        <f ca="1">+WORLDCUP!BD58</f>
        <v>República Checa</v>
      </c>
      <c r="H468" s="9" t="str">
        <f ca="1">+WORLDCUP!BD61</f>
        <v>Paraguay</v>
      </c>
      <c r="I468" s="9" t="str">
        <f ca="1">+WORLDCUP!BD62</f>
        <v>Costa de Marfil</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Costa de Marfil</v>
      </c>
      <c r="E469" s="9" t="str">
        <f ca="1">+WORLDCUP!BD59</f>
        <v>Canadá</v>
      </c>
      <c r="F469" s="9" t="str">
        <f ca="1">+WORLDCUP!BD60</f>
        <v>Escocia</v>
      </c>
      <c r="G469" s="9" t="str">
        <f ca="1">+WORLDCUP!BD58</f>
        <v>República Checa</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Costa de Marfil</v>
      </c>
      <c r="E470" s="9" t="str">
        <f ca="1">+WORLDCUP!BD59</f>
        <v>Canadá</v>
      </c>
      <c r="F470" s="9" t="str">
        <f ca="1">+WORLDCUP!BD60</f>
        <v>Escocia</v>
      </c>
      <c r="G470" s="9" t="str">
        <f ca="1">+WORLDCUP!BD58</f>
        <v>República Checa</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Canadá</v>
      </c>
      <c r="F471" s="9" t="str">
        <f ca="1">+WORLDCUP!BD60</f>
        <v>Escocia</v>
      </c>
      <c r="G471" s="9" t="str">
        <f ca="1">+WORLDCUP!BD58</f>
        <v>República Checa</v>
      </c>
      <c r="H471" s="9" t="str">
        <f ca="1">+WORLDCUP!BD61</f>
        <v>Paraguay</v>
      </c>
      <c r="I471" s="9" t="str">
        <f ca="1">+WORLDCUP!BD62</f>
        <v>Costa de Marfil</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Costa de Marfil</v>
      </c>
      <c r="D472" s="9" t="str">
        <f ca="1">+WORLDCUP!BD64</f>
        <v>Irán</v>
      </c>
      <c r="E472" s="9" t="str">
        <f ca="1">+WORLDCUP!BD59</f>
        <v>Canadá</v>
      </c>
      <c r="F472" s="9" t="str">
        <f ca="1">+WORLDCUP!BD60</f>
        <v>Escocia</v>
      </c>
      <c r="G472" s="9" t="str">
        <f ca="1">+WORLDCUP!BD58</f>
        <v>República Checa</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Costa de Marfil</v>
      </c>
      <c r="D473" s="9" t="str">
        <f ca="1">+WORLDCUP!BD64</f>
        <v>Irán</v>
      </c>
      <c r="E473" s="9" t="str">
        <f ca="1">+WORLDCUP!BD59</f>
        <v>Canadá</v>
      </c>
      <c r="F473" s="9" t="str">
        <f ca="1">+WORLDCUP!BD60</f>
        <v>Escocia</v>
      </c>
      <c r="G473" s="9" t="str">
        <f ca="1">+WORLDCUP!BD58</f>
        <v>República Checa</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Costa de Marfil</v>
      </c>
      <c r="D474" s="9" t="str">
        <f ca="1">+WORLDCUP!BD64</f>
        <v>Irán</v>
      </c>
      <c r="E474" s="9" t="str">
        <f ca="1">+WORLDCUP!BD59</f>
        <v>Canadá</v>
      </c>
      <c r="F474" s="9" t="str">
        <f ca="1">+WORLDCUP!BD60</f>
        <v>Escocia</v>
      </c>
      <c r="G474" s="9" t="str">
        <f ca="1">+WORLDCUP!BD58</f>
        <v>República Checa</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Costa de Marfil</v>
      </c>
      <c r="D475" s="9" t="str">
        <f ca="1">+WORLDCUP!BD64</f>
        <v>Irán</v>
      </c>
      <c r="E475" s="9" t="str">
        <f ca="1">+WORLDCUP!BD59</f>
        <v>Canadá</v>
      </c>
      <c r="F475" s="9" t="str">
        <f ca="1">+WORLDCUP!BD60</f>
        <v>Escocia</v>
      </c>
      <c r="G475" s="9" t="str">
        <f ca="1">+WORLDCUP!BD58</f>
        <v>República Checa</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Costa de Marfil</v>
      </c>
      <c r="D476" s="9" t="str">
        <f ca="1">+WORLDCUP!BD64</f>
        <v>Irán</v>
      </c>
      <c r="E476" s="9" t="str">
        <f ca="1">+WORLDCUP!BD59</f>
        <v>Canadá</v>
      </c>
      <c r="F476" s="9" t="str">
        <f ca="1">+WORLDCUP!BD60</f>
        <v>Escocia</v>
      </c>
      <c r="G476" s="9" t="str">
        <f ca="1">+WORLDCUP!BD58</f>
        <v>República Checa</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Costa de Marfil</v>
      </c>
      <c r="D477" s="9" t="str">
        <f ca="1">+WORLDCUP!BD64</f>
        <v>Irán</v>
      </c>
      <c r="E477" s="9" t="str">
        <f ca="1">+WORLDCUP!BD59</f>
        <v>Canadá</v>
      </c>
      <c r="F477" s="9" t="str">
        <f ca="1">+WORLDCUP!BD60</f>
        <v>Escocia</v>
      </c>
      <c r="G477" s="9" t="str">
        <f ca="1">+WORLDCUP!BD58</f>
        <v>República Checa</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Irán</v>
      </c>
      <c r="E478" s="9" t="str">
        <f ca="1">+WORLDCUP!BD59</f>
        <v>Canadá</v>
      </c>
      <c r="F478" s="9" t="str">
        <f ca="1">+WORLDCUP!BD60</f>
        <v>Escocia</v>
      </c>
      <c r="G478" s="9" t="str">
        <f ca="1">+WORLDCUP!BD58</f>
        <v>República Checa</v>
      </c>
      <c r="H478" s="9" t="str">
        <f ca="1">+WORLDCUP!BD61</f>
        <v>Paraguay</v>
      </c>
      <c r="I478" s="9" t="str">
        <f ca="1">+WORLDCUP!BD69</f>
        <v>Ghana</v>
      </c>
      <c r="J478" s="9" t="str">
        <f ca="1">+WORLDCUP!BD62</f>
        <v>Costa de Marfil</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Irán</v>
      </c>
      <c r="E479" s="9" t="str">
        <f ca="1">+WORLDCUP!BD59</f>
        <v>Canadá</v>
      </c>
      <c r="F479" s="9" t="str">
        <f ca="1">+WORLDCUP!BD60</f>
        <v>Escocia</v>
      </c>
      <c r="G479" s="9" t="str">
        <f ca="1">+WORLDCUP!BD58</f>
        <v>República Checa</v>
      </c>
      <c r="H479" s="9" t="str">
        <f ca="1">+WORLDCUP!BD61</f>
        <v>Paraguay</v>
      </c>
      <c r="I479" s="9" t="str">
        <f ca="1">+WORLDCUP!BD62</f>
        <v>Costa de Marfil</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Irán</v>
      </c>
      <c r="E480" s="9" t="str">
        <f ca="1">+WORLDCUP!BD59</f>
        <v>Canadá</v>
      </c>
      <c r="F480" s="9" t="str">
        <f ca="1">+WORLDCUP!BD60</f>
        <v>Escocia</v>
      </c>
      <c r="G480" s="9" t="str">
        <f ca="1">+WORLDCUP!BD58</f>
        <v>República Checa</v>
      </c>
      <c r="H480" s="9" t="str">
        <f ca="1">+WORLDCUP!BD61</f>
        <v>Paraguay</v>
      </c>
      <c r="I480" s="9" t="str">
        <f ca="1">+WORLDCUP!BD62</f>
        <v>Costa de Marfil</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Irán</v>
      </c>
      <c r="E481" s="9" t="str">
        <f ca="1">+WORLDCUP!BD59</f>
        <v>Canadá</v>
      </c>
      <c r="F481" s="9" t="str">
        <f ca="1">+WORLDCUP!BD60</f>
        <v>Escocia</v>
      </c>
      <c r="G481" s="9" t="str">
        <f ca="1">+WORLDCUP!BD58</f>
        <v>República Checa</v>
      </c>
      <c r="H481" s="9" t="str">
        <f ca="1">+WORLDCUP!BD61</f>
        <v>Paraguay</v>
      </c>
      <c r="I481" s="9" t="str">
        <f ca="1">+WORLDCUP!BD62</f>
        <v>Costa de Marfil</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Canadá</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Canadá</v>
      </c>
      <c r="F483" s="9" t="str">
        <f ca="1">+WORLDCUP!BD61</f>
        <v>Paraguay</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Canadá</v>
      </c>
      <c r="F484" s="9" t="str">
        <f ca="1">+WORLDCUP!BD61</f>
        <v>Paraguay</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Canadá</v>
      </c>
      <c r="F485" s="9" t="str">
        <f ca="1">+WORLDCUP!BD61</f>
        <v>Paraguay</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Canadá</v>
      </c>
      <c r="F486" s="9" t="str">
        <f ca="1">+WORLDCUP!BD61</f>
        <v>Paraguay</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Canadá</v>
      </c>
      <c r="F487" s="9" t="str">
        <f ca="1">+WORLDCUP!BD61</f>
        <v>Paraguay</v>
      </c>
      <c r="G487" s="9" t="str">
        <f ca="1">+WORLDCUP!BD58</f>
        <v>República Checa</v>
      </c>
      <c r="H487" s="9" t="str">
        <f ca="1">+WORLDCUP!BD63</f>
        <v>Suecia</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Canadá</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Canadá</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Canadá</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Canadá</v>
      </c>
      <c r="F491" s="9" t="str">
        <f ca="1">+WORLDCUP!BD60</f>
        <v>Escocia</v>
      </c>
      <c r="G491" s="9" t="str">
        <f ca="1">+WORLDCUP!BD58</f>
        <v>República Checa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Canadá</v>
      </c>
      <c r="F492" s="9" t="str">
        <f ca="1">+WORLDCUP!BD61</f>
        <v>Paraguay</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Canadá</v>
      </c>
      <c r="F493" s="9" t="str">
        <f ca="1">+WORLDCUP!BD61</f>
        <v>Paraguay</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Canadá</v>
      </c>
      <c r="F494" s="9" t="str">
        <f ca="1">+WORLDCUP!BD61</f>
        <v>Paraguay</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Canadá</v>
      </c>
      <c r="F495" s="9" t="str">
        <f ca="1">+WORLDCUP!BD61</f>
        <v>Paraguay</v>
      </c>
      <c r="G495" s="9" t="str">
        <f ca="1">+WORLDCUP!BD58</f>
        <v>República Checa</v>
      </c>
      <c r="H495" s="9" t="str">
        <f ca="1">+WORLDCUP!BD63</f>
        <v>Suecia</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Canadá</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82"/>
    <col min="23" max="24" width="10.77734375" style="582" hidden="1" customWidth="1"/>
    <col min="25" max="25" width="10.77734375" style="582"/>
    <col min="26" max="28" width="10.77734375" style="407"/>
    <col min="29" max="149" width="10.77734375" style="5"/>
    <col min="150" max="158" width="10.77734375" style="407"/>
    <col min="159" max="16384" width="10.777343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19.95"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19.95"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1.9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19.95"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1.9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19.95"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1.9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19.95"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1.9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19.95"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1.9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19.95"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0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8.0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049999999999997"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c r="L88" s="3"/>
      <c r="M88" s="3"/>
      <c r="N88" s="3"/>
      <c r="O88" s="6"/>
      <c r="P88" s="6"/>
      <c r="Q88" s="6"/>
      <c r="R88" s="6"/>
      <c r="T88" s="16" t="s">
        <v>1478</v>
      </c>
      <c r="U88" s="9" t="s">
        <v>1463</v>
      </c>
      <c r="V88" s="9" t="s">
        <v>1464</v>
      </c>
      <c r="W88" s="9" t="s">
        <v>1465</v>
      </c>
      <c r="X88" s="584" t="e" vm="3">
        <v>#VALUE!</v>
      </c>
      <c r="Y88" s="9">
        <v>4</v>
      </c>
      <c r="Z88" s="6"/>
      <c r="AA88" s="6"/>
      <c r="AB88" s="6"/>
    </row>
    <row r="89" spans="12:28" ht="15.6">
      <c r="L89" s="3"/>
      <c r="M89" s="3"/>
      <c r="N89" s="3"/>
      <c r="O89" s="6"/>
      <c r="P89" s="6"/>
      <c r="Q89" s="6"/>
      <c r="R89" s="6"/>
      <c r="T89" s="16" t="s">
        <v>1479</v>
      </c>
      <c r="U89" s="9" t="s">
        <v>1466</v>
      </c>
      <c r="V89" s="9" t="s">
        <v>1466</v>
      </c>
      <c r="W89" s="585" t="s">
        <v>1468</v>
      </c>
      <c r="X89" s="584" t="e" vm="4">
        <v>#VALUE!</v>
      </c>
      <c r="Y89" s="9">
        <v>-4</v>
      </c>
      <c r="Z89" s="6"/>
      <c r="AA89" s="6"/>
      <c r="AB89" s="6"/>
    </row>
    <row r="90" spans="12:28" ht="15.6">
      <c r="L90" s="3"/>
      <c r="M90" s="3"/>
      <c r="N90" s="3"/>
      <c r="O90" s="6"/>
      <c r="P90" s="6"/>
      <c r="Q90" s="6"/>
      <c r="R90" s="6"/>
      <c r="T90" s="16" t="s">
        <v>1480</v>
      </c>
      <c r="U90" s="9" t="s">
        <v>1467</v>
      </c>
      <c r="V90" s="9" t="s">
        <v>1470</v>
      </c>
      <c r="W90" s="586" t="s">
        <v>1469</v>
      </c>
      <c r="X90" s="584" t="e" vm="5">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05" customHeight="1">
      <c r="L92" s="3"/>
      <c r="M92" s="3"/>
      <c r="N92" s="409" t="s">
        <v>1458</v>
      </c>
      <c r="O92" s="409" t="s">
        <v>1459</v>
      </c>
      <c r="P92" s="409" t="s">
        <v>1493</v>
      </c>
      <c r="Q92" s="409" t="s">
        <v>1481</v>
      </c>
      <c r="R92" s="409" t="s">
        <v>1473</v>
      </c>
      <c r="Z92" s="6"/>
      <c r="AA92" s="6"/>
      <c r="AB92" s="6"/>
    </row>
    <row r="93" spans="12:28" ht="25.0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616" customWidth="1"/>
    <col min="15" max="16384" width="20.441406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2">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3">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4">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5">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7">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9">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40">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2">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3">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5">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6">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7">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8">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9">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50">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1">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2">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6">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6">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6">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6">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6">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6">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6">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6">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6">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6">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6">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6">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6">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6">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6">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6">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6">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6">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6">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6">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6">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6">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6">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6">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6">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6">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6">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6">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6">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6">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6">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6">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6">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6">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6">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6">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6">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6">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6">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6">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6">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Arturo Sánchez Rendón</cp:lastModifiedBy>
  <cp:lastPrinted>2018-12-06T18:06:35Z</cp:lastPrinted>
  <dcterms:created xsi:type="dcterms:W3CDTF">2015-10-31T09:41:54Z</dcterms:created>
  <dcterms:modified xsi:type="dcterms:W3CDTF">2026-06-11T15:00:31Z</dcterms:modified>
</cp:coreProperties>
</file>