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autoCompressPictures="0" defaultThemeVersion="124226"/>
  <mc:AlternateContent xmlns:mc="http://schemas.openxmlformats.org/markup-compatibility/2006">
    <mc:Choice Requires="x15">
      <x15ac:absPath xmlns:x15ac="http://schemas.microsoft.com/office/spreadsheetml/2010/11/ac" url="C:\Users\Evalua Mis finanzas\Downloads\"/>
    </mc:Choice>
  </mc:AlternateContent>
  <workbookProtection workbookAlgorithmName="SHA-512" workbookHashValue="euVKK6JtwcOAVu4oR0JOcV1GkEjxLs4TzOG8iZmiHb9wb3JVuooED0DIzwEbUFMnmXXVl4D4SFYWMZ4nz6gcww==" workbookSaltValue="ge1aTcoKNVg5XeEOejsgxw==" workbookSpinCount="100000" lockStructure="1"/>
  <bookViews>
    <workbookView xWindow="0" yWindow="0" windowWidth="21570" windowHeight="7995" tabRatio="749" activeTab="1"/>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62913"/>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F28" i="45" s="1"/>
  <c r="AA32" i="3"/>
  <c r="B60" i="31"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9" i="3" l="1"/>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120" i="32" l="1"/>
  <c r="X120" i="3" s="1"/>
  <c r="C33" i="32"/>
  <c r="X33" i="3" s="1"/>
  <c r="C9" i="32"/>
  <c r="X9" i="3" s="1"/>
  <c r="C38" i="32"/>
  <c r="Y38" i="3" s="1"/>
  <c r="C94" i="32"/>
  <c r="X94" i="3" s="1"/>
  <c r="C5" i="32"/>
  <c r="Y5" i="3" s="1"/>
  <c r="C93" i="32"/>
  <c r="Y93" i="3" s="1"/>
  <c r="C12" i="32"/>
  <c r="X12" i="3" s="1"/>
  <c r="C61" i="32"/>
  <c r="X61" i="3" s="1"/>
  <c r="C113" i="32"/>
  <c r="X113" i="3" s="1"/>
  <c r="C65" i="32"/>
  <c r="Y65" i="3" s="1"/>
  <c r="C106" i="32"/>
  <c r="Y106" i="3" s="1"/>
  <c r="C101" i="32"/>
  <c r="Y101" i="3" s="1"/>
  <c r="C28" i="32"/>
  <c r="X28" i="3" s="1"/>
  <c r="C21" i="32"/>
  <c r="X21" i="3" s="1"/>
  <c r="C20" i="32"/>
  <c r="Y20" i="3" s="1"/>
  <c r="C115" i="32"/>
  <c r="Y115" i="3" s="1"/>
  <c r="C116" i="32"/>
  <c r="X116" i="3" s="1"/>
  <c r="C60" i="32"/>
  <c r="Y60" i="3" s="1"/>
  <c r="C64" i="32"/>
  <c r="Y64" i="3" s="1"/>
  <c r="C139" i="32"/>
  <c r="X139" i="3" s="1"/>
  <c r="C31" i="32"/>
  <c r="Y31" i="3" s="1"/>
  <c r="C138" i="32"/>
  <c r="Y138" i="3" s="1"/>
  <c r="C81" i="32"/>
  <c r="X81" i="3" s="1"/>
  <c r="C134" i="32"/>
  <c r="Y134" i="3" s="1"/>
  <c r="C84" i="32"/>
  <c r="X84" i="3" s="1"/>
  <c r="C69" i="32"/>
  <c r="Y69" i="3" s="1"/>
  <c r="C55" i="32"/>
  <c r="Y55" i="3" s="1"/>
  <c r="C13" i="32"/>
  <c r="Y13" i="3" s="1"/>
  <c r="C16" i="32"/>
  <c r="X16" i="3" s="1"/>
  <c r="C92" i="32"/>
  <c r="X92" i="3" s="1"/>
  <c r="C45" i="32"/>
  <c r="X45" i="3" s="1"/>
  <c r="C103" i="32"/>
  <c r="X103" i="3" s="1"/>
  <c r="C110" i="32"/>
  <c r="X110" i="3" s="1"/>
  <c r="C95" i="32"/>
  <c r="X95" i="3" s="1"/>
  <c r="C108" i="32"/>
  <c r="Y108" i="3" s="1"/>
  <c r="C125" i="32"/>
  <c r="Y125" i="3" s="1"/>
  <c r="C41" i="32"/>
  <c r="X41" i="3" s="1"/>
  <c r="C88" i="32"/>
  <c r="X88" i="3" s="1"/>
  <c r="C54" i="32"/>
  <c r="Y54" i="3" s="1"/>
  <c r="C85" i="32"/>
  <c r="X85" i="3" s="1"/>
  <c r="C62" i="32"/>
  <c r="Y62" i="3" s="1"/>
  <c r="C23" i="32"/>
  <c r="X23" i="3" s="1"/>
  <c r="C78" i="32"/>
  <c r="Y78" i="3" s="1"/>
  <c r="C86" i="32"/>
  <c r="X86" i="3" s="1"/>
  <c r="C14" i="32"/>
  <c r="X14" i="3" s="1"/>
  <c r="C79" i="32"/>
  <c r="Y79" i="3" s="1"/>
  <c r="C17" i="32"/>
  <c r="X17" i="3" s="1"/>
  <c r="C25" i="32"/>
  <c r="X25" i="3" s="1"/>
  <c r="C56" i="32"/>
  <c r="X56" i="3" s="1"/>
  <c r="C53" i="32"/>
  <c r="Y53" i="3" s="1"/>
  <c r="C6" i="32"/>
  <c r="X6" i="3" s="1"/>
  <c r="C29" i="32"/>
  <c r="Y29" i="3" s="1"/>
  <c r="C105" i="32"/>
  <c r="X105" i="3" s="1"/>
  <c r="C49" i="32"/>
  <c r="X49" i="3" s="1"/>
  <c r="C7" i="32"/>
  <c r="X7" i="3" s="1"/>
  <c r="C143" i="32"/>
  <c r="X14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X115" i="3"/>
  <c r="Y76" i="3"/>
  <c r="X125" i="3"/>
  <c r="Y61" i="3"/>
  <c r="X65" i="3"/>
  <c r="Y143" i="3"/>
  <c r="Y133" i="3"/>
  <c r="Y9" i="3"/>
  <c r="X138" i="3"/>
  <c r="Y21" i="3"/>
  <c r="X101" i="3"/>
  <c r="Y94" i="3"/>
  <c r="Y85" i="3"/>
  <c r="X13" i="3"/>
  <c r="Y120" i="3"/>
  <c r="Y23" i="3"/>
  <c r="Y139" i="3"/>
  <c r="X93" i="3"/>
  <c r="X60" i="3"/>
  <c r="Y33" i="3"/>
  <c r="Y56" i="3" l="1"/>
  <c r="X5" i="3"/>
  <c r="Y16" i="3"/>
  <c r="X62" i="3"/>
  <c r="Y14" i="3"/>
  <c r="Y127" i="3"/>
  <c r="X131" i="3"/>
  <c r="X134" i="3"/>
  <c r="Y86" i="3"/>
  <c r="Y103" i="3"/>
  <c r="Y25" i="3"/>
  <c r="X29" i="3"/>
  <c r="X63" i="3"/>
  <c r="X54" i="3"/>
  <c r="X78" i="3"/>
  <c r="X48" i="3"/>
  <c r="X24" i="3"/>
  <c r="Y45" i="3"/>
  <c r="Y81" i="3"/>
  <c r="Y114" i="3"/>
  <c r="X20" i="3"/>
  <c r="Y6" i="3"/>
  <c r="X38" i="3"/>
  <c r="X108" i="3"/>
  <c r="Y84" i="3"/>
  <c r="X57" i="3"/>
  <c r="X47" i="3"/>
  <c r="Y113" i="3"/>
  <c r="Y121" i="3"/>
  <c r="Y116" i="3"/>
  <c r="Y105" i="3"/>
  <c r="Y41" i="3"/>
  <c r="Y110" i="3"/>
  <c r="Y22" i="3"/>
  <c r="Y28" i="3"/>
  <c r="X31" i="3"/>
  <c r="Y17" i="3"/>
  <c r="X55" i="3"/>
  <c r="Y104" i="3"/>
  <c r="Y12" i="3"/>
  <c r="X64" i="3"/>
  <c r="X106" i="3"/>
  <c r="Y7" i="3"/>
  <c r="Y92" i="3"/>
  <c r="Y49" i="3"/>
  <c r="X69" i="3"/>
  <c r="X44" i="3"/>
  <c r="X53" i="3"/>
  <c r="Y95" i="3"/>
  <c r="Y88" i="3"/>
  <c r="Y4" i="3"/>
  <c r="X79" i="3"/>
  <c r="X122" i="3"/>
  <c r="X123" i="3"/>
  <c r="X89" i="3"/>
  <c r="X68" i="3"/>
  <c r="X124"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8" i="3"/>
  <c r="F46" i="3"/>
  <c r="BW28" i="3"/>
  <c r="E45" i="3"/>
  <c r="BW29" i="3" s="1"/>
  <c r="F92" i="3"/>
  <c r="F95" i="3"/>
  <c r="BW53" i="3" s="1"/>
  <c r="E97" i="3"/>
  <c r="BV52" i="3" s="1"/>
  <c r="F81" i="3"/>
  <c r="E76" i="3"/>
  <c r="BW43" i="3" s="1"/>
  <c r="E78" i="3"/>
  <c r="BW44" i="3" s="1"/>
  <c r="E48" i="3"/>
  <c r="F44" i="3"/>
  <c r="F47" i="3"/>
  <c r="E38" i="3"/>
  <c r="BW22" i="3"/>
  <c r="F41" i="3"/>
  <c r="E36" i="3"/>
  <c r="E39" i="3"/>
  <c r="F37" i="3"/>
  <c r="BU24" i="3" s="1"/>
  <c r="E41" i="3"/>
  <c r="BW34" i="3"/>
  <c r="E62" i="3"/>
  <c r="E60" i="3"/>
  <c r="BW35" i="3" s="1"/>
  <c r="F65" i="3"/>
  <c r="BU37" i="3" s="1"/>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F71" i="3"/>
  <c r="E71" i="3"/>
  <c r="E72" i="3"/>
  <c r="F69" i="3"/>
  <c r="E55" i="3"/>
  <c r="E57" i="3"/>
  <c r="F55" i="3"/>
  <c r="BU33" i="3" s="1"/>
  <c r="BU31" i="3"/>
  <c r="F52" i="3"/>
  <c r="F25" i="3"/>
  <c r="E21" i="3"/>
  <c r="BU17" i="3" s="1"/>
  <c r="F23" i="3"/>
  <c r="E84" i="3"/>
  <c r="F88" i="3"/>
  <c r="E86" i="3"/>
  <c r="E17" i="3"/>
  <c r="F14" i="3"/>
  <c r="F12" i="3"/>
  <c r="E22" i="3"/>
  <c r="E24" i="3"/>
  <c r="F21" i="3"/>
  <c r="BU16" i="3" s="1"/>
  <c r="E29" i="3"/>
  <c r="BW21" i="3" s="1"/>
  <c r="F30" i="3"/>
  <c r="F33" i="3"/>
  <c r="BU19" i="3" s="1"/>
  <c r="BW45" i="3"/>
  <c r="BU45" i="3"/>
  <c r="E81" i="3"/>
  <c r="E79" i="3"/>
  <c r="F77" i="3"/>
  <c r="F61" i="3"/>
  <c r="E65" i="3"/>
  <c r="E63" i="3"/>
  <c r="E9" i="3"/>
  <c r="F4" i="3"/>
  <c r="F6" i="3"/>
  <c r="F79" i="3"/>
  <c r="E80" i="3"/>
  <c r="BU43" i="3"/>
  <c r="F76" i="3"/>
  <c r="BW42" i="3" s="1"/>
  <c r="F80" i="3"/>
  <c r="E77" i="3"/>
  <c r="F78" i="3"/>
  <c r="BU42" i="3" s="1"/>
  <c r="BU44" i="3"/>
  <c r="E61" i="3"/>
  <c r="F62" i="3"/>
  <c r="BU36" i="3"/>
  <c r="F64" i="3"/>
  <c r="F72" i="3"/>
  <c r="BU41" i="3" s="1"/>
  <c r="E68" i="3"/>
  <c r="BW38" i="3"/>
  <c r="BU38" i="3"/>
  <c r="E70" i="3"/>
  <c r="BW40" i="3" s="1"/>
  <c r="BW37" i="3" l="1"/>
  <c r="BU51" i="3"/>
  <c r="BU30" i="3"/>
  <c r="BW39" i="3"/>
  <c r="BU35" i="3"/>
  <c r="BW36" i="3"/>
  <c r="BU34" i="3"/>
  <c r="BU27" i="3"/>
  <c r="BW15" i="3"/>
  <c r="BW23" i="3"/>
  <c r="BW24" i="3"/>
  <c r="BU25" i="3"/>
  <c r="BU21" i="3"/>
  <c r="BV50" i="3"/>
  <c r="BV51" i="3"/>
  <c r="BV53" i="3"/>
  <c r="BV30" i="3"/>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V37" i="3"/>
  <c r="BX37" i="3" s="1"/>
  <c r="BV35" i="3"/>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X53" i="3"/>
  <c r="BV9" i="3"/>
  <c r="BV8" i="3"/>
  <c r="BV6" i="3"/>
  <c r="BW49" i="3"/>
  <c r="BW31" i="3"/>
  <c r="BW47" i="3"/>
  <c r="BX32" i="3"/>
  <c r="BX51" i="3" l="1"/>
  <c r="BX35" i="3"/>
  <c r="BX30" i="3"/>
  <c r="BX34"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0" i="3" s="1"/>
  <c r="BZ18" i="3"/>
  <c r="H30" i="3" s="1"/>
  <c r="BZ16" i="3"/>
  <c r="I25" i="3" s="1"/>
  <c r="BZ49" i="3"/>
  <c r="I85" i="3" s="1"/>
  <c r="BZ51" i="3"/>
  <c r="H97" i="3" s="1"/>
  <c r="BZ22" i="3"/>
  <c r="H38" i="3" s="1"/>
  <c r="BZ8" i="3"/>
  <c r="I7" i="3" s="1"/>
  <c r="BZ29" i="3"/>
  <c r="H49" i="3" s="1"/>
  <c r="BZ15" i="3"/>
  <c r="I22"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c r="I23" i="3"/>
  <c r="I24" i="3"/>
  <c r="H23" i="3"/>
  <c r="H6" i="3" l="1"/>
  <c r="H8" i="3"/>
  <c r="H78" i="3"/>
  <c r="I20" i="3"/>
  <c r="H25"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A6" i="3" l="1"/>
  <c r="CB53" i="3"/>
  <c r="CA45" i="3"/>
  <c r="CB45" i="3"/>
  <c r="CB46" i="3"/>
  <c r="CC46" i="3" s="1"/>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6"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93" i="3"/>
  <c r="L84" i="3"/>
  <c r="L87" i="3"/>
  <c r="K24" i="3" l="1"/>
  <c r="L97" i="3"/>
  <c r="K14" i="3"/>
  <c r="L13" i="3"/>
  <c r="K12" i="3"/>
  <c r="CF48" i="3"/>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35" i="3" l="1"/>
  <c r="CF30" i="3"/>
  <c r="CF3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K45" i="3" s="1"/>
  <c r="CH44" i="3"/>
  <c r="O80" i="3" s="1"/>
  <c r="CH34" i="3"/>
  <c r="N62" i="3" s="1"/>
  <c r="CH37" i="3"/>
  <c r="N63" i="3" s="1"/>
  <c r="CH16" i="3"/>
  <c r="N21" i="3" s="1"/>
  <c r="CH31" i="3"/>
  <c r="CI31"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H9" i="3"/>
  <c r="CH12" i="3"/>
  <c r="O17" i="3" s="1"/>
  <c r="CH19" i="3"/>
  <c r="O28" i="3" s="1"/>
  <c r="CH26" i="3"/>
  <c r="CI26" i="3" s="1"/>
  <c r="CH40" i="3"/>
  <c r="CH11" i="3"/>
  <c r="O12" i="3" s="1"/>
  <c r="CH14" i="3"/>
  <c r="CH13" i="3"/>
  <c r="O13" i="3" s="1"/>
  <c r="O94" i="3"/>
  <c r="N56" i="3"/>
  <c r="CI36" i="3"/>
  <c r="N61" i="3"/>
  <c r="O64" i="3"/>
  <c r="N96" i="3"/>
  <c r="O97" i="3"/>
  <c r="N95" i="3"/>
  <c r="O44" i="3" l="1"/>
  <c r="O47" i="3"/>
  <c r="O93" i="3"/>
  <c r="CK36" i="3"/>
  <c r="O95" i="3"/>
  <c r="N79" i="3"/>
  <c r="CK40" i="3"/>
  <c r="CI51" i="3"/>
  <c r="N29" i="3"/>
  <c r="CJ50" i="3"/>
  <c r="CI9" i="3"/>
  <c r="O55" i="3"/>
  <c r="O33" i="3"/>
  <c r="CJ19" i="3" s="1"/>
  <c r="N9" i="3"/>
  <c r="CK8" i="3" s="1"/>
  <c r="N36" i="3"/>
  <c r="O41" i="3"/>
  <c r="O4" i="3"/>
  <c r="CK6" i="3" s="1"/>
  <c r="O69" i="3"/>
  <c r="CI35" i="3"/>
  <c r="N72" i="3"/>
  <c r="CK21" i="3"/>
  <c r="O30" i="3"/>
  <c r="N32" i="3"/>
  <c r="CJ18" i="3" s="1"/>
  <c r="N7" i="3"/>
  <c r="O29" i="3"/>
  <c r="CI20" i="3" s="1"/>
  <c r="N49" i="3"/>
  <c r="N52" i="3"/>
  <c r="N54" i="3"/>
  <c r="CI44" i="3"/>
  <c r="N37" i="3"/>
  <c r="CI25" i="3" s="1"/>
  <c r="CI10" i="3"/>
  <c r="N8" i="3"/>
  <c r="CI6" i="3" s="1"/>
  <c r="CK22" i="3"/>
  <c r="CK41" i="3"/>
  <c r="O52" i="3"/>
  <c r="N97" i="3"/>
  <c r="O77" i="3"/>
  <c r="N80" i="3"/>
  <c r="N55" i="3"/>
  <c r="N81" i="3"/>
  <c r="N84" i="3"/>
  <c r="CI45" i="3"/>
  <c r="O5" i="3"/>
  <c r="CI8" i="3" s="1"/>
  <c r="N47" i="3"/>
  <c r="CK46" i="3"/>
  <c r="O53" i="3"/>
  <c r="O79" i="3"/>
  <c r="N6" i="3"/>
  <c r="N86" i="3"/>
  <c r="O32" i="3"/>
  <c r="CI12" i="3"/>
  <c r="CI43" i="3"/>
  <c r="N88" i="3"/>
  <c r="N30" i="3"/>
  <c r="CK18" i="3"/>
  <c r="CI18" i="3"/>
  <c r="CK25" i="3"/>
  <c r="N73" i="3"/>
  <c r="CI15" i="3"/>
  <c r="N15" i="3"/>
  <c r="CI37" i="3"/>
  <c r="CI11" i="3"/>
  <c r="O96" i="3"/>
  <c r="CJ53" i="3" s="1"/>
  <c r="CL53" i="3" s="1"/>
  <c r="CK34" i="3"/>
  <c r="CI39" i="3"/>
  <c r="CK30" i="3"/>
  <c r="N68" i="3"/>
  <c r="CK50" i="3"/>
  <c r="O40" i="3"/>
  <c r="O15" i="3"/>
  <c r="N65" i="3"/>
  <c r="CI34" i="3" s="1"/>
  <c r="O9" i="3"/>
  <c r="CI23" i="3"/>
  <c r="O36" i="3"/>
  <c r="CJ22" i="3" s="1"/>
  <c r="O61" i="3"/>
  <c r="CJ36" i="3" s="1"/>
  <c r="CL36" i="3" s="1"/>
  <c r="CI47" i="3"/>
  <c r="N13" i="3"/>
  <c r="O68" i="3"/>
  <c r="O57" i="3"/>
  <c r="O65" i="3"/>
  <c r="N40" i="3"/>
  <c r="O31" i="3"/>
  <c r="CJ21" i="3" s="1"/>
  <c r="N92" i="3"/>
  <c r="CK51" i="3" s="1"/>
  <c r="CK12" i="3"/>
  <c r="N77" i="3"/>
  <c r="CI19" i="3"/>
  <c r="CI50" i="3"/>
  <c r="O25" i="3"/>
  <c r="O37" i="3"/>
  <c r="CI24" i="3" s="1"/>
  <c r="N5" i="3"/>
  <c r="CJ9" i="3" s="1"/>
  <c r="O72" i="3"/>
  <c r="CI41" i="3" s="1"/>
  <c r="O84" i="3"/>
  <c r="CI46" i="3" s="1"/>
  <c r="CK39" i="3"/>
  <c r="O87" i="3"/>
  <c r="N60" i="3"/>
  <c r="CK35" i="3" s="1"/>
  <c r="O78" i="3"/>
  <c r="O23" i="3"/>
  <c r="N94" i="3"/>
  <c r="CK52" i="3" s="1"/>
  <c r="N39" i="3"/>
  <c r="CK23" i="3" s="1"/>
  <c r="CK38" i="3"/>
  <c r="CI52" i="3"/>
  <c r="N4" i="3"/>
  <c r="CK7" i="3" s="1"/>
  <c r="CK19" i="3"/>
  <c r="N87" i="3"/>
  <c r="N25" i="3"/>
  <c r="CK16" i="3" s="1"/>
  <c r="O22" i="3"/>
  <c r="N76" i="3"/>
  <c r="CJ43" i="3" s="1"/>
  <c r="O49" i="3"/>
  <c r="CI29" i="3" s="1"/>
  <c r="N46" i="3"/>
  <c r="CJ28" i="3" s="1"/>
  <c r="N53" i="3"/>
  <c r="CK28" i="3"/>
  <c r="CK48" i="3"/>
  <c r="N85" i="3"/>
  <c r="CI49" i="3" s="1"/>
  <c r="N44" i="3"/>
  <c r="CK27" i="3" s="1"/>
  <c r="N12" i="3"/>
  <c r="CK11" i="3" s="1"/>
  <c r="O54" i="3"/>
  <c r="O89" i="3"/>
  <c r="CK47" i="3" s="1"/>
  <c r="O56" i="3"/>
  <c r="N24" i="3"/>
  <c r="O46" i="3"/>
  <c r="CI28" i="3"/>
  <c r="O21" i="3"/>
  <c r="CI16" i="3" s="1"/>
  <c r="N45" i="3"/>
  <c r="CK29" i="3" s="1"/>
  <c r="N16" i="3"/>
  <c r="CI48" i="3"/>
  <c r="CK26" i="3"/>
  <c r="CJ48" i="3"/>
  <c r="O20" i="3"/>
  <c r="CI14" i="3" s="1"/>
  <c r="N33" i="3"/>
  <c r="CK10" i="3"/>
  <c r="N69" i="3"/>
  <c r="O73" i="3"/>
  <c r="O60" i="3"/>
  <c r="O63" i="3"/>
  <c r="CI40" i="3"/>
  <c r="O70" i="3"/>
  <c r="CI38" i="3" s="1"/>
  <c r="CK17" i="3"/>
  <c r="N22" i="3"/>
  <c r="CK42" i="3"/>
  <c r="N78" i="3"/>
  <c r="CK44" i="3" s="1"/>
  <c r="O81" i="3"/>
  <c r="N14" i="3"/>
  <c r="CK13" i="3"/>
  <c r="N23" i="3"/>
  <c r="N20" i="3"/>
  <c r="CK15" i="3" s="1"/>
  <c r="O24" i="3"/>
  <c r="N17" i="3"/>
  <c r="O14" i="3"/>
  <c r="CI13" i="3" s="1"/>
  <c r="CK33" i="3"/>
  <c r="CK53" i="3"/>
  <c r="CK14" i="3"/>
  <c r="CK49" i="3"/>
  <c r="CI33" i="3" l="1"/>
  <c r="CK32" i="3"/>
  <c r="CK43" i="3"/>
  <c r="CK31" i="3"/>
  <c r="CK37" i="3"/>
  <c r="CI30" i="3"/>
  <c r="CI27" i="3"/>
  <c r="CK24" i="3"/>
  <c r="CI22" i="3"/>
  <c r="CL22" i="3" s="1"/>
  <c r="CI21" i="3"/>
  <c r="CK20" i="3"/>
  <c r="CI7" i="3"/>
  <c r="CL50" i="3"/>
  <c r="CJ30" i="3"/>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33" i="3" l="1"/>
  <c r="CL30" i="3"/>
  <c r="CM45" i="3"/>
  <c r="CM46" i="3"/>
  <c r="CM53" i="3"/>
  <c r="CM48" i="3"/>
  <c r="CM16" i="3"/>
  <c r="CM40" i="3"/>
  <c r="CM17" i="3"/>
  <c r="CM15" i="3"/>
  <c r="CM31" i="3"/>
  <c r="CM33" i="3"/>
  <c r="CM47" i="3"/>
  <c r="CM22" i="3"/>
  <c r="CM43" i="3"/>
  <c r="CM21" i="3"/>
  <c r="CM18" i="3"/>
  <c r="CM49" i="3"/>
  <c r="CM20" i="3"/>
  <c r="CM44" i="3"/>
  <c r="CM14" i="3"/>
  <c r="CM26" i="3"/>
  <c r="CM38" i="3"/>
  <c r="CM42" i="3"/>
  <c r="CM19" i="3"/>
  <c r="CM28" i="3"/>
  <c r="CM24" i="3"/>
  <c r="CM11" i="3"/>
  <c r="CM13" i="3"/>
  <c r="CM12" i="3"/>
  <c r="CM10" i="3"/>
  <c r="CM32" i="3"/>
  <c r="CM9" i="3"/>
  <c r="CM8" i="3"/>
  <c r="CM7" i="3"/>
  <c r="CM6" i="3"/>
  <c r="CM29" i="3"/>
  <c r="CM39" i="3"/>
  <c r="CM41" i="3"/>
  <c r="CM36" i="3"/>
  <c r="CM27" i="3"/>
  <c r="CM25" i="3"/>
  <c r="CM23" i="3"/>
  <c r="CM52" i="3"/>
  <c r="CM37" i="3"/>
  <c r="CM50" i="3" l="1"/>
  <c r="CM34" i="3"/>
  <c r="CM51" i="3"/>
  <c r="CM35" i="3"/>
  <c r="CM30" i="3"/>
  <c r="CN47" i="3" l="1"/>
  <c r="Q89" i="3" s="1"/>
  <c r="CN6" i="3"/>
  <c r="Q7" i="3" s="1"/>
  <c r="CN29" i="3"/>
  <c r="Q47" i="3" s="1"/>
  <c r="CN44" i="3"/>
  <c r="Q77" i="3" s="1"/>
  <c r="CN52" i="3"/>
  <c r="R97" i="3" s="1"/>
  <c r="CN30" i="3"/>
  <c r="R57" i="3" s="1"/>
  <c r="CN48" i="3"/>
  <c r="Q85" i="3" s="1"/>
  <c r="CN34" i="3"/>
  <c r="R65" i="3" s="1"/>
  <c r="CN22" i="3"/>
  <c r="Q36" i="3" s="1"/>
  <c r="CN37" i="3"/>
  <c r="R61" i="3" s="1"/>
  <c r="CN11" i="3"/>
  <c r="Q17" i="3" s="1"/>
  <c r="CN24" i="3"/>
  <c r="Q37" i="3" s="1"/>
  <c r="CN7" i="3"/>
  <c r="Q9" i="3" s="1"/>
  <c r="R14" i="3"/>
  <c r="R12" i="3"/>
  <c r="CN15" i="3"/>
  <c r="Q25" i="3" s="1"/>
  <c r="CN39" i="3"/>
  <c r="R71" i="3" s="1"/>
  <c r="CN20" i="3"/>
  <c r="R33" i="3" s="1"/>
  <c r="CN8" i="3"/>
  <c r="Q5" i="3" s="1"/>
  <c r="CN16" i="3"/>
  <c r="R25" i="3" s="1"/>
  <c r="CN17" i="3"/>
  <c r="Q24" i="3" s="1"/>
  <c r="CN10" i="3"/>
  <c r="Q15" i="3" s="1"/>
  <c r="CN23" i="3"/>
  <c r="R36" i="3" s="1"/>
  <c r="CN13" i="3"/>
  <c r="R13" i="3" s="1"/>
  <c r="CN51" i="3"/>
  <c r="R92" i="3" s="1"/>
  <c r="CN43" i="3"/>
  <c r="R76" i="3" s="1"/>
  <c r="CN36" i="3"/>
  <c r="R64" i="3" s="1"/>
  <c r="CN27" i="3"/>
  <c r="R47" i="3" s="1"/>
  <c r="CN45" i="3"/>
  <c r="Q79" i="3" s="1"/>
  <c r="CN40" i="3"/>
  <c r="R73" i="3" s="1"/>
  <c r="CN9" i="3"/>
  <c r="Q6" i="3" s="1"/>
  <c r="CN41" i="3"/>
  <c r="Q71" i="3" s="1"/>
  <c r="CN46" i="3"/>
  <c r="Q84" i="3" s="1"/>
  <c r="CN18" i="3"/>
  <c r="Q28" i="3" s="1"/>
  <c r="CN49" i="3"/>
  <c r="Q87" i="3" s="1"/>
  <c r="CN14" i="3"/>
  <c r="Q20" i="3" s="1"/>
  <c r="CN21" i="3"/>
  <c r="Q32" i="3" s="1"/>
  <c r="CN32" i="3"/>
  <c r="Q53" i="3" s="1"/>
  <c r="CN25" i="3"/>
  <c r="Q39" i="3" s="1"/>
  <c r="CN35" i="3"/>
  <c r="R63" i="3" s="1"/>
  <c r="CN31" i="3"/>
  <c r="R52" i="3" s="1"/>
  <c r="CN53" i="3"/>
  <c r="Q95" i="3" s="1"/>
  <c r="CN12" i="3"/>
  <c r="R15" i="3" s="1"/>
  <c r="CN42" i="3"/>
  <c r="Q76" i="3" s="1"/>
  <c r="CN28" i="3"/>
  <c r="R46" i="3" s="1"/>
  <c r="CN19" i="3"/>
  <c r="Q33" i="3" s="1"/>
  <c r="CN50" i="3"/>
  <c r="Q94" i="3" s="1"/>
  <c r="CN26" i="3"/>
  <c r="Q44" i="3" s="1"/>
  <c r="CN38" i="3"/>
  <c r="Q70" i="3" s="1"/>
  <c r="CN33" i="3"/>
  <c r="Q57" i="3" s="1"/>
  <c r="Q41" i="3"/>
  <c r="R37" i="3"/>
  <c r="R89" i="3"/>
  <c r="R86" i="3"/>
  <c r="R6" i="3"/>
  <c r="R4" i="3"/>
  <c r="Q60" i="3"/>
  <c r="R62" i="3"/>
  <c r="Q61" i="3"/>
  <c r="R87" i="3"/>
  <c r="R84" i="3"/>
  <c r="R32" i="3"/>
  <c r="Q93" i="3"/>
  <c r="Q63" i="3"/>
  <c r="Q38" i="3"/>
  <c r="R96" i="3"/>
  <c r="R41" i="3"/>
  <c r="R7" i="3"/>
  <c r="R88" i="3"/>
  <c r="R85" i="3"/>
  <c r="Q22" i="3"/>
  <c r="R77" i="3"/>
  <c r="R21" i="3"/>
  <c r="Q86" i="3"/>
  <c r="R39" i="3"/>
  <c r="Q73" i="3"/>
  <c r="Q8" i="3"/>
  <c r="R5" i="3"/>
  <c r="CO8" i="3" s="1"/>
  <c r="Q40" i="3"/>
  <c r="Q88" i="3"/>
  <c r="CP12" i="3"/>
  <c r="R48" i="3"/>
  <c r="Q13" i="3"/>
  <c r="R9" i="3"/>
  <c r="CO23" i="3"/>
  <c r="Q92" i="3"/>
  <c r="R94" i="3"/>
  <c r="Q65" i="3"/>
  <c r="R17" i="3"/>
  <c r="Q52" i="3"/>
  <c r="Q54" i="3"/>
  <c r="R45" i="3"/>
  <c r="Q49" i="3"/>
  <c r="R68" i="3"/>
  <c r="R8" i="3"/>
  <c r="CO9" i="3" s="1"/>
  <c r="Q4" i="3"/>
  <c r="CP45" i="3"/>
  <c r="CO22" i="3"/>
  <c r="CP47" i="3"/>
  <c r="CO47" i="3"/>
  <c r="CO12" i="3"/>
  <c r="CP23" i="3"/>
  <c r="Q81" i="3" l="1"/>
  <c r="Q97" i="3"/>
  <c r="Q31" i="3"/>
  <c r="R95" i="3"/>
  <c r="R93" i="3"/>
  <c r="Q69" i="3"/>
  <c r="Q29" i="3"/>
  <c r="R79" i="3"/>
  <c r="CO45" i="3" s="1"/>
  <c r="Q12" i="3"/>
  <c r="Q30" i="3"/>
  <c r="CP20" i="3" s="1"/>
  <c r="R30" i="3"/>
  <c r="CO18" i="3" s="1"/>
  <c r="CP51" i="3"/>
  <c r="R16" i="3"/>
  <c r="Q80" i="3"/>
  <c r="R70" i="3"/>
  <c r="CP53" i="3"/>
  <c r="CO53" i="3"/>
  <c r="CP43" i="3"/>
  <c r="CO43" i="3"/>
  <c r="CP42" i="3"/>
  <c r="R40" i="3"/>
  <c r="R78" i="3"/>
  <c r="Q64" i="3"/>
  <c r="Q14" i="3"/>
  <c r="R49" i="3"/>
  <c r="R38" i="3"/>
  <c r="CP22" i="3" s="1"/>
  <c r="R80" i="3"/>
  <c r="R69" i="3"/>
  <c r="CP40" i="3" s="1"/>
  <c r="Q62" i="3"/>
  <c r="Q55" i="3"/>
  <c r="CO19" i="3"/>
  <c r="Q96" i="3"/>
  <c r="R54" i="3"/>
  <c r="CO30" i="3" s="1"/>
  <c r="R56" i="3"/>
  <c r="Q45" i="3"/>
  <c r="Q56" i="3"/>
  <c r="R55" i="3"/>
  <c r="CP33" i="3" s="1"/>
  <c r="Q68" i="3"/>
  <c r="CP39" i="3" s="1"/>
  <c r="R31" i="3"/>
  <c r="R28" i="3"/>
  <c r="CP30" i="3"/>
  <c r="CQ30" i="3" s="1"/>
  <c r="R72" i="3"/>
  <c r="R29" i="3"/>
  <c r="R53" i="3"/>
  <c r="CP32" i="3" s="1"/>
  <c r="R23" i="3"/>
  <c r="R44" i="3"/>
  <c r="R81" i="3"/>
  <c r="R60" i="3"/>
  <c r="CP34" i="3" s="1"/>
  <c r="CO15" i="3"/>
  <c r="CO27" i="3"/>
  <c r="Q16" i="3"/>
  <c r="CO10" i="3" s="1"/>
  <c r="Q78" i="3"/>
  <c r="Q72" i="3"/>
  <c r="CP37" i="3"/>
  <c r="Q48" i="3"/>
  <c r="R22" i="3"/>
  <c r="CO26" i="3"/>
  <c r="R20" i="3"/>
  <c r="Q21" i="3"/>
  <c r="Q23" i="3"/>
  <c r="R24" i="3"/>
  <c r="Q46" i="3"/>
  <c r="CP36" i="3"/>
  <c r="CP50" i="3"/>
  <c r="CO35" i="3"/>
  <c r="CP44" i="3"/>
  <c r="CP49" i="3"/>
  <c r="CP35" i="3"/>
  <c r="CP48" i="3"/>
  <c r="CO24" i="3"/>
  <c r="CO37" i="3"/>
  <c r="CP38" i="3"/>
  <c r="CP14" i="3"/>
  <c r="CP46" i="3"/>
  <c r="CO50" i="3"/>
  <c r="CQ22" i="3"/>
  <c r="CQ43" i="3"/>
  <c r="CO46" i="3"/>
  <c r="CP24" i="3"/>
  <c r="CO21" i="3"/>
  <c r="CO49" i="3"/>
  <c r="CO48" i="3"/>
  <c r="CO11" i="3"/>
  <c r="CO38" i="3"/>
  <c r="CP31" i="3"/>
  <c r="CP16" i="3"/>
  <c r="CO42" i="3"/>
  <c r="CQ42" i="3" s="1"/>
  <c r="CP10" i="3"/>
  <c r="CQ10" i="3" s="1"/>
  <c r="CO44" i="3"/>
  <c r="CQ44" i="3" s="1"/>
  <c r="CO31"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O33" i="3"/>
  <c r="CQ33" i="3" s="1"/>
  <c r="CO39" i="3"/>
  <c r="CQ39" i="3" s="1"/>
  <c r="CO25" i="3"/>
  <c r="CP25" i="3"/>
  <c r="CP41" i="3"/>
  <c r="CO36" i="3"/>
  <c r="CQ36" i="3" s="1"/>
  <c r="CQ45" i="3"/>
  <c r="CQ53" i="3"/>
  <c r="CQ47" i="3"/>
  <c r="CQ35" i="3"/>
  <c r="CO40" i="3" l="1"/>
  <c r="CQ40" i="3" s="1"/>
  <c r="CO34" i="3"/>
  <c r="CQ34" i="3" s="1"/>
  <c r="CQ51" i="3"/>
  <c r="CQ37" i="3"/>
  <c r="CQ50" i="3"/>
  <c r="CQ49" i="3"/>
  <c r="CQ24" i="3"/>
  <c r="CQ48" i="3"/>
  <c r="CQ14" i="3"/>
  <c r="CQ21" i="3"/>
  <c r="CQ46" i="3"/>
  <c r="CQ16"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U57"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l="1"/>
  <c r="T37" i="3"/>
  <c r="T54" i="3"/>
  <c r="T52" i="3"/>
  <c r="U37" i="3"/>
  <c r="CT24" i="3" s="1"/>
  <c r="T41" i="3"/>
  <c r="U33" i="3"/>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T53" i="3"/>
  <c r="CT33" i="3" s="1"/>
  <c r="U13" i="3"/>
  <c r="CT12" i="3" s="1"/>
  <c r="U49" i="3"/>
  <c r="T16" i="3"/>
  <c r="U52" i="3"/>
  <c r="T64" i="3"/>
  <c r="U14" i="3"/>
  <c r="U60" i="3"/>
  <c r="U54" i="3"/>
  <c r="T76" i="3"/>
  <c r="U12" i="3"/>
  <c r="T94" i="3"/>
  <c r="U28" i="3"/>
  <c r="T68" i="3"/>
  <c r="U21" i="3"/>
  <c r="CT38" i="3"/>
  <c r="U93" i="3"/>
  <c r="T33" i="3"/>
  <c r="U29" i="3"/>
  <c r="T20" i="3"/>
  <c r="T96" i="3"/>
  <c r="U72" i="3"/>
  <c r="U96" i="3"/>
  <c r="CT53" i="3" s="1"/>
  <c r="T44" i="3"/>
  <c r="T5" i="3"/>
  <c r="U39" i="3"/>
  <c r="CT25" i="3" s="1"/>
  <c r="T72" i="3"/>
  <c r="T57" i="3"/>
  <c r="U94" i="3"/>
  <c r="CT50" i="3" s="1"/>
  <c r="U36" i="3"/>
  <c r="CT22" i="3" s="1"/>
  <c r="T65" i="3"/>
  <c r="U61" i="3"/>
  <c r="U17" i="3"/>
  <c r="CT11" i="3" s="1"/>
  <c r="T23" i="3"/>
  <c r="U69" i="3"/>
  <c r="CT40" i="3" s="1"/>
  <c r="T55" i="3"/>
  <c r="U97" i="3"/>
  <c r="CT51" i="3" s="1"/>
  <c r="U6" i="3"/>
  <c r="T25" i="3"/>
  <c r="U79" i="3"/>
  <c r="T60" i="3"/>
  <c r="CT35" i="3" s="1"/>
  <c r="T4" i="3"/>
  <c r="CT7" i="3" s="1"/>
  <c r="T62" i="3"/>
  <c r="T7" i="3"/>
  <c r="U20" i="3"/>
  <c r="T48" i="3"/>
  <c r="CT28" i="3" s="1"/>
  <c r="U44" i="3"/>
  <c r="U76" i="3"/>
  <c r="CT43" i="3"/>
  <c r="U46" i="3"/>
  <c r="T45" i="3"/>
  <c r="T47" i="3"/>
  <c r="T9" i="3"/>
  <c r="T49" i="3"/>
  <c r="CT31" i="3"/>
  <c r="CT15" i="3"/>
  <c r="CT49" i="3"/>
  <c r="CT32" i="3" l="1"/>
  <c r="CT34"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M33" i="3"/>
  <c r="DN31" i="3" l="1" a="1"/>
  <c r="DN31" i="3" s="1"/>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4" i="3" l="1"/>
  <c r="D112" i="3"/>
  <c r="AG112" i="3" s="1"/>
  <c r="BF63" i="3"/>
  <c r="BJ63"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J69" i="3"/>
  <c r="BK69" i="3"/>
  <c r="D104" i="3"/>
  <c r="AG104" i="3" s="1"/>
  <c r="AG116" i="3"/>
  <c r="N127" i="3"/>
  <c r="AF127" i="3" s="1"/>
  <c r="AG115" i="3"/>
  <c r="M126" i="3"/>
  <c r="AA126" i="3" s="1"/>
  <c r="AG114" i="3"/>
  <c r="N126" i="3"/>
  <c r="AF126" i="3" s="1"/>
  <c r="AG111" i="3"/>
  <c r="N124" i="3"/>
  <c r="AF124" i="3" s="1"/>
  <c r="N120" i="3"/>
  <c r="AF121" i="3" s="1"/>
  <c r="AG106" i="3"/>
  <c r="N123" i="3"/>
  <c r="AF123" i="3" s="1"/>
  <c r="AG108" i="3"/>
  <c r="N122" i="3"/>
  <c r="AF122" i="3" s="1"/>
  <c r="AG105" i="3"/>
  <c r="AG103" i="3"/>
  <c r="M120" i="3"/>
  <c r="AA121" i="3" s="1"/>
  <c r="D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4" i="3" l="1"/>
  <c r="AA124" i="3" s="1"/>
  <c r="AE16" i="45" s="1"/>
  <c r="D124" i="3"/>
  <c r="AG124" i="3" s="1"/>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2" i="3"/>
  <c r="M133" i="3"/>
  <c r="AA133" i="3" s="1"/>
  <c r="D133" i="3" s="1"/>
  <c r="M131" i="3"/>
  <c r="AA131" i="3" s="1"/>
  <c r="D131" i="3" s="1"/>
  <c r="AG121" i="3"/>
  <c r="C197" i="31"/>
  <c r="AE47" i="45"/>
  <c r="C206" i="31"/>
  <c r="AE41" i="45"/>
  <c r="C196" i="31"/>
  <c r="AE40" i="45"/>
  <c r="C188" i="31"/>
  <c r="B206" i="31"/>
  <c r="C194" i="31"/>
  <c r="AE17" i="45"/>
  <c r="C184" i="31"/>
  <c r="C202" i="31"/>
  <c r="B202" i="31"/>
  <c r="AE28" i="45"/>
  <c r="AE4" i="45"/>
  <c r="C201" i="31"/>
  <c r="C183" i="31"/>
  <c r="B201" i="31"/>
  <c r="C191" i="31"/>
  <c r="AE5" i="45"/>
  <c r="AE29" i="45"/>
  <c r="C192" i="31"/>
  <c r="AE35" i="45"/>
  <c r="C193" i="31"/>
  <c r="C182" i="31"/>
  <c r="AE10" i="45"/>
  <c r="C186" i="31" l="1"/>
  <c r="B204" i="31"/>
  <c r="C204" i="31"/>
  <c r="M132" i="3"/>
  <c r="AA132" i="3" s="1"/>
  <c r="D132" i="3" s="1"/>
  <c r="N138" i="3" s="1"/>
  <c r="AF138" i="3" s="1"/>
  <c r="D120" i="3"/>
  <c r="BS63" i="3"/>
  <c r="BS68" i="3"/>
  <c r="BS66" i="3"/>
  <c r="BS65" i="3"/>
  <c r="BS58" i="3"/>
  <c r="BS69" i="3"/>
  <c r="BS60" i="3"/>
  <c r="BS64" i="3"/>
  <c r="BS67" i="3"/>
  <c r="BS62" i="3"/>
  <c r="BS61" i="3"/>
  <c r="BS59" i="3"/>
  <c r="C190" i="31"/>
  <c r="AE11" i="45"/>
  <c r="B200" i="31"/>
  <c r="AG126" i="3"/>
  <c r="AG134" i="3"/>
  <c r="N139" i="3"/>
  <c r="AF139" i="3" s="1"/>
  <c r="AG133" i="3"/>
  <c r="M139" i="3"/>
  <c r="AA139" i="3" s="1"/>
  <c r="M138" i="3"/>
  <c r="AA138" i="3" s="1"/>
  <c r="AG131" i="3"/>
  <c r="C212" i="31"/>
  <c r="AI31" i="45"/>
  <c r="AI43" i="45"/>
  <c r="C213" i="31"/>
  <c r="AI7" i="45"/>
  <c r="C210" i="31"/>
  <c r="AI19" i="45" l="1"/>
  <c r="AG132" i="3"/>
  <c r="C211" i="31"/>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C220" i="31" l="1"/>
  <c r="C214" i="31"/>
  <c r="B220" i="31"/>
  <c r="AI8" i="45"/>
  <c r="BV61" i="3"/>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N102" i="3"/>
  <c r="AF103" i="3" s="1"/>
  <c r="C148" i="31" s="1"/>
  <c r="N108" i="3"/>
  <c r="AF108" i="3" s="1"/>
  <c r="B171" i="31" s="1"/>
  <c r="N105" i="3"/>
  <c r="AF106" i="3" s="1"/>
  <c r="C169" i="31" s="1"/>
  <c r="N115" i="3"/>
  <c r="AF116" i="3" s="1"/>
  <c r="AA49" i="45" s="1"/>
  <c r="N110" i="3"/>
  <c r="AF109" i="3" s="1"/>
  <c r="N107" i="3"/>
  <c r="AF107" i="3" s="1"/>
  <c r="N109" i="3"/>
  <c r="AF110" i="3" s="1"/>
  <c r="B497" i="40"/>
  <c r="BG124" i="3" s="1"/>
  <c r="AZ110" i="3" s="1"/>
  <c r="C158" i="31" l="1"/>
  <c r="D113" i="3"/>
  <c r="C172" i="31"/>
  <c r="D109"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3" i="3" l="1"/>
  <c r="M127" i="3"/>
  <c r="AA127" i="3" s="1"/>
  <c r="AG109" i="3"/>
  <c r="N125" i="3"/>
  <c r="AF125" i="3" s="1"/>
  <c r="AG110" i="3"/>
  <c r="M125" i="3"/>
  <c r="AA125" i="3" s="1"/>
  <c r="AG107" i="3"/>
  <c r="M123" i="3"/>
  <c r="AA123" i="3" s="1"/>
  <c r="D127" i="3" l="1"/>
  <c r="C189" i="31"/>
  <c r="AE46" i="45"/>
  <c r="B207" i="31"/>
  <c r="C207" i="31"/>
  <c r="C195" i="31"/>
  <c r="AE23" i="45"/>
  <c r="D125" i="3"/>
  <c r="C187" i="31"/>
  <c r="B205" i="31"/>
  <c r="C205" i="31"/>
  <c r="AE22" i="45"/>
  <c r="D123" i="3"/>
  <c r="C185" i="31"/>
  <c r="AE34" i="45"/>
  <c r="C203" i="31"/>
  <c r="B203" i="31"/>
  <c r="N134" i="3" l="1"/>
  <c r="AF134" i="3" s="1"/>
  <c r="AG127" i="3"/>
  <c r="N132" i="3"/>
  <c r="AF132" i="3" s="1"/>
  <c r="AG125" i="3"/>
  <c r="N133" i="3"/>
  <c r="AF133" i="3" s="1"/>
  <c r="AG123" i="3"/>
  <c r="AI44" i="45" l="1"/>
  <c r="B223" i="31"/>
  <c r="C217" i="31"/>
  <c r="C223" i="31"/>
  <c r="C221" i="3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metadataTypes count="3">
    <metadataType name="" minSupportedVersion="0"/>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1">
    <bk>
      <extLst>
        <ext xmlns:xlrd="http://schemas.microsoft.com/office/spreadsheetml/2017/richdata" uri="{3e2802c4-a4d2-4d8b-9148-e3be6c30e623}">
          <xlrd:rvb i="29"/>
        </ext>
      </extLst>
    </bk>
  </futureMetadata>
  <cellMetadata count="1">
    <bk>
      <rc t="2" v="0"/>
    </bk>
  </cellMetadata>
  <valueMetadata count="2">
    <bk>
      <rc t="3" v="0"/>
    </bk>
  </valueMetadata>
</metadata>
</file>

<file path=xl/sharedStrings.xml><?xml version="1.0" encoding="utf-8"?>
<sst xmlns="http://schemas.openxmlformats.org/spreadsheetml/2006/main" count="6764" uniqueCount="1522">
  <si>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</si>
  <si>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</si>
  <si>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</si>
  <si>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</si>
  <si>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</si>
  <si>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</si>
  <si>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</si>
  <si>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</si>
  <si>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</si>
  <si>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</si>
  <si>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</si>
  <si>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</si>
  <si>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</si>
  <si>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</si>
  <si>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</si>
  <si>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</si>
  <si>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</si>
  <si>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</si>
  <si>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</si>
  <si>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</si>
  <si>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</si>
  <si>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</si>
  <si>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</si>
  <si>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</si>
  <si>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</si>
  <si>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</si>
  <si>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</si>
  <si>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</si>
  <si>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</si>
  <si>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</si>
  <si>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</si>
  <si>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</si>
  <si>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</si>
  <si>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</si>
  <si>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</si>
  <si>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</si>
  <si>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</si>
  <si>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</si>
  <si>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</si>
  <si>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</si>
  <si>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</si>
  <si>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</si>
  <si>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</si>
  <si>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</si>
  <si>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</si>
  <si>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</si>
  <si>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</si>
  <si>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</si>
  <si>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</si>
  <si>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</si>
  <si>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</si>
  <si>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</si>
  <si>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</si>
  <si>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</si>
  <si>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</si>
  <si>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</si>
  <si>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</si>
  <si>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</si>
  <si>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</si>
  <si>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</si>
  <si>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</si>
  <si>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</si>
  <si>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</si>
  <si>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</si>
  <si>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</si>
  <si>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</si>
  <si>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</si>
  <si>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</si>
  <si>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</si>
  <si>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</si>
  <si>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</si>
  <si>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</si>
  <si>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</si>
  <si>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</si>
  <si>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</si>
  <si>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</si>
  <si>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</si>
  <si>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</si>
  <si>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</si>
  <si>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</si>
  <si>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</si>
  <si>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</si>
  <si>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</si>
  <si>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</si>
  <si>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</si>
  <si>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</si>
  <si>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</si>
  <si>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</si>
  <si>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</si>
  <si>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</si>
  <si>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</si>
  <si>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</si>
  <si>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</si>
  <si>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</si>
  <si>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</si>
  <si>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</si>
  <si>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</si>
  <si>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</si>
  <si>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</si>
  <si>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</si>
  <si>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</si>
  <si>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</si>
  <si>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</si>
  <si>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</si>
  <si>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</si>
  <si>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</si>
  <si>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</si>
  <si>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</si>
  <si>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</si>
  <si>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</si>
  <si>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</si>
  <si>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</si>
  <si>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</si>
  <si>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</si>
  <si>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</si>
  <si>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</si>
  <si>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</si>
  <si>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</si>
  <si>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</si>
  <si>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</si>
  <si>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</si>
  <si>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</si>
  <si>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</si>
  <si>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</si>
  <si>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</si>
  <si>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</si>
  <si>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</si>
  <si>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</si>
  <si>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</si>
  <si>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</si>
  <si>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</si>
  <si>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</si>
  <si>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</si>
  <si>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</si>
  <si>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</si>
  <si>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</si>
  <si>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</si>
  <si>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</si>
  <si>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</si>
  <si>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</si>
  <si>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</si>
  <si>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</si>
  <si>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</si>
  <si>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</si>
  <si>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</si>
  <si>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</si>
  <si>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</si>
  <si>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</si>
  <si>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</si>
  <si>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</si>
  <si>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</si>
  <si>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</si>
  <si>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</si>
  <si>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</si>
  <si>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</si>
  <si>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</si>
  <si>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</si>
  <si>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</si>
  <si>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</si>
  <si>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</si>
  <si>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</si>
  <si>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</si>
  <si>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</si>
  <si>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</si>
  <si>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</si>
  <si>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</si>
  <si>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</si>
  <si>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</si>
  <si>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</si>
  <si>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</si>
  <si>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</si>
  <si>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</si>
  <si>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</si>
  <si>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</si>
  <si>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</si>
  <si>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</si>
  <si>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</si>
  <si>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</si>
  <si>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</si>
  <si>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</si>
  <si>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</si>
  <si>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</si>
  <si>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</si>
  <si>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</si>
  <si>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</si>
  <si>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</si>
  <si>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</si>
  <si>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</si>
  <si>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</si>
  <si>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</si>
  <si>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</si>
  <si>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</si>
  <si>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</si>
  <si>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</si>
  <si>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</si>
  <si>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</si>
  <si>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</si>
  <si>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</si>
  <si>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</si>
  <si>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</si>
  <si>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</si>
  <si>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</si>
  <si>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</si>
  <si>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</si>
  <si>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</si>
  <si>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</si>
  <si>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</si>
  <si>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</si>
  <si>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</si>
  <si>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</si>
  <si>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</si>
  <si>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</si>
  <si>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</si>
  <si>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</si>
  <si>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</si>
  <si>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</si>
  <si>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</si>
  <si>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</si>
  <si>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</si>
  <si>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</si>
  <si>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</si>
  <si>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</si>
  <si>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</si>
  <si>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</si>
  <si>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</si>
  <si>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</si>
  <si>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</si>
  <si>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</si>
  <si>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</si>
  <si>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</si>
  <si>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</si>
  <si>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</si>
  <si>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</si>
  <si>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</si>
  <si>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</si>
  <si>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</si>
  <si>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</si>
  <si>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</si>
  <si>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</si>
  <si>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</si>
  <si>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</si>
  <si>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</si>
  <si>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</si>
  <si>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</si>
  <si>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</si>
  <si>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</si>
  <si>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</si>
  <si>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</si>
  <si>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</si>
  <si>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</si>
  <si>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</si>
  <si>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</si>
  <si>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</si>
  <si>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</si>
  <si>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</si>
  <si>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</si>
  <si>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</si>
  <si>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</si>
  <si>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</si>
  <si>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</si>
  <si>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</si>
  <si>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</si>
  <si>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</si>
  <si>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</si>
  <si>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</si>
  <si>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</si>
  <si>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</si>
  <si>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</si>
  <si>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</si>
  <si>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</si>
  <si>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</si>
  <si>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</si>
  <si>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</si>
  <si>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</si>
  <si>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</si>
  <si>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</si>
  <si>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</si>
  <si>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</si>
  <si>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</si>
  <si>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</si>
  <si>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</si>
  <si>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</si>
  <si>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</si>
  <si>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</si>
  <si>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</si>
  <si>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</si>
  <si>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</si>
  <si>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</si>
  <si>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</si>
  <si>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</si>
  <si>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</si>
  <si>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</si>
  <si>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</si>
  <si>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</si>
  <si>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</si>
  <si>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</si>
  <si>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</si>
  <si>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</si>
  <si>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</si>
  <si>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</si>
  <si>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</si>
  <si>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</si>
  <si>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</si>
  <si>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</si>
  <si>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</si>
  <si>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</si>
  <si>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</si>
  <si>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</si>
  <si>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</si>
  <si>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</si>
  <si>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</si>
  <si>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</si>
  <si>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</si>
  <si>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</si>
  <si>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</si>
  <si>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</si>
  <si>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</si>
  <si>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</si>
  <si>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</si>
  <si>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</si>
  <si>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</si>
  <si>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</si>
  <si>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</si>
  <si>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</si>
  <si>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</si>
  <si>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</si>
  <si>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</si>
  <si>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</si>
  <si>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</si>
  <si>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</si>
  <si>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</si>
  <si>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</si>
  <si>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</si>
  <si>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</si>
  <si>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</si>
  <si>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</si>
  <si>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</si>
  <si>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</si>
  <si>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</si>
  <si>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</si>
  <si>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</si>
  <si>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</si>
  <si>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</si>
  <si>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</si>
  <si>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</si>
  <si>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</si>
  <si>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</si>
  <si>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</si>
  <si>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</si>
  <si>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</si>
  <si>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</si>
  <si>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</si>
  <si>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</si>
  <si>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</si>
  <si>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</si>
  <si>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</si>
  <si>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</si>
  <si>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</si>
  <si>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</si>
  <si>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</si>
  <si>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</si>
  <si>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</si>
  <si>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</si>
  <si>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</si>
  <si>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</si>
  <si>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</si>
  <si>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</si>
  <si>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</si>
  <si>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</si>
  <si>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</si>
  <si>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</si>
  <si>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</si>
  <si>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</si>
  <si>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</si>
  <si>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</si>
  <si>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</si>
  <si>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</si>
  <si>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</si>
  <si>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</si>
  <si>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</si>
  <si>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</si>
  <si>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</si>
  <si>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</si>
  <si>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</si>
  <si>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</si>
  <si>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</si>
  <si>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</si>
  <si>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</si>
  <si>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</si>
  <si>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</si>
  <si>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</si>
  <si>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</si>
  <si>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</si>
  <si>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</si>
  <si>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</si>
  <si>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</si>
  <si>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</si>
  <si>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</si>
  <si>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</si>
  <si>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</si>
  <si>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</si>
  <si>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</si>
  <si>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</si>
  <si>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</si>
  <si>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</si>
  <si>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</si>
  <si>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</si>
  <si>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</si>
  <si>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</si>
  <si>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</si>
  <si>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</si>
  <si>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</si>
  <si>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</si>
  <si>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</si>
  <si>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</si>
  <si>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</si>
  <si>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</si>
  <si>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</si>
  <si>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</si>
  <si>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</si>
  <si>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</si>
  <si>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</si>
  <si>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</si>
  <si>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</si>
  <si>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</si>
  <si>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</si>
  <si>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</si>
  <si>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</si>
  <si>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</si>
  <si>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</si>
  <si>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</si>
  <si>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</si>
  <si>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</si>
  <si>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</si>
  <si>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</si>
  <si>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</si>
  <si>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</si>
  <si>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</si>
  <si>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</si>
  <si>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</si>
  <si>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</si>
  <si>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</si>
  <si>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</si>
  <si>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</si>
  <si>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</si>
  <si>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</si>
  <si>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</si>
  <si>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</si>
  <si>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</si>
  <si>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</si>
  <si>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</si>
  <si>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</si>
  <si>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</si>
  <si>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</si>
  <si>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</si>
  <si>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</si>
  <si>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</si>
  <si>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</si>
  <si>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</si>
  <si>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</si>
  <si>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</si>
  <si>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</si>
  <si>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</si>
  <si>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</si>
  <si>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</si>
  <si>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</si>
  <si>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</si>
  <si>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</si>
  <si>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</si>
  <si>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</si>
  <si>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</si>
  <si>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</si>
  <si>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</si>
  <si>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</si>
  <si>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</si>
  <si>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</si>
  <si>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</si>
  <si>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</si>
  <si>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</si>
  <si>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</si>
  <si>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</si>
  <si>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</si>
  <si>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</si>
  <si>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</si>
  <si>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</si>
  <si>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</si>
  <si>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</si>
  <si>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</si>
  <si>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</si>
  <si>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</si>
  <si>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</si>
  <si>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</si>
  <si>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</si>
  <si>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</si>
  <si>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</si>
  <si>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</si>
  <si>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</si>
  <si>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</si>
  <si>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</si>
  <si>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</si>
  <si>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</si>
  <si>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</si>
  <si>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</si>
  <si>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</si>
  <si>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</si>
  <si>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</si>
  <si>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</si>
  <si>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</si>
  <si>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</si>
  <si>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</si>
  <si>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</si>
  <si>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</si>
  <si>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</si>
  <si>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</si>
  <si>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</si>
  <si>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</si>
  <si>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</si>
  <si>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</si>
  <si>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</si>
  <si>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</si>
  <si>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</si>
  <si>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</si>
  <si>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</si>
  <si>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</si>
  <si>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</si>
  <si>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</si>
  <si>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</si>
  <si>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</si>
  <si>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</si>
  <si>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</si>
  <si>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</si>
  <si>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</si>
  <si>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</si>
  <si>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</si>
  <si>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</si>
  <si>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</si>
  <si>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</si>
  <si>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</si>
  <si>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</si>
  <si>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</si>
  <si>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</si>
  <si>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</si>
  <si>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</si>
  <si>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</si>
  <si>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</si>
  <si>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</si>
  <si>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</si>
  <si>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</si>
  <si>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</si>
  <si>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</si>
  <si>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</si>
  <si>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</si>
  <si>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</si>
  <si>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</si>
  <si>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</si>
  <si>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</si>
  <si>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</si>
  <si>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</si>
  <si>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</si>
  <si>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</si>
  <si>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</si>
  <si>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</si>
  <si>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</si>
  <si>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</si>
  <si>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</si>
  <si>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</si>
  <si>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</si>
  <si>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</si>
  <si>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</si>
  <si>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</si>
  <si>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</si>
  <si>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</si>
  <si>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</si>
  <si>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</si>
  <si>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</si>
  <si>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</si>
  <si>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</si>
  <si>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</si>
  <si>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</si>
  <si>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</si>
  <si>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</si>
  <si>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</si>
  <si>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</si>
  <si>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</si>
  <si>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</si>
  <si>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</si>
  <si>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</si>
  <si>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</si>
  <si>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</si>
  <si>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</si>
  <si>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</si>
  <si>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</si>
  <si>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</si>
  <si>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</si>
  <si>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</si>
  <si>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</si>
  <si>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</si>
  <si>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</si>
  <si>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</si>
  <si>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</si>
  <si>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</si>
  <si>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</si>
  <si>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</si>
  <si>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</si>
  <si>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</si>
  <si>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</si>
  <si>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</si>
  <si>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</si>
  <si>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</si>
  <si>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</si>
  <si>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</si>
  <si>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</si>
  <si>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</si>
  <si>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</si>
  <si>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</si>
  <si>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</si>
  <si>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</si>
  <si>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</si>
  <si>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</si>
  <si>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</si>
  <si>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</si>
  <si>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</si>
  <si>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</si>
  <si>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</si>
  <si>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</si>
  <si>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</si>
  <si>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</si>
  <si>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</si>
  <si>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</si>
  <si>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</si>
  <si>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</si>
  <si>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</si>
  <si>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</si>
  <si>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</si>
  <si>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</si>
  <si>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</si>
  <si>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</si>
  <si>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</si>
  <si>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</si>
  <si>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</si>
  <si>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</si>
  <si>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</si>
  <si>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</si>
  <si>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</si>
  <si>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</si>
  <si>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</si>
  <si>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</si>
  <si>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</si>
  <si>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</si>
  <si>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</si>
  <si>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</si>
  <si>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</si>
  <si>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</si>
  <si>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</si>
  <si>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</si>
  <si>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</si>
  <si>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</si>
  <si>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</si>
  <si>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</si>
  <si>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</si>
  <si>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</si>
  <si>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</si>
  <si>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</si>
  <si>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</si>
  <si>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</si>
  <si>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</si>
  <si>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</si>
  <si>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</si>
  <si>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</si>
  <si>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</si>
  <si>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</si>
  <si>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</si>
  <si>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</si>
  <si>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</si>
  <si>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</si>
  <si>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</si>
  <si>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</si>
  <si>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</si>
  <si>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</si>
  <si>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</si>
  <si>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</si>
  <si>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</si>
  <si>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</si>
  <si>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</si>
  <si>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</si>
  <si>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</si>
  <si>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</si>
  <si>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</si>
  <si>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</si>
  <si>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</si>
  <si>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</si>
  <si>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</si>
  <si>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</si>
  <si>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</si>
  <si>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</si>
  <si>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</si>
  <si>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</si>
  <si>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</si>
  <si>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</si>
  <si>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</si>
  <si>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</si>
  <si>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</si>
  <si>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</si>
  <si>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</si>
  <si>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</si>
  <si>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</si>
  <si>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</si>
  <si>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</si>
  <si>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</si>
  <si>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</si>
  <si>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</si>
  <si>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</si>
  <si>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</si>
  <si>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</si>
  <si>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</si>
  <si>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</si>
  <si>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</si>
  <si>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</si>
  <si>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</si>
  <si>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</si>
  <si>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</si>
  <si>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</si>
  <si>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</si>
  <si>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</si>
  <si>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</si>
  <si>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</si>
  <si>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</si>
  <si>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</si>
  <si>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</si>
  <si>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</si>
  <si>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</si>
  <si>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</si>
  <si>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</si>
  <si>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</si>
  <si>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</si>
  <si>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</si>
  <si>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</si>
  <si>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</si>
  <si>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</si>
  <si>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</si>
  <si>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</si>
  <si>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</si>
  <si>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</si>
  <si>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</si>
  <si>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</si>
  <si>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</si>
  <si>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</si>
  <si>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</si>
  <si>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</si>
  <si>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</si>
  <si>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</si>
  <si>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</si>
  <si>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</si>
  <si>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</si>
  <si>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</si>
  <si>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</si>
  <si>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</si>
  <si>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</si>
  <si>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</si>
  <si>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</si>
  <si>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</si>
  <si>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</si>
  <si>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</si>
  <si>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</si>
  <si>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</si>
  <si>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</si>
  <si>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</si>
  <si>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</si>
  <si>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</si>
  <si>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</si>
  <si>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</si>
  <si>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</si>
  <si>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</si>
  <si>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</si>
  <si>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</si>
  <si>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</si>
  <si>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</si>
  <si>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</si>
  <si>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</si>
  <si>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</si>
  <si>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</si>
  <si>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</si>
  <si>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</si>
  <si>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</si>
  <si>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</si>
  <si>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</si>
  <si>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</si>
  <si>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</si>
  <si>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</si>
  <si>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</si>
  <si>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</si>
  <si>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</si>
  <si>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</si>
  <si>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</si>
  <si>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</si>
  <si>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</si>
  <si>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</si>
  <si>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</si>
  <si>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</si>
  <si>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</si>
  <si>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</si>
  <si>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</si>
  <si>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</si>
  <si>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</si>
  <si>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</si>
  <si>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</si>
  <si>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</si>
  <si>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</si>
  <si>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</si>
  <si>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</si>
  <si>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</si>
  <si>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</si>
  <si>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</si>
  <si>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</si>
  <si>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</si>
  <si>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</si>
  <si>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</si>
  <si>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</si>
  <si>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</si>
  <si>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</si>
  <si>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</si>
  <si>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</si>
  <si>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</si>
  <si>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</si>
  <si>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</si>
  <si>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</si>
  <si>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</si>
  <si>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</si>
  <si>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</si>
  <si>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</si>
  <si>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</si>
  <si>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</si>
  <si>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</si>
  <si>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</si>
  <si>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</si>
  <si>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</si>
  <si>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</si>
  <si>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</si>
  <si>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</si>
  <si>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</si>
  <si>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</si>
  <si>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</si>
  <si>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</si>
  <si>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</si>
  <si>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</si>
  <si>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</si>
  <si>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</si>
  <si>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</si>
  <si>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</si>
  <si>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</si>
  <si>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</si>
  <si>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</si>
  <si>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</si>
  <si>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</si>
  <si>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</si>
  <si>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</si>
  <si>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</si>
  <si>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</si>
  <si>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</si>
  <si>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</si>
  <si>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</si>
  <si>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</si>
  <si>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</si>
  <si>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</si>
  <si>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</si>
  <si>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</si>
  <si>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</si>
  <si>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</si>
  <si>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</si>
  <si>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</si>
  <si>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</si>
  <si>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</si>
  <si>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</si>
  <si>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</si>
  <si>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</si>
  <si>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</si>
  <si>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</si>
  <si>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</si>
  <si>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</si>
  <si>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</si>
  <si>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</si>
  <si>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</si>
  <si>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</si>
  <si>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</si>
  <si>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</si>
  <si>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</si>
  <si>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</si>
  <si>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</si>
  <si>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</si>
  <si>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</si>
  <si>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</si>
  <si>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</si>
  <si>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</si>
  <si>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</si>
  <si>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</si>
  <si>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</si>
  <si>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</si>
  <si>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</si>
  <si>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</si>
  <si>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</si>
  <si>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</si>
  <si>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</si>
  <si>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</si>
  <si>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</si>
  <si>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</si>
  <si>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</si>
  <si>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</si>
  <si>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</si>
  <si>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</si>
  <si>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</si>
  <si>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</si>
  <si>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</si>
  <si>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</si>
  <si>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</si>
  <si>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</si>
  <si>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</si>
  <si>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</si>
  <si>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</si>
  <si>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</si>
  <si>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</si>
  <si>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</si>
  <si>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</si>
  <si>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</si>
  <si>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</si>
  <si>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</si>
  <si>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</si>
  <si>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</si>
  <si>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</si>
  <si>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</si>
  <si>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</si>
  <si>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</si>
  <si>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</si>
  <si>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</si>
  <si>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</si>
  <si>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</si>
  <si>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</si>
  <si>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</si>
  <si>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</si>
  <si>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</si>
  <si>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</si>
  <si>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</si>
  <si>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</si>
  <si>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</si>
  <si>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</si>
  <si>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</si>
  <si>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</si>
  <si>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</si>
  <si>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</si>
  <si>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</si>
  <si>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</si>
  <si>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</si>
  <si>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</si>
  <si>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</si>
  <si>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</si>
  <si>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</si>
  <si>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</si>
  <si>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</si>
  <si>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</si>
  <si>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</si>
  <si>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</si>
  <si>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</si>
  <si>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</si>
  <si>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</si>
  <si>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</si>
  <si>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</si>
  <si>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</si>
  <si>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</si>
  <si>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</si>
  <si>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</si>
  <si>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</si>
  <si>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</si>
  <si>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</si>
  <si>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</si>
  <si>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</si>
  <si>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</si>
  <si>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</si>
  <si>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</si>
  <si>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</si>
  <si>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</si>
  <si>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</si>
  <si>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</si>
  <si>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</si>
  <si>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</si>
  <si>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</si>
  <si>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</si>
  <si>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</si>
  <si>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</si>
  <si>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</si>
  <si>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</si>
  <si>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</si>
  <si>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</si>
  <si>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</si>
  <si>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</si>
  <si>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</si>
  <si>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</si>
  <si>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</si>
  <si>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</si>
  <si>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</si>
  <si>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</si>
  <si>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</si>
  <si>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</si>
  <si>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</si>
  <si>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</si>
  <si>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</si>
  <si>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</si>
  <si>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</si>
  <si>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</si>
  <si>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</si>
  <si>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</si>
  <si>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</si>
  <si>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</si>
  <si>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</si>
  <si>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</si>
  <si>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</si>
  <si>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</si>
  <si>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</si>
  <si>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</si>
  <si>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</si>
  <si>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</si>
  <si>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</si>
  <si>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</si>
  <si>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</si>
  <si>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</si>
  <si>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</si>
  <si>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</si>
  <si>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</si>
  <si>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</si>
  <si>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</si>
  <si>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</si>
  <si>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</si>
  <si>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</si>
  <si>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</si>
  <si>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</si>
  <si>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</si>
  <si>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</si>
  <si>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</si>
  <si>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</si>
  <si>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</si>
  <si>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</si>
  <si>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</si>
  <si>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</si>
  <si>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</si>
  <si>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</si>
  <si>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</si>
  <si>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</si>
  <si>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</si>
  <si>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</si>
  <si>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</si>
  <si>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</si>
  <si>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</si>
  <si>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</si>
  <si>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</si>
  <si>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</si>
  <si>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</si>
  <si>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</si>
  <si>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</si>
  <si>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</si>
  <si>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</si>
  <si>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</si>
  <si>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</si>
  <si>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</si>
  <si>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</si>
  <si>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</si>
  <si>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</si>
  <si>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</si>
  <si>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</si>
  <si>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</si>
  <si>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</si>
  <si>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</si>
  <si>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</si>
  <si>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</si>
  <si>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</si>
  <si>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</si>
  <si>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</si>
  <si>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</si>
  <si>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</si>
  <si>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</si>
  <si>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</si>
  <si>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</si>
  <si>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</si>
  <si>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</si>
  <si>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</si>
  <si>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</si>
  <si>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</si>
  <si>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</si>
  <si>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</si>
  <si>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</si>
  <si>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</si>
  <si>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</si>
  <si>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</si>
  <si>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</si>
  <si>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</si>
  <si>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</si>
  <si>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</si>
  <si>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</si>
  <si>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</si>
  <si>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</si>
  <si>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</si>
  <si>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</si>
  <si>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</si>
  <si>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</si>
  <si>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</si>
  <si>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</si>
  <si>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</si>
  <si>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</si>
  <si>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</si>
  <si>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</si>
  <si>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</si>
  <si>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</si>
  <si>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</si>
  <si>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</si>
  <si>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</si>
  <si>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</si>
  <si>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</si>
  <si>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</si>
  <si>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</si>
  <si>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</si>
  <si>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</si>
  <si>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</si>
  <si>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</si>
  <si>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</si>
  <si>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</si>
  <si>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</si>
  <si>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</si>
  <si>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</si>
  <si>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</si>
  <si>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</si>
  <si>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</si>
  <si>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</si>
  <si>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</si>
  <si>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</si>
  <si>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</si>
  <si>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</si>
  <si>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</si>
  <si>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</si>
  <si>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</si>
  <si>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</si>
  <si>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</si>
  <si>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</si>
  <si>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</si>
  <si>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</si>
  <si>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</si>
  <si>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</si>
  <si>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</si>
  <si>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</si>
  <si>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</si>
  <si>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</si>
  <si>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</si>
  <si>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</si>
  <si>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</si>
  <si>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</si>
  <si>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</si>
  <si>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</si>
  <si>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</si>
  <si>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</si>
  <si>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</si>
  <si>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</si>
  <si>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</si>
  <si>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</si>
  <si>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</si>
  <si>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</si>
  <si>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</si>
  <si>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</si>
  <si>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</si>
  <si>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</si>
  <si>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</si>
  <si>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</si>
  <si>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</si>
  <si>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</si>
  <si>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</si>
  <si>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</si>
  <si>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</si>
  <si>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</si>
  <si>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</si>
  <si>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</si>
  <si>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</si>
  <si>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</si>
  <si>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</si>
  <si>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</si>
  <si>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</si>
  <si>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</si>
  <si>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</si>
  <si>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</si>
  <si>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</si>
  <si>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</si>
  <si>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</si>
  <si>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</si>
  <si>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</si>
  <si>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</si>
  <si>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</si>
  <si>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</si>
  <si>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</si>
  <si>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</si>
  <si>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</si>
  <si>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</si>
  <si>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</si>
  <si>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</si>
  <si>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</si>
  <si>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</si>
  <si>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</si>
  <si>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</si>
  <si>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</si>
  <si>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</si>
  <si>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</si>
  <si>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</si>
  <si>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</si>
  <si>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</si>
  <si>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</si>
  <si>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</si>
  <si>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</si>
  <si>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</si>
  <si>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</si>
  <si>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</si>
  <si>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</si>
  <si>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</si>
  <si>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</si>
  <si>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</si>
  <si>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</si>
  <si>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</si>
  <si>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</si>
  <si>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</si>
  <si>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</si>
  <si>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</si>
  <si>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</si>
  <si>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</si>
  <si>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</si>
  <si>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</si>
  <si>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</si>
  <si>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</si>
  <si>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</si>
  <si>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</si>
  <si>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</si>
  <si>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</si>
  <si>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</si>
  <si>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</si>
  <si>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</si>
  <si>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</si>
  <si>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</si>
  <si>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</si>
  <si>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</si>
  <si>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</si>
  <si>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</si>
  <si>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</si>
  <si>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</si>
  <si>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</si>
  <si>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</si>
  <si>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</si>
  <si>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</si>
  <si>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</si>
  <si>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</si>
  <si>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</si>
  <si>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</si>
  <si>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</si>
  <si>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</si>
  <si>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</si>
  <si>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</si>
  <si>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</si>
  <si>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</si>
  <si>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</si>
  <si>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</si>
  <si>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</si>
  <si>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</si>
  <si>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</si>
  <si>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</si>
  <si>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</si>
  <si>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</si>
  <si>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</si>
  <si>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</si>
  <si>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</si>
  <si>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</si>
  <si>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</si>
  <si>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</si>
  <si>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</si>
  <si>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</si>
  <si>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</si>
  <si>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</si>
  <si>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</si>
  <si>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</si>
  <si>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</si>
  <si>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</si>
  <si>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</si>
  <si>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</si>
  <si>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</si>
  <si>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</si>
  <si>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</si>
  <si>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</si>
  <si>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</si>
  <si>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</si>
  <si>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</si>
  <si>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</si>
  <si>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</si>
  <si>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</si>
  <si>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</si>
  <si>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</si>
  <si>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</si>
  <si>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</si>
  <si>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</si>
  <si>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</si>
  <si>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</si>
  <si>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</si>
  <si>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</si>
  <si>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</si>
  <si>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</si>
  <si>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</si>
  <si>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</si>
  <si>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</si>
  <si>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</si>
  <si>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</si>
  <si>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</si>
  <si>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</si>
  <si>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</si>
  <si>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</si>
  <si>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</si>
  <si>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</si>
  <si>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</si>
  <si>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</si>
  <si>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</si>
  <si>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</si>
  <si>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</si>
  <si>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</si>
  <si>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</si>
  <si>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</si>
  <si>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</si>
  <si>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</si>
  <si>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</si>
  <si>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</si>
  <si>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</si>
  <si>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</si>
  <si>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</si>
  <si>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</si>
  <si>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</si>
  <si>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</si>
  <si>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</si>
  <si>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</si>
  <si>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</si>
  <si>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</si>
  <si>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</si>
  <si>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</si>
  <si>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</si>
  <si>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</si>
  <si>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</si>
  <si>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</si>
  <si>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</si>
  <si>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</si>
  <si>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</si>
  <si>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</si>
  <si>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</si>
  <si>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</si>
  <si>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</si>
  <si>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</si>
  <si>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</si>
  <si>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</si>
  <si>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</si>
  <si>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</si>
  <si>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</si>
  <si>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</si>
  <si>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</si>
  <si>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</si>
  <si>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</si>
  <si>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</si>
  <si>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</si>
  <si>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</si>
  <si>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</si>
  <si>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</si>
  <si>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</si>
  <si>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</si>
  <si>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</si>
  <si>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</si>
  <si>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</si>
  <si>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</si>
  <si>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</si>
  <si>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</si>
  <si>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</si>
  <si>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</si>
  <si>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</si>
  <si>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</si>
  <si>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</si>
  <si>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</si>
  <si>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</si>
  <si>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</si>
  <si>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</si>
  <si>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</si>
  <si>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</si>
  <si>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</si>
  <si>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</si>
  <si>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</si>
  <si>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</si>
  <si>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</si>
  <si>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</si>
  <si>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</si>
  <si>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</si>
  <si>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</si>
  <si>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</si>
  <si>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</si>
  <si>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</si>
  <si>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</si>
  <si>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</si>
  <si>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</si>
  <si>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</si>
  <si>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</si>
  <si>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</si>
  <si>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</si>
  <si>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</si>
  <si>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</si>
  <si>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</si>
  <si>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</si>
  <si>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</si>
  <si>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</si>
  <si>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</si>
  <si>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</si>
  <si>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</si>
  <si>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</si>
  <si>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</si>
  <si>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</si>
  <si>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</si>
  <si>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</si>
  <si>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</si>
  <si>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</si>
  <si>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</si>
  <si>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</si>
  <si>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</si>
  <si>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</si>
  <si>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</si>
  <si>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</si>
  <si>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</si>
  <si>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</si>
  <si>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</si>
  <si>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</si>
  <si>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</si>
  <si>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</si>
  <si>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</si>
  <si>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</si>
  <si>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</si>
  <si>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</si>
  <si>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</si>
  <si>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</si>
  <si>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</si>
  <si>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</si>
  <si>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</si>
  <si>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</si>
  <si>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</si>
  <si>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</si>
  <si>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</si>
  <si>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</si>
  <si>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</si>
  <si>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</si>
  <si>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</si>
  <si>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</si>
  <si>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</si>
  <si>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</si>
  <si>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</si>
  <si>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</si>
  <si>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</si>
  <si>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</si>
  <si>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</si>
  <si>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</si>
  <si>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</si>
  <si>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</si>
  <si>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</si>
  <si>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</si>
  <si>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</si>
  <si>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</si>
  <si>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</si>
  <si>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</si>
  <si>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</si>
  <si>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</si>
  <si>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</si>
  <si>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</si>
  <si>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</si>
  <si>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</si>
  <si>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</si>
  <si>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</si>
  <si>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</si>
  <si>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</si>
  <si>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</si>
  <si>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</si>
  <si>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</si>
  <si>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</si>
  <si>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</si>
  <si>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</si>
  <si>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</si>
  <si>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</si>
  <si>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</si>
  <si>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</si>
  <si>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</si>
  <si>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</si>
  <si>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</si>
  <si>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</si>
  <si>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</si>
  <si>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</si>
  <si>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</si>
  <si>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</si>
  <si>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</si>
  <si>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</si>
  <si>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</si>
  <si>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</si>
  <si>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</si>
  <si>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</si>
  <si>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</si>
  <si>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</si>
  <si>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</si>
  <si>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</si>
  <si>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</si>
  <si>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</si>
  <si>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</si>
  <si>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</si>
  <si>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</si>
  <si>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</si>
  <si>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</si>
  <si>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</si>
  <si>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</si>
  <si>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</si>
  <si>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</si>
  <si>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</si>
  <si>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</si>
  <si>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</si>
  <si>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VINICIUS</t>
  </si>
  <si>
    <t>MBAPPE</t>
  </si>
  <si>
    <t>CRISTIANO RONALDO</t>
  </si>
  <si>
    <t>MESSI</t>
  </si>
  <si>
    <t>HAALAND</t>
  </si>
  <si>
    <t>ALEJANDRA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</si>
</sst>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cellStyle name="Normal 3" xfId="91"/>
    <cellStyle name="Normal 3 2" xfId="92"/>
    <cellStyle name="Normal 4" xfId="93"/>
  </cellStyles>
  <dxfs count="34">
    <dxf>
      <font>
        <color rgb="FF9C0006"/>
      </font>
      <fill>
        <patternFill>
          <bgColor rgb="FFFFC7CE"/>
        </patternFill>
      </fill>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0</v>
    <v>4</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1">
    <v>45</v>
    <v>5</v>
    <v>Bandera de República Democrática del Congo</v>
  </rv>
  <rv s="1">
    <v>46</v>
    <v>5</v>
    <v>Bandera de Irak</v>
  </rv>
  <rv s="0">
    <v>47</v>
    <v>5</v>
  </rv>
  <rv s="0">
    <v>48</v>
    <v>5</v>
  </rv>
  <rv s="0">
    <v>49</v>
    <v>5</v>
  </rv>
  <rv s="0">
    <v>50</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id="3" name="T_Equipos" displayName="T_Equipos" ref="A1:D49" totalsRowShown="0" headerRowDxfId="6" dataDxfId="5">
  <sortState ref="A2:D13">
    <sortCondition ref="D2:D13"/>
  </sortState>
  <tableColumns count="4">
    <tableColumn id="1" name="Num" dataDxfId="4">
      <calculatedColumnFormula>NOT(ISERROR(VLOOKUP(Equipos!$B2,#REF!,1,FALSE)))</calculatedColumnFormula>
    </tableColumn>
    <tableColumn id="2" name="NombreEquipo" dataDxfId="3">
      <calculatedColumnFormula>+INDEX(Idiomas!$D$202:$D$249,MATCH(T_Equipos[[#This Row],[Num]],Idiomas!$C$202:$C$249,0))</calculatedColumnFormula>
    </tableColumn>
    <tableColumn id="4" name="Grupo" dataDxfId="2"/>
    <tableColumn id="3"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AE64"/>
  <sheetViews>
    <sheetView showGridLines="0" showRowColHeaders="0" zoomScaleNormal="100" workbookViewId="0">
      <selection activeCell="C6" sqref="C6"/>
      <extLst>
        <ext xmlns:xlsdti="http://schemas.microsoft.com/office/spreadsheetml/2023/showDataTypeIcons" uri="{77bfe23e-c014-4d31-8a63-9c772dbf06b6}">
          <xlsdti:showDataTypeIcons visible="0"/>
        </ext>
      </extLst>
    </sheetView>
  </sheetViews>
  <sheetFormatPr baseColWidth="10"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
        <v>1521</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hyperlink ref="H22" r:id="rId2"/>
    <hyperlink ref="E22" r:id="rId3"/>
    <hyperlink ref="I22" r:id="rId4"/>
    <hyperlink ref="G22" r:id="rId5"/>
    <hyperlink ref="K6" location="WORLDCUP!AC4" display="WORLDCUP!AC4"/>
    <hyperlink ref="K8" location="Fixture!A1" display="Fixture"/>
    <hyperlink ref="L23" r:id="rId6" display="https://www.paypal.com/donate?business=PJ2B6ZBH7ZHR4&amp;currency_code=EUR"/>
    <hyperlink ref="K17" r:id="rId7"/>
    <hyperlink ref="K10" location="Credits!L2" display="Help"/>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14:formula1>
            <xm:f>Idiomas!$A$2:$A$3</xm:f>
          </x14:formula1>
          <xm:sqref>C6</xm:sqref>
        </x14:dataValidation>
        <x14:dataValidation type="list" allowBlank="1" showInputMessage="1" showErrorMessage="1">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DT192"/>
  <sheetViews>
    <sheetView showGridLines="0" showRowColHeaders="0" tabSelected="1" topLeftCell="V145" zoomScaleNormal="100" workbookViewId="0">
      <selection activeCell="AA159" sqref="AA159"/>
      <extLst>
        <ext xmlns:xlsdti="http://schemas.microsoft.com/office/spreadsheetml/2023/showDataTypeIcons" uri="{77bfe23e-c014-4d31-8a63-9c772dbf06b6}">
          <xlsdti:showDataTypeIcons visible="0"/>
        </ext>
      </extLst>
    </sheetView>
  </sheetViews>
  <sheetFormatPr baseColWidth="10"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5" customHeight="1" thickBot="1">
      <c r="A4" s="16" t="s">
        <v>32</v>
      </c>
      <c r="B4" s="16" t="s">
        <v>0</v>
      </c>
      <c r="C4" s="16">
        <f>COUNTIF(Equipos!$C$2:$C$49,WORLDCUP!B4)</f>
        <v>4</v>
      </c>
      <c r="D4" s="16" t="str">
        <f t="shared" ref="D4:D9" si="0">IF(OR(AC4="",AD4=""),"Pendiente",IF(AC4&gt;AD4,"Local",IF(AC4&lt;AD4,"Visitante","Empate")))</f>
        <v>Visitante</v>
      </c>
      <c r="E4" s="16" t="str">
        <f t="shared" ref="E4:E9" ca="1" si="1">IF(D4="Pendiente","-",INDEX($BT$6:$BT$53,MATCH($AA4,$BD$6:$BD$53,0)))</f>
        <v>P.2 (2)</v>
      </c>
      <c r="F4" s="16" t="str">
        <f t="shared" ref="F4:F9" ca="1" si="2">IF(D4="Pendiente","-",INDEX($BT$6:$BT$53,MATCH($AF4,$BD$6:$BD$53,0)))</f>
        <v>-</v>
      </c>
      <c r="G4" s="16"/>
      <c r="H4" s="16" t="str">
        <f t="shared" ref="H4:H9" ca="1" si="3">IF(D4="Pendiente","-",INDEX($BZ$6:$BZ$53,MATCH($AA4,$BD$6:$BD$53,0)))</f>
        <v>P.2 (2)</v>
      </c>
      <c r="I4" s="16" t="str">
        <f t="shared" ref="I4:I9" ca="1" si="4">IF(D4="Pendiente","-",INDEX($BZ$6:$BZ$53,MATCH($AF4,$BD$6:$BD$53,0)))</f>
        <v>-</v>
      </c>
      <c r="J4" s="16"/>
      <c r="K4" s="16" t="str">
        <f t="shared" ref="K4:K9" ca="1" si="5">IF(D4="Pendiente","-",INDEX($CE$6:$CE$53,MATCH($AA4,$BD$6:$BD$53,0)))</f>
        <v>P.2 (2)</v>
      </c>
      <c r="L4" s="16" t="str">
        <f t="shared" ref="L4:L9" ca="1" si="6">IF(D4="Pendiente","-",INDEX($CE$6:$CE$53,MATCH($AF4,$BD$6:$BD$53,0)))</f>
        <v>-</v>
      </c>
      <c r="M4" s="16"/>
      <c r="N4" s="16" t="str">
        <f t="shared" ref="N4:N9" ca="1" si="7">IF(D4="Pendiente","-",INDEX($CH$6:$CH$53,MATCH($AA4,$BD$6:$BD$53,0)))</f>
        <v>P.2 (2)</v>
      </c>
      <c r="O4" s="16" t="str">
        <f t="shared" ref="O4:O9" ca="1" si="8">IF(D4="Pendiente","-",INDEX($CH$6:$CH$53,MATCH($AF4,$BD$6:$BD$53,0)))</f>
        <v>-</v>
      </c>
      <c r="P4" s="16"/>
      <c r="Q4" s="16" t="str">
        <f t="shared" ref="Q4:Q9" ca="1" si="9">IF(D4="Pendiente","-",INDEX($CN$6:$CN$53,MATCH($AA4,$BD$6:$BD$53,0)))</f>
        <v>P.2 (2)</v>
      </c>
      <c r="R4" s="16" t="str">
        <f t="shared" ref="R4:R9" ca="1" si="10">IF(D4="Pendiente","-",INDEX($CN$6:$CN$53,MATCH($AF4,$BD$6:$BD$53,0)))</f>
        <v>-</v>
      </c>
      <c r="S4" s="16"/>
      <c r="T4" s="16" t="str">
        <f t="shared" ref="T4:T9" ca="1" si="11">IF(D4="Pendiente","-",INDEX($CS$6:$CS$53,MATCH($AA4,$BD$6:$BD$53,0)))</f>
        <v>P.2 (2)</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str" cm="1">
        <f t="array" aca="1" ref="AB4" ca="1">Ver_flag_local</f>
        <v/>
      </c>
      <c r="AC4" s="50">
        <v>2</v>
      </c>
      <c r="AD4" s="51">
        <v>4</v>
      </c>
      <c r="AE4" s="595" t="str" cm="1">
        <f t="array" aca="1" ref="AE4" ca="1">Ver_flag_visit</f>
        <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¡EMPATE! Puedes seleccionar el orden de los empatados.</v>
      </c>
      <c r="AW4" s="168"/>
      <c r="AX4" s="168"/>
      <c r="AY4" s="178"/>
      <c r="AZ4" s="178"/>
      <c r="BA4" s="176"/>
      <c r="DC4" s="16" t="s">
        <v>1497</v>
      </c>
    </row>
    <row r="5" spans="1:121" ht="15.95" customHeight="1">
      <c r="A5" s="16" t="str">
        <f ca="1">+Equipos!B2</f>
        <v>México</v>
      </c>
      <c r="B5" s="16"/>
      <c r="C5" s="16"/>
      <c r="D5" s="16" t="str">
        <f t="shared" si="0"/>
        <v>Local</v>
      </c>
      <c r="E5" s="16" t="str">
        <f t="shared" ca="1" si="1"/>
        <v>P.2 (2)</v>
      </c>
      <c r="F5" s="16" t="str">
        <f t="shared" ca="1" si="2"/>
        <v>-</v>
      </c>
      <c r="G5" s="16"/>
      <c r="H5" s="16" t="str">
        <f t="shared" ca="1" si="3"/>
        <v>P.2 (2)</v>
      </c>
      <c r="I5" s="16" t="str">
        <f t="shared" ca="1" si="4"/>
        <v>-</v>
      </c>
      <c r="J5" s="16"/>
      <c r="K5" s="16" t="str">
        <f t="shared" ca="1" si="5"/>
        <v>P.2 (2)</v>
      </c>
      <c r="L5" s="16" t="str">
        <f t="shared" ca="1" si="6"/>
        <v>-</v>
      </c>
      <c r="M5" s="16"/>
      <c r="N5" s="16" t="str">
        <f t="shared" ca="1" si="7"/>
        <v>P.2 (2)</v>
      </c>
      <c r="O5" s="16" t="str">
        <f t="shared" ca="1" si="8"/>
        <v>-</v>
      </c>
      <c r="P5" s="16"/>
      <c r="Q5" s="16" t="str">
        <f t="shared" ca="1" si="9"/>
        <v>P.2 (2)</v>
      </c>
      <c r="R5" s="16" t="str">
        <f t="shared" ca="1" si="10"/>
        <v>-</v>
      </c>
      <c r="S5" s="16"/>
      <c r="T5" s="16" t="str">
        <f t="shared" ca="1" si="11"/>
        <v>P.2 (2)</v>
      </c>
      <c r="U5" s="16" t="str">
        <f t="shared" ca="1" si="12"/>
        <v>-</v>
      </c>
      <c r="V5" s="17"/>
      <c r="W5" s="668"/>
      <c r="X5" s="24">
        <f ca="1">Horarios!C5</f>
        <v>46185.166666666664</v>
      </c>
      <c r="Y5" s="25">
        <f ca="1">Horarios!C5</f>
        <v>46185.166666666664</v>
      </c>
      <c r="Z5" s="26" t="str">
        <f>$Z$4</f>
        <v>J1</v>
      </c>
      <c r="AA5" s="27" t="str">
        <f ca="1">A7</f>
        <v>Corea del Sur</v>
      </c>
      <c r="AB5" s="49" t="str" cm="1">
        <f t="array" aca="1" ref="AB5" ca="1">Ver_flag_local</f>
        <v/>
      </c>
      <c r="AC5" s="50">
        <v>3</v>
      </c>
      <c r="AD5" s="51">
        <v>1</v>
      </c>
      <c r="AE5" s="595" t="str" cm="1">
        <f t="array" aca="1" ref="AE5" ca="1">Ver_flag_visit</f>
        <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2</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5"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str" cm="1">
        <f t="array" aca="1" ref="AB6" ca="1">Ver_flag_local</f>
        <v/>
      </c>
      <c r="AC6" s="50">
        <v>2</v>
      </c>
      <c r="AD6" s="51">
        <v>2</v>
      </c>
      <c r="AE6" s="595" t="str" cm="1">
        <f t="array" aca="1" ref="AE6" ca="1">Ver_flag_visit</f>
        <v/>
      </c>
      <c r="AF6" s="32" t="str">
        <f ca="1">A6</f>
        <v>Sudáfrica</v>
      </c>
      <c r="AG6" s="323">
        <f t="shared" si="13"/>
        <v>1</v>
      </c>
      <c r="AH6" s="195">
        <v>25</v>
      </c>
      <c r="AI6" s="181" t="str">
        <f>AJ6&amp;$B$4</f>
        <v>1A</v>
      </c>
      <c r="AJ6" s="40">
        <v>1</v>
      </c>
      <c r="AK6" s="597" t="str" cm="1">
        <f t="array" aca="1" ref="AK6" ca="1">Ver_flag_visit</f>
        <v/>
      </c>
      <c r="AL6" s="34" t="str">
        <f ca="1">IFERROR(INDEX($BD$6:$BD$53,MATCH(AI6,$BN$6:$BN$53,0)),"")</f>
        <v>Sudáfrica</v>
      </c>
      <c r="AM6" s="35">
        <f t="shared" ref="AM6:AT9" ca="1" si="15">INDEX($BE$6:$BN$53,MATCH($AL6,$BD$6:$BD$53,0),MATCH(AM$5,$BE$5:$BN$5,0))</f>
        <v>7</v>
      </c>
      <c r="AN6" s="36">
        <f t="shared" ca="1" si="15"/>
        <v>3</v>
      </c>
      <c r="AO6" s="36">
        <f t="shared" ca="1" si="15"/>
        <v>2</v>
      </c>
      <c r="AP6" s="36">
        <f t="shared" ca="1" si="15"/>
        <v>1</v>
      </c>
      <c r="AQ6" s="36">
        <f t="shared" ca="1" si="15"/>
        <v>0</v>
      </c>
      <c r="AR6" s="36">
        <f t="shared" ca="1" si="15"/>
        <v>11</v>
      </c>
      <c r="AS6" s="36">
        <f t="shared" ca="1" si="15"/>
        <v>7</v>
      </c>
      <c r="AT6" s="41">
        <f t="shared" ca="1" si="15"/>
        <v>4</v>
      </c>
      <c r="AU6" s="330">
        <f ca="1">INDEX($DL$6:$DL$53,MATCH(AI6,$DP$6:$DP$53,0))</f>
        <v>1</v>
      </c>
      <c r="AV6" s="182" t="str">
        <f ca="1">INDEX($BD$6:$BD$53,MATCH(AI6,$BM$6:$BM$53,0))</f>
        <v>Sudáfrica</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4</v>
      </c>
      <c r="BF6" s="16">
        <f ca="1">+BG6+BH6+BI6</f>
        <v>3</v>
      </c>
      <c r="BG6" s="16">
        <f t="shared" ref="BG6:BG53" ca="1" si="17">+COUNTIFS(FGLocal,BD6,Ganador,"Local")+COUNTIFS(FGVisitante,BD6,Ganador,"Visitante")</f>
        <v>1</v>
      </c>
      <c r="BH6" s="16">
        <f t="shared" ref="BH6:BH53" ca="1" si="18">+COUNTIFS(FGLocal,BD6,Ganador,"Empate")+COUNTIFS(FGVisitante,BD6,Ganador,"Empate")</f>
        <v>1</v>
      </c>
      <c r="BI6" s="16">
        <f t="shared" ref="BI6:BI53" ca="1" si="19">+COUNTIFS(FGVisitante,BD6,Ganador,"Local")+COUNTIFS(FGLocal,BD6,Ganador,"Visitante")</f>
        <v>1</v>
      </c>
      <c r="BJ6" s="16">
        <f t="shared" ref="BJ6:BJ53" ca="1" si="20">+SUMIFS(FG_GolesLocal,FGLocal,BD6,Ganador,"&lt;&gt;"&amp;"Pendiente",FG_GolesLocal,"&lt;&gt;"&amp;"",FG_GolesVisitante,"&lt;&gt;"&amp;"")+SUMIFS(FG_GolesVisitante,FGVisitante,BD6,Ganador,"&lt;&gt;"&amp;"Pendiente",FG_GolesLocal,"&lt;&gt;"&amp;"",FG_GolesVisitante,"&lt;&gt;"&amp;"")</f>
        <v>9</v>
      </c>
      <c r="BK6" s="16">
        <f t="shared" ref="BK6:BK53" ca="1" si="21">+SUMIFS(FG_GolesLocal,FGVisitante,BD6,Ganador,"&lt;&gt;"&amp;"Pendiente",FG_GolesLocal,"&lt;&gt;"&amp;"",FG_GolesVisitante,"&lt;&gt;"&amp;"")+SUMIFS(FG_GolesVisitante,FGLocal,BD6,Ganador,"&lt;&gt;"&amp;"Pendiente",FG_GolesLocal,"&lt;&gt;"&amp;"",FG_GolesVisitante,"&lt;&gt;"&amp;"")</f>
        <v>9</v>
      </c>
      <c r="BL6" s="16">
        <f ca="1">+BJ6-BK6</f>
        <v>0</v>
      </c>
      <c r="BM6" s="16" t="str">
        <f t="shared" ref="BM6:BM53" ca="1" si="22">DD6&amp;BC6</f>
        <v>2A</v>
      </c>
      <c r="BN6" s="16" t="str">
        <f t="shared" ref="BN6:BN53" ca="1" si="23">DH6&amp;BC6</f>
        <v>3A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4</v>
      </c>
      <c r="BS6" s="16">
        <f ca="1">BP6+COUNTIFS($BQ$6:$BQ$53,BQ6,$BR$6:BR$53,"&gt;"&amp;BR6,$BC$6:$BC$53,INDEX(T_Equipos[Grupo],MATCH(BD6,T_Equipos[NombreEquipo],0)))</f>
        <v>2</v>
      </c>
      <c r="BT6" s="16" t="str">
        <f ca="1">IF(COUNTIFS($BS$6:$BS$53,BS6,$BC$6:$BC$53,INDEX(T_Equipos[Grupo],MATCH(BD6,T_Equipos[NombreEquipo],0)))=1,"-","P."&amp;BS6&amp;" ("&amp;COUNTIFS($BS$6:$BS$53,BS6,$BC$6:$BC$53,INDEX(T_Equipos[Grupo],MATCH(BD6,T_Equipos[NombreEquipo],0)))&amp;")")</f>
        <v>P.2 (2)</v>
      </c>
      <c r="BU6" s="16">
        <f t="shared" ref="BU6:BU53" ca="1" si="24">IF($BT6="-","-",COUNTIFS(FGLocal,$BD6,Ganador,"Local",Part1Empate1V,$BT6)+COUNTIFS(FGVisitante,$BD6,Ganador,"Visitante",Part1Empate1L,$BT6))</f>
        <v>0</v>
      </c>
      <c r="BV6" s="16">
        <f t="shared" ref="BV6:BV53" ca="1" si="25">IF($BT6="-","-",COUNTIFS(FGLocal,$BD6,Ganador,"Empate",Part1Empate1V,$BT6)+COUNTIFS(FGVisitante,$BD6,Ganador,"Empate",Part1Empate1L,$BT6))</f>
        <v>1</v>
      </c>
      <c r="BW6" s="16">
        <f t="shared" ref="BW6:BW53" ca="1" si="26">IF($BT6="-","-",COUNTIFS(FGLocal,$BD6,Ganador,"Visitante",Part1Empate1V,$BT6)+COUNTIFS(FGVisitante,$BD6,Ganador,"Local",Part1Empate1L,$BT6))</f>
        <v>0</v>
      </c>
      <c r="BX6" s="16">
        <f ca="1">IF($BT6="-","-",BU6*3+BV6)</f>
        <v>1</v>
      </c>
      <c r="BY6" s="16">
        <f ca="1">BS6+COUNTIFS($BT$6:$BT$53,BT6,$BX$6:BX$53,"&gt;"&amp;BX6,$BC$6:$BC$53,INDEX(T_Equipos[Grupo],MATCH(BD6,T_Equipos[NombreEquipo],0)))</f>
        <v>2</v>
      </c>
      <c r="BZ6" s="16" t="str">
        <f ca="1">IF(COUNTIFS($BY$6:$BY$53,BY6,$BC$6:$BC$53,INDEX(T_Equipos[Grupo],MATCH(BD6,T_Equipos[NombreEquipo],0)))=1,"-","P."&amp;BY6&amp;" ("&amp;COUNTIFS($BY$6:$BY$53,BY6,$BC$6:$BC$53,INDEX(T_Equipos[Grupo],MATCH(BD6,T_Equipos[NombreEquipo],0)))&amp;")")</f>
        <v>P.2 (2)</v>
      </c>
      <c r="CA6" s="16">
        <f t="shared" ref="CA6:CA53" ca="1" si="27">IF($BZ6="-","-",SUMIFS(FG_GolesLocal,FGLocal,$BD6,Part1Empate2V,$BZ6)+SUMIFS(FG_GolesVisitante,FGVisitante,$BD6,Part1Empate2L,$BZ6))</f>
        <v>3</v>
      </c>
      <c r="CB6" s="16">
        <f t="shared" ref="CB6:CB53" ca="1" si="28">IF($BZ6="-","-",SUMIFS(FG_GolesVisitante,FGLocal,$BD6,Part1Empate2V,$BZ6)+SUMIFS(FG_GolesLocal,FGVisitante,$BD6,Part1Empate2L,$BZ6))</f>
        <v>3</v>
      </c>
      <c r="CC6" s="16">
        <f ca="1">IF($BZ6="-","-",CA6-CB6)</f>
        <v>0</v>
      </c>
      <c r="CD6" s="16">
        <f ca="1">BY6+COUNTIFS($BZ$6:$BZ$53,BZ6,$CC$6:CC$53,"&gt;"&amp;CC6,$BC$6:$BC$53,INDEX(T_Equipos[Grupo],MATCH(BD6,T_Equipos[NombreEquipo],0)))</f>
        <v>2</v>
      </c>
      <c r="CE6" s="16" t="str">
        <f ca="1">IF(COUNTIFS($CD$6:$CD$53,CD6,$BC$6:$BC$53,INDEX(T_Equipos[Grupo],MATCH(BD6,T_Equipos[NombreEquipo],0)))=1,"-","P."&amp;CD6&amp;" ("&amp;COUNTIFS($CD$6:$CD$53,CD6,$BC$6:$BC$53,INDEX(T_Equipos[Grupo],MATCH(BD6,T_Equipos[NombreEquipo],0)))&amp;")")</f>
        <v>P.2 (2)</v>
      </c>
      <c r="CF6" s="16">
        <f t="shared" ref="CF6:CF53" ca="1" si="29">IF($CE6="-","-",SUMIFS(FG_GolesLocal,FGLocal,$BD6,Part1Empate3V,$CE6)+SUMIFS(FG_GolesVisitante,FGVisitante,$BD6,Part1Empate3L,$CE6))</f>
        <v>3</v>
      </c>
      <c r="CG6" s="16">
        <f ca="1">CD6+COUNTIFS($CE$6:$CE$53,CE6,$CF$6:CF$53,"&gt;"&amp;CF6,$BC$6:$BC$53,INDEX(T_Equipos[Grupo],MATCH(BD6,T_Equipos[NombreEquipo],0)))</f>
        <v>2</v>
      </c>
      <c r="CH6" s="16" t="str">
        <f ca="1">IF(COUNTIFS($CG$6:$CG$53,CG6,$BC$6:$BC$53,INDEX(T_Equipos[Grupo],MATCH(BD6,T_Equipos[NombreEquipo],0)))=1,"-","P."&amp;CG6&amp;" ("&amp;COUNTIFS($CG$6:$CG$53,CG6,$BC$6:$BC$53,INDEX(T_Equipos[Grupo],MATCH(BD6,T_Equipos[NombreEquipo],0)))&amp;")")</f>
        <v>P.2 (2)</v>
      </c>
      <c r="CI6" s="16">
        <f t="shared" ref="CI6:CI53" ca="1" si="30">IF($CH6="-","-",COUNTIFS(FGLocal,$BD6,Ganador,"Local",Part2Empate4V,$CH6)+COUNTIFS(FGVisitante,$BD6,Ganador,"Visitante",Part2Empate4L,$CH6))</f>
        <v>0</v>
      </c>
      <c r="CJ6" s="16">
        <f t="shared" ref="CJ6:CJ53" ca="1" si="31">IF($CH6="-","-",COUNTIFS(FGLocal,$BD6,Ganador,"Empate",Part2Empate4V,$CH6)+COUNTIFS(FGVisitante,$BD6,Ganador,"Empate",Part2Empate4L,$CH6))</f>
        <v>1</v>
      </c>
      <c r="CK6" s="16">
        <f t="shared" ref="CK6:CK53" ca="1" si="32">IF($CH6="-","-",COUNTIFS(FGLocal,$BD6,Ganador,"Visitante",Part2Empate4V,$CH6)+COUNTIFS(FGVisitante,$BD6,Ganador,"Local",Part2Empate4L,$CH6))</f>
        <v>0</v>
      </c>
      <c r="CL6" s="16">
        <f ca="1">IF($CH6="-","-",CI6*3+CJ6)</f>
        <v>1</v>
      </c>
      <c r="CM6" s="16">
        <f ca="1">CG6+COUNTIFS($CH$6:$CH$53,CH6,$CL$6:CL$53,"&gt;"&amp;CL6,$BC$6:$BC$53,INDEX(T_Equipos[Grupo],MATCH(BD6,T_Equipos[NombreEquipo],0)))</f>
        <v>2</v>
      </c>
      <c r="CN6" s="16" t="str">
        <f ca="1">IF(COUNTIFS($CM$6:$CM$53,CM6,$BC$6:$BC$53,INDEX(T_Equipos[Grupo],MATCH(BD6,T_Equipos[NombreEquipo],0)))=1,"-","P."&amp;CM6&amp;" ("&amp;COUNTIFS($CM$6:$CM$53,CM6,$BC$6:$BC$53,INDEX(T_Equipos[Grupo],MATCH(BD6,T_Equipos[NombreEquipo],0)))&amp;")")</f>
        <v>P.2 (2)</v>
      </c>
      <c r="CO6" s="16">
        <f t="shared" ref="CO6:CO53" ca="1" si="33">IF($CN6="-","-",SUMIFS(FG_GolesLocal,FGLocal,$BD6,Part2Empate5V,$CN6)+SUMIFS(FG_GolesVisitante,FGVisitante,$BD6,Part2Empate5L,$CN6))</f>
        <v>3</v>
      </c>
      <c r="CP6" s="16">
        <f t="shared" ref="CP6:CP53" ca="1" si="34">IF($CN6="-","-",SUMIFS(FG_GolesVisitante,FGLocal,$BD6,Part2Empate5V,$CN6)+SUMIFS(FG_GolesLocal,FGVisitante,$BD6,Part2Empate5L,$CN6))</f>
        <v>3</v>
      </c>
      <c r="CQ6" s="16">
        <f ca="1">IF($CN6="-","-",CO6-CP6)</f>
        <v>0</v>
      </c>
      <c r="CR6" s="16">
        <f ca="1">CM6+COUNTIFS($CN$6:$CN$53,CN6,$CQ$6:CQ$53,"&gt;"&amp;CQ6,$BC$6:$BC$53,INDEX(T_Equipos[Grupo],MATCH(BD6,T_Equipos[NombreEquipo],0)))</f>
        <v>2</v>
      </c>
      <c r="CS6" s="16" t="str">
        <f ca="1">IF(COUNTIFS($CR$6:$CR$53,CR6,$BC$6:$BC$53,INDEX(T_Equipos[Grupo],MATCH(BD6,T_Equipos[NombreEquipo],0)))=1,"-","P."&amp;CR6&amp;" ("&amp;COUNTIFS($CR$6:$CR$53,CR6,$BC$6:$BC$53,INDEX(T_Equipos[Grupo],MATCH(BD6,T_Equipos[NombreEquipo],0)))&amp;")")</f>
        <v>P.2 (2)</v>
      </c>
      <c r="CT6" s="16">
        <f t="shared" ref="CT6:CT53" ca="1" si="35">IF($CS6="-","-",SUMIFS(FG_GolesLocal,FGLocal,$BD6,Part2Empate6V,$CS6)+SUMIFS(FG_GolesVisitante,FGVisitante,$BD6,Part2Empate6L,$CS6))</f>
        <v>3</v>
      </c>
      <c r="CU6" s="16">
        <f ca="1">CR6+COUNTIFS($CS$6:$CS$53,CS6,$CT$6:CT$53,"&gt;"&amp;CT6,$BC$6:$BC$53,INDEX(T_Equipos[Grupo],MATCH(BD6,T_Equipos[NombreEquipo],0)))</f>
        <v>2</v>
      </c>
      <c r="CV6" s="16" t="str">
        <f ca="1">IF(COUNTIFS($CU$6:$CU$53,CU6,$BC$6:$BC$53,INDEX(T_Equipos[Grupo],MATCH(BD6,T_Equipos[NombreEquipo],0)))=1,"-","P."&amp;CU6&amp;" ("&amp;COUNTIFS($CU$6:$CU$53,CU6,$BC$6:$BC$53,INDEX(T_Equipos[Grupo],MATCH(BD6,T_Equipos[NombreEquipo],0)))&amp;")")</f>
        <v>P.2 (2)</v>
      </c>
      <c r="CW6" s="16">
        <f t="shared" ref="CW6:CW53" ca="1" si="36">IF(CV6="-","-",BL6)</f>
        <v>0</v>
      </c>
      <c r="CX6" s="16">
        <f ca="1">CU6+COUNTIFS($CV$6:$CV$53,CV6,$CW$6:CW$53,"&gt;"&amp;CW6,$BC$6:$BC$53,INDEX(T_Equipos[Grupo],MATCH(BD6,T_Equipos[NombreEquipo],0)))</f>
        <v>2</v>
      </c>
      <c r="CY6" s="16" t="str">
        <f ca="1">IF(COUNTIFS($CX$6:$CX$53,CX6,$BC$6:$BC$53,INDEX(T_Equipos[Grupo],MATCH(BD6,T_Equipos[NombreEquipo],0)))=1,"-","P."&amp;CX6&amp;" ("&amp;COUNTIFS($CX$6:$CX$53,CX6,$BC$6:$BC$53,INDEX(T_Equipos[Grupo],MATCH(BD6,T_Equipos[NombreEquipo],0)))&amp;")")</f>
        <v>P.2 (2)</v>
      </c>
      <c r="CZ6" s="16">
        <f t="shared" ref="CZ6:CZ53" ca="1" si="37">IF(CY6="-","-",BJ6)</f>
        <v>9</v>
      </c>
      <c r="DA6" s="16">
        <f ca="1">CX6+COUNTIFS($CY$6:$CY$53,CY6,$CZ$6:CZ$53,"&gt;"&amp;CZ6,$BC$6:$BC$53,INDEX(T_Equipos[Grupo],MATCH(BD6,T_Equipos[NombreEquipo],0)))</f>
        <v>2</v>
      </c>
      <c r="DB6" s="16" t="str">
        <f ca="1">IF(COUNTIFS($DA$6:$DA$53,DA6,$BC$6:$BC$53,INDEX(T_Equipos[Grupo],MATCH(BD6,T_Equipos[NombreEquipo],0)))=1,"-","P."&amp;DA6&amp;" ("&amp;COUNTIFS($DA$6:$DA$53,DA6,$BC$6:$BC$53,INDEX(T_Equipos[Grupo],MATCH(BD6,T_Equipos[NombreEquipo],0)))&amp;")")</f>
        <v>P.2 (2)</v>
      </c>
      <c r="DC6" s="16">
        <f ca="1">IF(DB6="-","-",COUNTIFS(T_Equipos[Rank],"&lt;"&amp;INDEX(T_Equipos[Rank],MATCH(BD6,T_Equipos[NombreEquipo],0)),$BC$6:$BC$53,INDEX(T_Equipos[Grupo],MATCH(BD6,T_Equipos[NombreEquipo],0)))+1)</f>
        <v>1</v>
      </c>
      <c r="DD6" s="16">
        <f ca="1">DA6+COUNTIFS($DB$6:$DB$53,DB6,$DC$6:DC$53,"&lt;"&amp;DC6,$BC$6:$BC$53,INDEX(T_Equipos[Grupo],MATCH(BD6,T_Equipos[NombreEquipo],0)))</f>
        <v>2</v>
      </c>
      <c r="DE6" s="16"/>
      <c r="DF6" s="16">
        <f ca="1">IF(OR(INDEX($AW$6:$AW$97,MATCH($BD6,$AV$6:$AV$97,0))="",DB6="-"),DD6,INDEX($AW$6:$AW$97,MATCH($BD6,$AV$6:$AV$97,0))+DD6/1000)</f>
        <v>3.0019999999999998</v>
      </c>
      <c r="DG6" s="16">
        <f ca="1">IF(DB6="-","-",COUNTIFS(DF$6:DF$53,"&lt;"&amp;DF6,$BC$6:$BC$53,INDEX(T_Equipos[Grupo],MATCH(BD6,T_Equipos[NombreEquipo],0))))</f>
        <v>2</v>
      </c>
      <c r="DH6" s="16">
        <f ca="1">DA6+COUNTIFS(DB$6:DB$53,DB6,DG$6:DG$53,"&lt;"&amp;DG6,$BC$6:$BC$53,INDEX(T_Equipos[Grupo],MATCH(BD6,T_Equipos[NombreEquipo],0)))</f>
        <v>3</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Sudáfrica</v>
      </c>
    </row>
    <row r="7" spans="1:121" ht="15.95" customHeight="1">
      <c r="A7" s="16" t="str">
        <f ca="1">+Equipos!B4</f>
        <v>Corea del Sur</v>
      </c>
      <c r="B7" s="16"/>
      <c r="C7" s="16"/>
      <c r="D7" s="16" t="str">
        <f t="shared" si="0"/>
        <v>Empate</v>
      </c>
      <c r="E7" s="16" t="str">
        <f t="shared" ca="1" si="1"/>
        <v>P.2 (2)</v>
      </c>
      <c r="F7" s="16" t="str">
        <f t="shared" ca="1" si="2"/>
        <v>P.2 (2)</v>
      </c>
      <c r="G7" s="16"/>
      <c r="H7" s="16" t="str">
        <f t="shared" ca="1" si="3"/>
        <v>P.2 (2)</v>
      </c>
      <c r="I7" s="16" t="str">
        <f t="shared" ca="1" si="4"/>
        <v>P.2 (2)</v>
      </c>
      <c r="J7" s="16"/>
      <c r="K7" s="16" t="str">
        <f t="shared" ca="1" si="5"/>
        <v>P.2 (2)</v>
      </c>
      <c r="L7" s="16" t="str">
        <f t="shared" ca="1" si="6"/>
        <v>P.2 (2)</v>
      </c>
      <c r="M7" s="16"/>
      <c r="N7" s="16" t="str">
        <f t="shared" ca="1" si="7"/>
        <v>P.2 (2)</v>
      </c>
      <c r="O7" s="16" t="str">
        <f t="shared" ca="1" si="8"/>
        <v>P.2 (2)</v>
      </c>
      <c r="P7" s="16"/>
      <c r="Q7" s="16" t="str">
        <f t="shared" ca="1" si="9"/>
        <v>P.2 (2)</v>
      </c>
      <c r="R7" s="16" t="str">
        <f t="shared" ca="1" si="10"/>
        <v>P.2 (2)</v>
      </c>
      <c r="S7" s="16"/>
      <c r="T7" s="16" t="str">
        <f t="shared" ca="1" si="11"/>
        <v>P.2 (2)</v>
      </c>
      <c r="U7" s="16" t="str">
        <f t="shared" ca="1" si="12"/>
        <v>P.2 (2)</v>
      </c>
      <c r="V7" s="17"/>
      <c r="W7" s="668"/>
      <c r="X7" s="24">
        <f ca="1">Horarios!C7</f>
        <v>46192.125</v>
      </c>
      <c r="Y7" s="25">
        <f ca="1">Horarios!C7</f>
        <v>46192.125</v>
      </c>
      <c r="Z7" s="26" t="str">
        <f>$Z$6</f>
        <v>J2</v>
      </c>
      <c r="AA7" s="27" t="str">
        <f ca="1">A5</f>
        <v>México</v>
      </c>
      <c r="AB7" s="49" t="str" cm="1">
        <f t="array" aca="1" ref="AB7" ca="1">Ver_flag_local</f>
        <v/>
      </c>
      <c r="AC7" s="50">
        <v>3</v>
      </c>
      <c r="AD7" s="51">
        <v>3</v>
      </c>
      <c r="AE7" s="595" t="str" cm="1">
        <f t="array" aca="1" ref="AE7" ca="1">Ver_flag_visit</f>
        <v/>
      </c>
      <c r="AF7" s="32" t="str">
        <f ca="1">A7</f>
        <v>Corea del Sur</v>
      </c>
      <c r="AG7" s="323">
        <f t="shared" si="13"/>
        <v>1</v>
      </c>
      <c r="AH7" s="195">
        <v>28</v>
      </c>
      <c r="AI7" s="181" t="str">
        <f>AJ7&amp;$B$4</f>
        <v>2A</v>
      </c>
      <c r="AJ7" s="42">
        <v>2</v>
      </c>
      <c r="AK7" s="598" t="str" cm="1">
        <f t="array" aca="1" ref="AK7" ca="1">Ver_flag_visit</f>
        <v/>
      </c>
      <c r="AL7" s="37" t="str">
        <f ca="1">IFERROR(INDEX($BD$6:$BD$53,MATCH(AI7,$BN$6:$BN$53,0)),"")</f>
        <v>Corea del Sur</v>
      </c>
      <c r="AM7" s="38">
        <f t="shared" ca="1" si="15"/>
        <v>4</v>
      </c>
      <c r="AN7" s="39">
        <f t="shared" ca="1" si="15"/>
        <v>3</v>
      </c>
      <c r="AO7" s="39">
        <f t="shared" ca="1" si="15"/>
        <v>1</v>
      </c>
      <c r="AP7" s="39">
        <f t="shared" ca="1" si="15"/>
        <v>1</v>
      </c>
      <c r="AQ7" s="39">
        <f t="shared" ca="1" si="15"/>
        <v>1</v>
      </c>
      <c r="AR7" s="39">
        <f t="shared" ca="1" si="15"/>
        <v>9</v>
      </c>
      <c r="AS7" s="39">
        <f t="shared" ca="1" si="15"/>
        <v>9</v>
      </c>
      <c r="AT7" s="43">
        <f t="shared" ca="1" si="15"/>
        <v>0</v>
      </c>
      <c r="AU7" s="330">
        <f ca="1">INDEX($DL$6:$DL$53,MATCH(AI7,$DP$6:$DP$53,0))</f>
        <v>2</v>
      </c>
      <c r="AV7" s="182" t="str">
        <f ca="1">INDEX($BD$6:$BD$53,MATCH(AI7,$BM$6:$BM$53,0))</f>
        <v>México</v>
      </c>
      <c r="AW7" s="210">
        <v>3</v>
      </c>
      <c r="AX7" s="171"/>
      <c r="AY7" s="203" t="str">
        <f ca="1">+A6</f>
        <v>Sudáfrica</v>
      </c>
      <c r="AZ7" s="204"/>
      <c r="BA7" s="176"/>
      <c r="BC7" s="16" t="str">
        <f ca="1">+INDEX(T_Equipos[Grupo],MATCH(WORLDCUP!BD7,T_Equipos[NombreEquipo],0))</f>
        <v>A</v>
      </c>
      <c r="BD7" s="16" t="str">
        <f ca="1">+Equipos!B3</f>
        <v>Sudáfrica</v>
      </c>
      <c r="BE7" s="16">
        <f t="shared" ca="1" si="16"/>
        <v>7</v>
      </c>
      <c r="BF7" s="16">
        <f t="shared" ref="BF7:BF53" ca="1" si="41">+BG7+BH7+BI7</f>
        <v>3</v>
      </c>
      <c r="BG7" s="16">
        <f t="shared" ca="1" si="17"/>
        <v>2</v>
      </c>
      <c r="BH7" s="16">
        <f t="shared" ca="1" si="18"/>
        <v>1</v>
      </c>
      <c r="BI7" s="16">
        <f t="shared" ca="1" si="19"/>
        <v>0</v>
      </c>
      <c r="BJ7" s="16">
        <f t="shared" ca="1" si="20"/>
        <v>11</v>
      </c>
      <c r="BK7" s="16">
        <f t="shared" ca="1" si="21"/>
        <v>7</v>
      </c>
      <c r="BL7" s="16">
        <f t="shared" ref="BL7:BL53" ca="1" si="42">+BJ7-BK7</f>
        <v>4</v>
      </c>
      <c r="BM7" s="16" t="str">
        <f t="shared" ca="1" si="22"/>
        <v>1A</v>
      </c>
      <c r="BN7" s="16" t="str">
        <f t="shared" ca="1" si="23"/>
        <v>1A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7</v>
      </c>
      <c r="BS7" s="16">
        <f ca="1">BP7+COUNTIFS($BQ$6:$BQ$53,BQ7,$BR$6:BR$53,"&gt;"&amp;BR7,$BC$6:$BC$53,INDEX(T_Equipos[Grupo],MATCH(BD7,T_Equipos[NombreEquipo],0)))</f>
        <v>1</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1</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1</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1</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1</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1</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1</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1</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1</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1</v>
      </c>
      <c r="DE7" s="16"/>
      <c r="DF7" s="16">
        <f t="shared" ref="DF7:DF9" ca="1" si="45">IF(OR(INDEX($AW$6:$AW$97,MATCH($BD7,$AV$6:$AV$97,0))="",DB7="-"),DD7,INDEX($AW$6:$AW$97,MATCH($BD7,$AV$6:$AV$97,0))+DD7/1000)</f>
        <v>1</v>
      </c>
      <c r="DG7" s="16" t="str">
        <f ca="1">IF(DB7="-","-",COUNTIFS(DF$6:DF$53,"&lt;"&amp;DF7,$BC$6:$BC$53,INDEX(T_Equipos[Grupo],MATCH(BD7,T_Equipos[NombreEquipo],0))))</f>
        <v>-</v>
      </c>
      <c r="DH7" s="16">
        <f ca="1">DA7+COUNTIFS(DB$6:DB$53,DB7,DG$6:DG$53,"&lt;"&amp;DG7,$BC$6:$BC$53,INDEX(T_Equipos[Grupo],MATCH(BD7,T_Equipos[NombreEquipo],0)))</f>
        <v>1</v>
      </c>
      <c r="DI7" s="16"/>
      <c r="DJ7" s="16">
        <f t="shared" ca="1" si="38"/>
        <v>2</v>
      </c>
      <c r="DK7" s="16">
        <f t="shared" ca="1" si="39"/>
        <v>12</v>
      </c>
      <c r="DL7" s="16">
        <f t="shared" ca="1" si="40"/>
        <v>2</v>
      </c>
      <c r="DM7" s="16" t="str">
        <f t="shared" ref="DM7:DM53" ca="1" si="46">DJ7&amp;"."&amp;DL7</f>
        <v>2.2</v>
      </c>
      <c r="DN7" s="16" cm="1">
        <f t="array" aca="1" ref="DN7" ca="1">OFFSET(Horarios!$P$3,DJ7-1,0,DL7,1)</f>
        <v>2</v>
      </c>
      <c r="DO7" s="16"/>
      <c r="DP7" s="16" t="s">
        <v>657</v>
      </c>
      <c r="DQ7" s="16" t="str">
        <f t="shared" ref="DQ7:DQ53" ca="1" si="47">INDEX($BD$6:$BD$53,MATCH(DP7,$BM$6:$BM$53,0))</f>
        <v>México</v>
      </c>
    </row>
    <row r="8" spans="1:121" ht="15.95" customHeight="1">
      <c r="A8" s="16" t="str">
        <f ca="1">+Equipos!B5</f>
        <v>República Checa</v>
      </c>
      <c r="B8" s="16"/>
      <c r="C8" s="16"/>
      <c r="D8" s="16" t="str">
        <f t="shared" si="0"/>
        <v>Visitante</v>
      </c>
      <c r="E8" s="16" t="str">
        <f t="shared" ca="1" si="1"/>
        <v>-</v>
      </c>
      <c r="F8" s="16" t="str">
        <f t="shared" ca="1" si="2"/>
        <v>P.2 (2)</v>
      </c>
      <c r="G8" s="16"/>
      <c r="H8" s="16" t="str">
        <f t="shared" ca="1" si="3"/>
        <v>-</v>
      </c>
      <c r="I8" s="16" t="str">
        <f t="shared" ca="1" si="4"/>
        <v>P.2 (2)</v>
      </c>
      <c r="J8" s="16"/>
      <c r="K8" s="16" t="str">
        <f t="shared" ca="1" si="5"/>
        <v>-</v>
      </c>
      <c r="L8" s="16" t="str">
        <f t="shared" ca="1" si="6"/>
        <v>P.2 (2)</v>
      </c>
      <c r="M8" s="16"/>
      <c r="N8" s="16" t="str">
        <f t="shared" ca="1" si="7"/>
        <v>-</v>
      </c>
      <c r="O8" s="16" t="str">
        <f t="shared" ca="1" si="8"/>
        <v>P.2 (2)</v>
      </c>
      <c r="P8" s="16"/>
      <c r="Q8" s="16" t="str">
        <f t="shared" ca="1" si="9"/>
        <v>-</v>
      </c>
      <c r="R8" s="16" t="str">
        <f t="shared" ca="1" si="10"/>
        <v>P.2 (2)</v>
      </c>
      <c r="S8" s="16"/>
      <c r="T8" s="16" t="str">
        <f t="shared" ca="1" si="11"/>
        <v>-</v>
      </c>
      <c r="U8" s="16" t="str">
        <f t="shared" ca="1" si="12"/>
        <v>P.2 (2)</v>
      </c>
      <c r="V8" s="17"/>
      <c r="W8" s="668"/>
      <c r="X8" s="24">
        <f ca="1">Horarios!C8</f>
        <v>46198.125</v>
      </c>
      <c r="Y8" s="25">
        <f ca="1">Horarios!C8</f>
        <v>46198.125</v>
      </c>
      <c r="Z8" s="26" t="str">
        <f>Idiomas!D63</f>
        <v>J3</v>
      </c>
      <c r="AA8" s="27" t="str">
        <f ca="1">A8</f>
        <v>República Checa</v>
      </c>
      <c r="AB8" s="49" t="str" cm="1">
        <f t="array" aca="1" ref="AB8" ca="1">Ver_flag_local</f>
        <v/>
      </c>
      <c r="AC8" s="50">
        <v>2</v>
      </c>
      <c r="AD8" s="51">
        <v>4</v>
      </c>
      <c r="AE8" s="595" t="str" cm="1">
        <f t="array" aca="1" ref="AE8" ca="1">Ver_flag_visit</f>
        <v/>
      </c>
      <c r="AF8" s="32" t="str">
        <f ca="1">A5</f>
        <v>México</v>
      </c>
      <c r="AG8" s="323">
        <f t="shared" si="13"/>
        <v>1</v>
      </c>
      <c r="AH8" s="195">
        <v>53</v>
      </c>
      <c r="AI8" s="181" t="str">
        <f>AJ8&amp;$B$4</f>
        <v>3A</v>
      </c>
      <c r="AJ8" s="42">
        <v>3</v>
      </c>
      <c r="AK8" s="598" t="str" cm="1">
        <f t="array" aca="1" ref="AK8" ca="1">Ver_flag_visit</f>
        <v/>
      </c>
      <c r="AL8" s="37" t="str">
        <f ca="1">IFERROR(INDEX($BD$6:$BD$53,MATCH(AI8,$BN$6:$BN$53,0)),"")</f>
        <v>México</v>
      </c>
      <c r="AM8" s="38">
        <f t="shared" ca="1" si="15"/>
        <v>4</v>
      </c>
      <c r="AN8" s="39">
        <f t="shared" ca="1" si="15"/>
        <v>3</v>
      </c>
      <c r="AO8" s="39">
        <f t="shared" ca="1" si="15"/>
        <v>1</v>
      </c>
      <c r="AP8" s="39">
        <f t="shared" ca="1" si="15"/>
        <v>1</v>
      </c>
      <c r="AQ8" s="39">
        <f t="shared" ca="1" si="15"/>
        <v>1</v>
      </c>
      <c r="AR8" s="39">
        <f t="shared" ca="1" si="15"/>
        <v>9</v>
      </c>
      <c r="AS8" s="39">
        <f t="shared" ca="1" si="15"/>
        <v>9</v>
      </c>
      <c r="AT8" s="43">
        <f t="shared" ca="1" si="15"/>
        <v>0</v>
      </c>
      <c r="AU8" s="330">
        <f ca="1">INDEX($DL$6:$DL$53,MATCH(AI8,$DP$6:$DP$53,0))</f>
        <v>2</v>
      </c>
      <c r="AV8" s="182" t="str">
        <f ca="1">INDEX($BD$6:$BD$53,MATCH(AI8,$BM$6:$BM$53,0))</f>
        <v>Corea del Sur</v>
      </c>
      <c r="AW8" s="210">
        <v>2</v>
      </c>
      <c r="AX8" s="171"/>
      <c r="AY8" s="201" t="str">
        <f ca="1">+A7</f>
        <v>Corea del Sur</v>
      </c>
      <c r="AZ8" s="202"/>
      <c r="BA8" s="176"/>
      <c r="BC8" s="16" t="str">
        <f ca="1">+INDEX(T_Equipos[Grupo],MATCH(WORLDCUP!BD8,T_Equipos[NombreEquipo],0))</f>
        <v>A</v>
      </c>
      <c r="BD8" s="16" t="str">
        <f ca="1">+Equipos!B4</f>
        <v>Corea del Sur</v>
      </c>
      <c r="BE8" s="16">
        <f t="shared" ca="1" si="16"/>
        <v>4</v>
      </c>
      <c r="BF8" s="16">
        <f t="shared" ca="1" si="41"/>
        <v>3</v>
      </c>
      <c r="BG8" s="16">
        <f t="shared" ca="1" si="17"/>
        <v>1</v>
      </c>
      <c r="BH8" s="16">
        <f t="shared" ca="1" si="18"/>
        <v>1</v>
      </c>
      <c r="BI8" s="16">
        <f t="shared" ca="1" si="19"/>
        <v>1</v>
      </c>
      <c r="BJ8" s="16">
        <f t="shared" ca="1" si="20"/>
        <v>9</v>
      </c>
      <c r="BK8" s="16">
        <f t="shared" ca="1" si="21"/>
        <v>9</v>
      </c>
      <c r="BL8" s="16">
        <f t="shared" ca="1" si="42"/>
        <v>0</v>
      </c>
      <c r="BM8" s="16" t="str">
        <f t="shared" ca="1" si="22"/>
        <v>3A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4</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P.2 (2)</v>
      </c>
      <c r="BU8" s="16">
        <f t="shared" ca="1" si="24"/>
        <v>0</v>
      </c>
      <c r="BV8" s="16">
        <f t="shared" ca="1" si="25"/>
        <v>1</v>
      </c>
      <c r="BW8" s="16">
        <f t="shared" ca="1" si="26"/>
        <v>0</v>
      </c>
      <c r="BX8" s="16">
        <f ca="1">IF($BT8="-","-",BU8*3+BV8)</f>
        <v>1</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P.2 (2)</v>
      </c>
      <c r="CA8" s="16">
        <f t="shared" ca="1" si="27"/>
        <v>3</v>
      </c>
      <c r="CB8" s="16">
        <f t="shared" ca="1" si="28"/>
        <v>3</v>
      </c>
      <c r="CC8" s="16">
        <f ca="1">IF($BZ8="-","-",CA8-CB8)</f>
        <v>0</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P.2 (2)</v>
      </c>
      <c r="CF8" s="16">
        <f t="shared" ca="1" si="29"/>
        <v>3</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P.2 (2)</v>
      </c>
      <c r="CI8" s="16">
        <f t="shared" ca="1" si="30"/>
        <v>0</v>
      </c>
      <c r="CJ8" s="16">
        <f t="shared" ca="1" si="31"/>
        <v>1</v>
      </c>
      <c r="CK8" s="16">
        <f t="shared" ca="1" si="32"/>
        <v>0</v>
      </c>
      <c r="CL8" s="16">
        <f ca="1">IF($CH8="-","-",CI8*3+CJ8)</f>
        <v>1</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P.2 (2)</v>
      </c>
      <c r="CO8" s="16">
        <f t="shared" ca="1" si="33"/>
        <v>3</v>
      </c>
      <c r="CP8" s="16">
        <f t="shared" ca="1" si="34"/>
        <v>3</v>
      </c>
      <c r="CQ8" s="16">
        <f ca="1">IF($CN8="-","-",CO8-CP8)</f>
        <v>0</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P.2 (2)</v>
      </c>
      <c r="CT8" s="16">
        <f t="shared" ca="1" si="35"/>
        <v>3</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P.2 (2)</v>
      </c>
      <c r="CW8" s="16">
        <f t="shared" ca="1" si="36"/>
        <v>0</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P.2 (2)</v>
      </c>
      <c r="CZ8" s="16">
        <f t="shared" ca="1" si="37"/>
        <v>9</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P.2 (2)</v>
      </c>
      <c r="DC8" s="16">
        <f ca="1">IF(DB8="-","-",COUNTIFS(T_Equipos[Rank],"&lt;"&amp;INDEX(T_Equipos[Rank],MATCH(BD8,T_Equipos[NombreEquipo],0)),$BC$6:$BC$53,INDEX(T_Equipos[Grupo],MATCH(BD8,T_Equipos[NombreEquipo],0)))+1)</f>
        <v>3</v>
      </c>
      <c r="DD8" s="16">
        <f ca="1">DA8+COUNTIFS($DB$6:$DB$53,DB8,$DC$6:DC$53,"&lt;"&amp;DC8,$BC$6:$BC$53,INDEX(T_Equipos[Grupo],MATCH(BD8,T_Equipos[NombreEquipo],0)))</f>
        <v>3</v>
      </c>
      <c r="DE8" s="16"/>
      <c r="DF8" s="16">
        <f t="shared" ca="1" si="45"/>
        <v>2.0030000000000001</v>
      </c>
      <c r="DG8" s="16">
        <f ca="1">IF(DB8="-","-",COUNTIFS(DF$6:DF$53,"&lt;"&amp;DF8,$BC$6:$BC$53,INDEX(T_Equipos[Grupo],MATCH(BD8,T_Equipos[NombreEquipo],0))))</f>
        <v>1</v>
      </c>
      <c r="DH8" s="16">
        <f ca="1">DA8+COUNTIFS(DB$6:DB$53,DB8,DG$6:DG$53,"&lt;"&amp;DG8,$BC$6:$BC$53,INDEX(T_Equipos[Grupo],MATCH(BD8,T_Equipos[NombreEquipo],0)))</f>
        <v>2</v>
      </c>
      <c r="DI8" s="16"/>
      <c r="DJ8" s="16">
        <f t="shared" ca="1" si="38"/>
        <v>2</v>
      </c>
      <c r="DK8" s="16">
        <f t="shared" ca="1" si="39"/>
        <v>12</v>
      </c>
      <c r="DL8" s="16">
        <f t="shared" ca="1" si="40"/>
        <v>2</v>
      </c>
      <c r="DM8" s="16" t="str">
        <f t="shared" ca="1" si="46"/>
        <v>2.2</v>
      </c>
      <c r="DN8" s="16" cm="1">
        <f t="array" aca="1" ref="DN8" ca="1">OFFSET(Horarios!$P$3,DJ8-1,0,DL8,1)</f>
        <v>2</v>
      </c>
      <c r="DO8" s="16"/>
      <c r="DP8" s="16" t="s">
        <v>90</v>
      </c>
      <c r="DQ8" s="16" t="str">
        <f t="shared" ca="1" si="47"/>
        <v>Corea del Sur</v>
      </c>
    </row>
    <row r="9" spans="1:121" ht="15.95" customHeight="1" thickBot="1">
      <c r="A9" s="16"/>
      <c r="B9" s="16"/>
      <c r="C9" s="16"/>
      <c r="D9" s="16" t="str">
        <f t="shared" si="0"/>
        <v>Local</v>
      </c>
      <c r="E9" s="16" t="str">
        <f t="shared" ca="1" si="1"/>
        <v>-</v>
      </c>
      <c r="F9" s="16" t="str">
        <f t="shared" ca="1" si="2"/>
        <v>P.2 (2)</v>
      </c>
      <c r="G9" s="16"/>
      <c r="H9" s="16" t="str">
        <f t="shared" ca="1" si="3"/>
        <v>-</v>
      </c>
      <c r="I9" s="16" t="str">
        <f t="shared" ca="1" si="4"/>
        <v>P.2 (2)</v>
      </c>
      <c r="J9" s="16"/>
      <c r="K9" s="16" t="str">
        <f t="shared" ca="1" si="5"/>
        <v>-</v>
      </c>
      <c r="L9" s="16" t="str">
        <f t="shared" ca="1" si="6"/>
        <v>P.2 (2)</v>
      </c>
      <c r="M9" s="16"/>
      <c r="N9" s="16" t="str">
        <f t="shared" ca="1" si="7"/>
        <v>-</v>
      </c>
      <c r="O9" s="16" t="str">
        <f t="shared" ca="1" si="8"/>
        <v>P.2 (2)</v>
      </c>
      <c r="P9" s="16"/>
      <c r="Q9" s="16" t="str">
        <f t="shared" ca="1" si="9"/>
        <v>-</v>
      </c>
      <c r="R9" s="16" t="str">
        <f t="shared" ca="1" si="10"/>
        <v>P.2 (2)</v>
      </c>
      <c r="S9" s="16"/>
      <c r="T9" s="16" t="str">
        <f t="shared" ca="1" si="11"/>
        <v>-</v>
      </c>
      <c r="U9" s="16" t="str">
        <f t="shared" ca="1" si="12"/>
        <v>P.2 (2)</v>
      </c>
      <c r="V9" s="17"/>
      <c r="W9" s="669"/>
      <c r="X9" s="28">
        <f ca="1">Horarios!C9</f>
        <v>46198.125</v>
      </c>
      <c r="Y9" s="29">
        <f ca="1">Horarios!C9</f>
        <v>46198.125</v>
      </c>
      <c r="Z9" s="30" t="str">
        <f>$Z$8</f>
        <v>J3</v>
      </c>
      <c r="AA9" s="31" t="str">
        <f ca="1">A6</f>
        <v>Sudáfrica</v>
      </c>
      <c r="AB9" s="52" t="str" cm="1">
        <f t="array" aca="1" ref="AB9" ca="1">Ver_flag_local</f>
        <v/>
      </c>
      <c r="AC9" s="53">
        <v>5</v>
      </c>
      <c r="AD9" s="54">
        <v>3</v>
      </c>
      <c r="AE9" s="596" t="str" cm="1">
        <f t="array" aca="1" ref="AE9" ca="1">Ver_flag_visit</f>
        <v/>
      </c>
      <c r="AF9" s="33" t="str">
        <f ca="1">A7</f>
        <v>Corea del Sur</v>
      </c>
      <c r="AG9" s="323">
        <f t="shared" si="13"/>
        <v>1</v>
      </c>
      <c r="AH9" s="195">
        <v>54</v>
      </c>
      <c r="AI9" s="181" t="str">
        <f>AJ9&amp;$B$4</f>
        <v>4A</v>
      </c>
      <c r="AJ9" s="44">
        <v>4</v>
      </c>
      <c r="AK9" s="599" t="str" cm="1">
        <f t="array" aca="1" ref="AK9" ca="1">Ver_flag_visit</f>
        <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5</v>
      </c>
      <c r="AS9" s="47">
        <f t="shared" ca="1" si="15"/>
        <v>9</v>
      </c>
      <c r="AT9" s="48">
        <f t="shared" ca="1" si="15"/>
        <v>-4</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5</v>
      </c>
      <c r="BK9" s="16">
        <f t="shared" ca="1" si="21"/>
        <v>9</v>
      </c>
      <c r="BL9" s="16">
        <f t="shared" ca="1" si="42"/>
        <v>-4</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República Checa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9</v>
      </c>
      <c r="BK10" s="16">
        <f t="shared" ca="1" si="21"/>
        <v>8</v>
      </c>
      <c r="BL10" s="16">
        <f t="shared" ca="1" si="42"/>
        <v>1</v>
      </c>
      <c r="BM10" s="16" t="str">
        <f t="shared" ca="1" si="22"/>
        <v>3B</v>
      </c>
      <c r="BN10" s="16" t="str">
        <f t="shared" ca="1" si="23"/>
        <v>3B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3</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3</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3</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3</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3</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3</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3</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3</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3</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3</v>
      </c>
      <c r="DE10" s="16"/>
      <c r="DF10" s="16">
        <f t="shared" ref="DF10:DF53" ca="1" si="52">IF(OR(INDEX($AW$6:$AW$97,MATCH($BD10,$AV$6:$AV$97,0))="",DB10="-"),DD10,INDEX($AW$6:$AW$97,MATCH($BD10,$AV$6:$AV$97,0))+DD10/1000)</f>
        <v>3</v>
      </c>
      <c r="DG10" s="16" t="str">
        <f ca="1">IF(DB10="-","-",COUNTIFS(DF$6:DF$53,"&lt;"&amp;DF10,$BC$6:$BC$53,INDEX(T_Equipos[Grupo],MATCH(BD10,T_Equipos[NombreEquipo],0))))</f>
        <v>-</v>
      </c>
      <c r="DH10" s="16">
        <f ca="1">DA10+COUNTIFS(DB$6:DB$53,DB10,DG$6:DG$53,"&lt;"&amp;DG10,$BC$6:$BC$53,INDEX(T_Equipos[Grupo],MATCH(BD10,T_Equipos[NombreEquipo],0)))</f>
        <v>3</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Catar</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0</v>
      </c>
      <c r="BF11" s="16">
        <f t="shared" ca="1" si="41"/>
        <v>3</v>
      </c>
      <c r="BG11" s="16">
        <f t="shared" ca="1" si="17"/>
        <v>0</v>
      </c>
      <c r="BH11" s="16">
        <f t="shared" ca="1" si="18"/>
        <v>0</v>
      </c>
      <c r="BI11" s="16">
        <f t="shared" ca="1" si="19"/>
        <v>3</v>
      </c>
      <c r="BJ11" s="16">
        <f t="shared" ca="1" si="20"/>
        <v>5</v>
      </c>
      <c r="BK11" s="16">
        <f t="shared" ca="1" si="21"/>
        <v>10</v>
      </c>
      <c r="BL11" s="16">
        <f t="shared" ca="1" si="42"/>
        <v>-5</v>
      </c>
      <c r="BM11" s="16" t="str">
        <f t="shared" ca="1" si="22"/>
        <v>4B</v>
      </c>
      <c r="BN11" s="16" t="str">
        <f t="shared" ca="1" si="23"/>
        <v>4B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0</v>
      </c>
      <c r="BS11" s="16">
        <f ca="1">BP11+COUNTIFS($BQ$6:$BQ$53,BQ11,$BR$6:BR$53,"&gt;"&amp;BR11,$BC$6:$BC$53,INDEX(T_Equipos[Grupo],MATCH(BD11,T_Equipos[NombreEquipo],0)))</f>
        <v>4</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4</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4</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4</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4</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4</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4</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4</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4</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4</v>
      </c>
      <c r="DE11" s="16"/>
      <c r="DF11" s="16">
        <f t="shared" ca="1" si="52"/>
        <v>4</v>
      </c>
      <c r="DG11" s="16" t="str">
        <f ca="1">IF(DB11="-","-",COUNTIFS(DF$6:DF$53,"&lt;"&amp;DF11,$BC$6:$BC$53,INDEX(T_Equipos[Grupo],MATCH(BD11,T_Equipos[NombreEquipo],0))))</f>
        <v>-</v>
      </c>
      <c r="DH11" s="16">
        <f ca="1">DA11+COUNTIFS(DB$6:DB$53,DB11,DG$6:DG$53,"&lt;"&amp;DG11,$BC$6:$BC$53,INDEX(T_Equipos[Grupo],MATCH(BD11,T_Equipos[NombreEquipo],0)))</f>
        <v>4</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Suiza</v>
      </c>
    </row>
    <row r="12" spans="1:121" ht="15.9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str" cm="1">
        <f t="array" aca="1" ref="AB12" ca="1">Ver_flag_local</f>
        <v/>
      </c>
      <c r="AC12" s="50">
        <v>3</v>
      </c>
      <c r="AD12" s="51">
        <v>1</v>
      </c>
      <c r="AE12" s="595" t="str" cm="1">
        <f t="array" aca="1" ref="AE12" ca="1">Ver_flag_visit</f>
        <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7</v>
      </c>
      <c r="BF12" s="16">
        <f t="shared" ca="1" si="41"/>
        <v>3</v>
      </c>
      <c r="BG12" s="16">
        <f t="shared" ca="1" si="17"/>
        <v>2</v>
      </c>
      <c r="BH12" s="16">
        <f t="shared" ca="1" si="18"/>
        <v>1</v>
      </c>
      <c r="BI12" s="16">
        <f t="shared" ca="1" si="19"/>
        <v>0</v>
      </c>
      <c r="BJ12" s="16">
        <f t="shared" ca="1" si="20"/>
        <v>11</v>
      </c>
      <c r="BK12" s="16">
        <f t="shared" ca="1" si="21"/>
        <v>7</v>
      </c>
      <c r="BL12" s="16">
        <f t="shared" ca="1" si="42"/>
        <v>4</v>
      </c>
      <c r="BM12" s="16" t="str">
        <f t="shared" ca="1" si="22"/>
        <v>1B</v>
      </c>
      <c r="BN12" s="16" t="str">
        <f t="shared" ca="1" si="23"/>
        <v>1B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7</v>
      </c>
      <c r="BS12" s="16">
        <f ca="1">BP12+COUNTIFS($BQ$6:$BQ$53,BQ12,$BR$6:BR$53,"&gt;"&amp;BR12,$BC$6:$BC$53,INDEX(T_Equipos[Grupo],MATCH(BD12,T_Equipos[NombreEquipo],0)))</f>
        <v>1</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1</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1</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1</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1</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1</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1</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1</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1</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1</v>
      </c>
      <c r="DE12" s="16"/>
      <c r="DF12" s="16">
        <f t="shared" ca="1" si="52"/>
        <v>1</v>
      </c>
      <c r="DG12" s="16" t="str">
        <f ca="1">IF(DB12="-","-",COUNTIFS(DF$6:DF$53,"&lt;"&amp;DF12,$BC$6:$BC$53,INDEX(T_Equipos[Grupo],MATCH(BD12,T_Equipos[NombreEquipo],0))))</f>
        <v>-</v>
      </c>
      <c r="DH12" s="16">
        <f ca="1">DA12+COUNTIFS(DB$6:DB$53,DB12,DG$6:DG$53,"&lt;"&amp;DG12,$BC$6:$BC$53,INDEX(T_Equipos[Grupo],MATCH(BD12,T_Equipos[NombreEquipo],0)))</f>
        <v>1</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Canadá</v>
      </c>
    </row>
    <row r="13" spans="1:121" ht="15.95" customHeight="1">
      <c r="A13" s="16" t="str">
        <f ca="1">+Equipos!B6</f>
        <v>Canadá</v>
      </c>
      <c r="B13" s="16"/>
      <c r="C13" s="16"/>
      <c r="D13" s="16" t="str">
        <f t="shared" si="53"/>
        <v>Local</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70"/>
      <c r="X13" s="24">
        <f ca="1">Horarios!C13</f>
        <v>46186.875</v>
      </c>
      <c r="Y13" s="25">
        <f ca="1">Horarios!C13</f>
        <v>46186.875</v>
      </c>
      <c r="Z13" s="26" t="str">
        <f>$Z$4</f>
        <v>J1</v>
      </c>
      <c r="AA13" s="27" t="str">
        <f ca="1">A15</f>
        <v>Catar</v>
      </c>
      <c r="AB13" s="49" t="str" cm="1">
        <f t="array" aca="1" ref="AB13" ca="1">Ver_flag_local</f>
        <v/>
      </c>
      <c r="AC13" s="50">
        <v>5</v>
      </c>
      <c r="AD13" s="51">
        <v>2</v>
      </c>
      <c r="AE13" s="595" t="str" cm="1">
        <f t="array" aca="1" ref="AE13" ca="1">Ver_flag_visit</f>
        <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6</v>
      </c>
      <c r="BF13" s="16">
        <f t="shared" ca="1" si="41"/>
        <v>3</v>
      </c>
      <c r="BG13" s="16">
        <f t="shared" ca="1" si="17"/>
        <v>2</v>
      </c>
      <c r="BH13" s="16">
        <f t="shared" ca="1" si="18"/>
        <v>0</v>
      </c>
      <c r="BI13" s="16">
        <f t="shared" ca="1" si="19"/>
        <v>1</v>
      </c>
      <c r="BJ13" s="16">
        <f t="shared" ca="1" si="20"/>
        <v>10</v>
      </c>
      <c r="BK13" s="16">
        <f t="shared" ca="1" si="21"/>
        <v>10</v>
      </c>
      <c r="BL13" s="16">
        <f t="shared" ca="1" si="42"/>
        <v>0</v>
      </c>
      <c r="BM13" s="16" t="str">
        <f t="shared" ca="1" si="22"/>
        <v>2B</v>
      </c>
      <c r="BN13" s="16" t="str">
        <f t="shared" ca="1" si="23"/>
        <v>2B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6</v>
      </c>
      <c r="BS13" s="16">
        <f ca="1">BP13+COUNTIFS($BQ$6:$BQ$53,BQ13,$BR$6:BR$53,"&gt;"&amp;BR13,$BC$6:$BC$53,INDEX(T_Equipos[Grupo],MATCH(BD13,T_Equipos[NombreEquipo],0)))</f>
        <v>2</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2</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2</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2</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2</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2</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2</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2</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2</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2</v>
      </c>
      <c r="DE13" s="16"/>
      <c r="DF13" s="16">
        <f t="shared" ca="1" si="52"/>
        <v>2</v>
      </c>
      <c r="DG13" s="16" t="str">
        <f ca="1">IF(DB13="-","-",COUNTIFS(DF$6:DF$53,"&lt;"&amp;DF13,$BC$6:$BC$53,INDEX(T_Equipos[Grupo],MATCH(BD13,T_Equipos[NombreEquipo],0))))</f>
        <v>-</v>
      </c>
      <c r="DH13" s="16">
        <f ca="1">DA13+COUNTIFS(DB$6:DB$53,DB13,DG$6:DG$53,"&lt;"&amp;DG13,$BC$6:$BC$53,INDEX(T_Equipos[Grupo],MATCH(BD13,T_Equipos[NombreEquipo],0)))</f>
        <v>2</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Bosnia y Herzegovina</v>
      </c>
    </row>
    <row r="14" spans="1:121" ht="15.9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70"/>
      <c r="X14" s="24">
        <f ca="1">Horarios!C14</f>
        <v>46191.875</v>
      </c>
      <c r="Y14" s="25">
        <f ca="1">Horarios!C14</f>
        <v>46191.875</v>
      </c>
      <c r="Z14" s="26" t="str">
        <f>$Z$6</f>
        <v>J2</v>
      </c>
      <c r="AA14" s="27" t="str">
        <f ca="1">A16</f>
        <v>Suiza</v>
      </c>
      <c r="AB14" s="49" t="str" cm="1">
        <f t="array" aca="1" ref="AB14" ca="1">Ver_flag_local</f>
        <v/>
      </c>
      <c r="AC14" s="50">
        <v>4</v>
      </c>
      <c r="AD14" s="51">
        <v>2</v>
      </c>
      <c r="AE14" s="595" t="str" cm="1">
        <f t="array" aca="1" ref="AE14" ca="1">Ver_flag_visit</f>
        <v/>
      </c>
      <c r="AF14" s="32" t="str">
        <f ca="1">A14</f>
        <v>Bosnia y Herzegovina</v>
      </c>
      <c r="AG14" s="323">
        <f t="shared" si="66"/>
        <v>1</v>
      </c>
      <c r="AH14" s="195">
        <v>26</v>
      </c>
      <c r="AI14" s="181" t="str">
        <f>AJ14&amp;$B$12</f>
        <v>1B</v>
      </c>
      <c r="AJ14" s="71">
        <v>1</v>
      </c>
      <c r="AK14" s="601" t="str" cm="1">
        <f t="array" aca="1" ref="AK14" ca="1">Ver_flag_visit</f>
        <v/>
      </c>
      <c r="AL14" s="34" t="str">
        <f ca="1">IFERROR(INDEX($BD$6:$BD$53,MATCH(AI14,$BN$6:$BN$53,0)),"")</f>
        <v>Catar</v>
      </c>
      <c r="AM14" s="35">
        <f t="shared" ref="AM14:AT17" ca="1" si="69">INDEX($BE$6:$BN$53,MATCH($AL14,$BD$6:$BD$53,0),MATCH(AM$5,$BE$5:$BN$5,0))</f>
        <v>7</v>
      </c>
      <c r="AN14" s="36">
        <f t="shared" ca="1" si="69"/>
        <v>3</v>
      </c>
      <c r="AO14" s="36">
        <f t="shared" ca="1" si="69"/>
        <v>2</v>
      </c>
      <c r="AP14" s="36">
        <f t="shared" ca="1" si="69"/>
        <v>1</v>
      </c>
      <c r="AQ14" s="36">
        <f t="shared" ca="1" si="69"/>
        <v>0</v>
      </c>
      <c r="AR14" s="36">
        <f t="shared" ca="1" si="69"/>
        <v>11</v>
      </c>
      <c r="AS14" s="36">
        <f t="shared" ca="1" si="69"/>
        <v>7</v>
      </c>
      <c r="AT14" s="72">
        <f t="shared" ca="1" si="69"/>
        <v>4</v>
      </c>
      <c r="AU14" s="330">
        <f ca="1">INDEX($DL$6:$DL$53,MATCH(AI14,$DP$6:$DP$53,0))</f>
        <v>1</v>
      </c>
      <c r="AV14" s="182" t="str">
        <f ca="1">INDEX($BD$6:$BD$53,MATCH(AI14,$BM$6:$BM$53,0))</f>
        <v>Catar</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18</v>
      </c>
      <c r="BK14" s="16">
        <f t="shared" ca="1" si="21"/>
        <v>1</v>
      </c>
      <c r="BL14" s="16">
        <f t="shared" ca="1" si="42"/>
        <v>17</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5.95" customHeight="1">
      <c r="A15" s="16" t="str">
        <f ca="1">+Equipos!B8</f>
        <v>Catar</v>
      </c>
      <c r="B15" s="16"/>
      <c r="C15" s="16"/>
      <c r="D15" s="16" t="str">
        <f t="shared" si="53"/>
        <v>Empate</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70"/>
      <c r="X15" s="24">
        <f ca="1">Horarios!C15</f>
        <v>46192</v>
      </c>
      <c r="Y15" s="25">
        <f ca="1">Horarios!C15</f>
        <v>46192</v>
      </c>
      <c r="Z15" s="26" t="str">
        <f>$Z$6</f>
        <v>J2</v>
      </c>
      <c r="AA15" s="27" t="str">
        <f ca="1">A13</f>
        <v>Canadá</v>
      </c>
      <c r="AB15" s="49" t="str" cm="1">
        <f t="array" aca="1" ref="AB15" ca="1">Ver_flag_local</f>
        <v/>
      </c>
      <c r="AC15" s="50">
        <v>3</v>
      </c>
      <c r="AD15" s="51">
        <v>3</v>
      </c>
      <c r="AE15" s="595" t="str" cm="1">
        <f t="array" aca="1" ref="AE15" ca="1">Ver_flag_visit</f>
        <v/>
      </c>
      <c r="AF15" s="32" t="str">
        <f ca="1">A15</f>
        <v>Catar</v>
      </c>
      <c r="AG15" s="323">
        <f t="shared" si="66"/>
        <v>1</v>
      </c>
      <c r="AH15" s="195">
        <v>27</v>
      </c>
      <c r="AI15" s="181" t="str">
        <f t="shared" ref="AI15:AI17" si="70">AJ15&amp;$B$12</f>
        <v>2B</v>
      </c>
      <c r="AJ15" s="73">
        <v>2</v>
      </c>
      <c r="AK15" s="602" t="str" cm="1">
        <f t="array" aca="1" ref="AK15" ca="1">Ver_flag_visit</f>
        <v/>
      </c>
      <c r="AL15" s="37" t="str">
        <f ca="1">IFERROR(INDEX($BD$6:$BD$53,MATCH(AI15,$BN$6:$BN$53,0)),"")</f>
        <v>Suiza</v>
      </c>
      <c r="AM15" s="38">
        <f t="shared" ca="1" si="69"/>
        <v>6</v>
      </c>
      <c r="AN15" s="39">
        <f t="shared" ca="1" si="69"/>
        <v>3</v>
      </c>
      <c r="AO15" s="39">
        <f t="shared" ca="1" si="69"/>
        <v>2</v>
      </c>
      <c r="AP15" s="39">
        <f t="shared" ca="1" si="69"/>
        <v>0</v>
      </c>
      <c r="AQ15" s="39">
        <f t="shared" ca="1" si="69"/>
        <v>1</v>
      </c>
      <c r="AR15" s="39">
        <f t="shared" ca="1" si="69"/>
        <v>10</v>
      </c>
      <c r="AS15" s="39">
        <f t="shared" ca="1" si="69"/>
        <v>10</v>
      </c>
      <c r="AT15" s="74">
        <f t="shared" ca="1" si="69"/>
        <v>0</v>
      </c>
      <c r="AU15" s="330">
        <f ca="1">INDEX($DL$6:$DL$53,MATCH(AI15,$DP$6:$DP$53,0))</f>
        <v>1</v>
      </c>
      <c r="AV15" s="182" t="str">
        <f ca="1">INDEX($BD$6:$BD$53,MATCH(AI15,$BM$6:$BM$53,0))</f>
        <v>Suiza</v>
      </c>
      <c r="AW15" s="210"/>
      <c r="AX15" s="171"/>
      <c r="AY15" s="203" t="str">
        <f ca="1">+A14</f>
        <v>Bosnia y Herzegovina</v>
      </c>
      <c r="AZ15" s="204"/>
      <c r="BA15" s="176"/>
      <c r="BC15" s="16" t="str">
        <f ca="1">+INDEX(T_Equipos[Grupo],MATCH(WORLDCUP!BD15,T_Equipos[NombreEquipo],0))</f>
        <v>C</v>
      </c>
      <c r="BD15" s="16" t="str">
        <f ca="1">+Equipos!B11</f>
        <v>Marruecos</v>
      </c>
      <c r="BE15" s="16">
        <f t="shared" ca="1" si="16"/>
        <v>1</v>
      </c>
      <c r="BF15" s="16">
        <f t="shared" ca="1" si="41"/>
        <v>3</v>
      </c>
      <c r="BG15" s="16">
        <f t="shared" ca="1" si="17"/>
        <v>0</v>
      </c>
      <c r="BH15" s="16">
        <f t="shared" ca="1" si="18"/>
        <v>1</v>
      </c>
      <c r="BI15" s="16">
        <f t="shared" ca="1" si="19"/>
        <v>2</v>
      </c>
      <c r="BJ15" s="16">
        <f t="shared" ca="1" si="20"/>
        <v>3</v>
      </c>
      <c r="BK15" s="16">
        <f t="shared" ca="1" si="21"/>
        <v>9</v>
      </c>
      <c r="BL15" s="16">
        <f t="shared" ca="1" si="42"/>
        <v>-6</v>
      </c>
      <c r="BM15" s="16" t="str">
        <f t="shared" ca="1" si="22"/>
        <v>4C</v>
      </c>
      <c r="BN15" s="16" t="str">
        <f t="shared" ca="1" si="23"/>
        <v>4C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1</v>
      </c>
      <c r="BS15" s="16">
        <f ca="1">BP15+COUNTIFS($BQ$6:$BQ$53,BQ15,$BR$6:BR$53,"&gt;"&amp;BR15,$BC$6:$BC$53,INDEX(T_Equipos[Grupo],MATCH(BD15,T_Equipos[NombreEquipo],0)))</f>
        <v>4</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4</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4</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4</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4</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4</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4</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4</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4</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4</v>
      </c>
      <c r="DE15" s="16"/>
      <c r="DF15" s="16">
        <f t="shared" ca="1" si="52"/>
        <v>4</v>
      </c>
      <c r="DG15" s="16" t="str">
        <f ca="1">IF(DB15="-","-",COUNTIFS(DF$6:DF$53,"&lt;"&amp;DF15,$BC$6:$BC$53,INDEX(T_Equipos[Grupo],MATCH(BD15,T_Equipos[NombreEquipo],0))))</f>
        <v>-</v>
      </c>
      <c r="DH15" s="16">
        <f ca="1">DA15+COUNTIFS(DB$6:DB$53,DB15,DG$6:DG$53,"&lt;"&amp;DG15,$BC$6:$BC$53,INDEX(T_Equipos[Grupo],MATCH(BD15,T_Equipos[NombreEquipo],0)))</f>
        <v>4</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Escocia</v>
      </c>
    </row>
    <row r="16" spans="1:121" ht="15.95"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70"/>
      <c r="X16" s="24">
        <f ca="1">Horarios!C16</f>
        <v>46197.875</v>
      </c>
      <c r="Y16" s="25">
        <f ca="1">Horarios!C16</f>
        <v>46197.875</v>
      </c>
      <c r="Z16" s="26" t="str">
        <f>$Z$8</f>
        <v>J3</v>
      </c>
      <c r="AA16" s="27" t="str">
        <f ca="1">A16</f>
        <v>Suiza</v>
      </c>
      <c r="AB16" s="49" t="str" cm="1">
        <f t="array" aca="1" ref="AB16" ca="1">Ver_flag_local</f>
        <v/>
      </c>
      <c r="AC16" s="50">
        <v>4</v>
      </c>
      <c r="AD16" s="51">
        <v>3</v>
      </c>
      <c r="AE16" s="595" t="str" cm="1">
        <f t="array" aca="1" ref="AE16" ca="1">Ver_flag_visit</f>
        <v/>
      </c>
      <c r="AF16" s="32" t="str">
        <f ca="1">A13</f>
        <v>Canadá</v>
      </c>
      <c r="AG16" s="323">
        <f t="shared" si="66"/>
        <v>1</v>
      </c>
      <c r="AH16" s="195">
        <v>51</v>
      </c>
      <c r="AI16" s="181" t="str">
        <f t="shared" si="70"/>
        <v>3B</v>
      </c>
      <c r="AJ16" s="73">
        <v>3</v>
      </c>
      <c r="AK16" s="602" t="str" cm="1">
        <f t="array" aca="1" ref="AK16" ca="1">Ver_flag_visit</f>
        <v/>
      </c>
      <c r="AL16" s="37" t="str">
        <f ca="1">IFERROR(INDEX($BD$6:$BD$53,MATCH(AI16,$BN$6:$BN$53,0)),"")</f>
        <v>Canadá</v>
      </c>
      <c r="AM16" s="38">
        <f t="shared" ca="1" si="69"/>
        <v>4</v>
      </c>
      <c r="AN16" s="39">
        <f t="shared" ca="1" si="69"/>
        <v>3</v>
      </c>
      <c r="AO16" s="39">
        <f t="shared" ca="1" si="69"/>
        <v>1</v>
      </c>
      <c r="AP16" s="39">
        <f t="shared" ca="1" si="69"/>
        <v>1</v>
      </c>
      <c r="AQ16" s="39">
        <f t="shared" ca="1" si="69"/>
        <v>1</v>
      </c>
      <c r="AR16" s="39">
        <f t="shared" ca="1" si="69"/>
        <v>9</v>
      </c>
      <c r="AS16" s="39">
        <f t="shared" ca="1" si="69"/>
        <v>8</v>
      </c>
      <c r="AT16" s="74">
        <f t="shared" ca="1" si="69"/>
        <v>1</v>
      </c>
      <c r="AU16" s="330">
        <f ca="1">INDEX($DL$6:$DL$53,MATCH(AI16,$DP$6:$DP$53,0))</f>
        <v>1</v>
      </c>
      <c r="AV16" s="182" t="str">
        <f ca="1">INDEX($BD$6:$BD$53,MATCH(AI16,$BM$6:$BM$53,0))</f>
        <v>Canadá</v>
      </c>
      <c r="AW16" s="210"/>
      <c r="AX16" s="171"/>
      <c r="AY16" s="201" t="str">
        <f ca="1">+A15</f>
        <v>Catar</v>
      </c>
      <c r="AZ16" s="202"/>
      <c r="BA16" s="176"/>
      <c r="BC16" s="16" t="str">
        <f ca="1">+INDEX(T_Equipos[Grupo],MATCH(WORLDCUP!BD16,T_Equipos[NombreEquipo],0))</f>
        <v>C</v>
      </c>
      <c r="BD16" s="16" t="str">
        <f ca="1">+Equipos!B12</f>
        <v>Haití</v>
      </c>
      <c r="BE16" s="16">
        <f t="shared" ca="1" si="16"/>
        <v>2</v>
      </c>
      <c r="BF16" s="16">
        <f t="shared" ca="1" si="41"/>
        <v>3</v>
      </c>
      <c r="BG16" s="16">
        <f t="shared" ca="1" si="17"/>
        <v>0</v>
      </c>
      <c r="BH16" s="16">
        <f t="shared" ca="1" si="18"/>
        <v>2</v>
      </c>
      <c r="BI16" s="16">
        <f t="shared" ca="1" si="19"/>
        <v>1</v>
      </c>
      <c r="BJ16" s="16">
        <f t="shared" ca="1" si="20"/>
        <v>1</v>
      </c>
      <c r="BK16" s="16">
        <f t="shared" ca="1" si="21"/>
        <v>8</v>
      </c>
      <c r="BL16" s="16">
        <f t="shared" ca="1" si="42"/>
        <v>-7</v>
      </c>
      <c r="BM16" s="16" t="str">
        <f t="shared" ca="1" si="22"/>
        <v>3C</v>
      </c>
      <c r="BN16" s="16" t="str">
        <f t="shared" ca="1" si="23"/>
        <v>3C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2</v>
      </c>
      <c r="BS16" s="16">
        <f ca="1">BP16+COUNTIFS($BQ$6:$BQ$53,BQ16,$BR$6:BR$53,"&gt;"&amp;BR16,$BC$6:$BC$53,INDEX(T_Equipos[Grupo],MATCH(BD16,T_Equipos[NombreEquipo],0)))</f>
        <v>3</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3</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3</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3</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3</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3</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3</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3</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3</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3</v>
      </c>
      <c r="DE16" s="16"/>
      <c r="DF16" s="16">
        <f t="shared" ca="1" si="52"/>
        <v>3</v>
      </c>
      <c r="DG16" s="16" t="str">
        <f ca="1">IF(DB16="-","-",COUNTIFS(DF$6:DF$53,"&lt;"&amp;DF16,$BC$6:$BC$53,INDEX(T_Equipos[Grupo],MATCH(BD16,T_Equipos[NombreEquipo],0))))</f>
        <v>-</v>
      </c>
      <c r="DH16" s="16">
        <f ca="1">DA16+COUNTIFS(DB$6:DB$53,DB16,DG$6:DG$53,"&lt;"&amp;DG16,$BC$6:$BC$53,INDEX(T_Equipos[Grupo],MATCH(BD16,T_Equipos[NombreEquipo],0)))</f>
        <v>3</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Haití</v>
      </c>
    </row>
    <row r="17" spans="1:121" ht="15.95" customHeight="1" thickBot="1">
      <c r="A17" s="16"/>
      <c r="B17" s="16"/>
      <c r="C17" s="16"/>
      <c r="D17" s="16" t="str">
        <f t="shared" si="53"/>
        <v>Visitante</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str" cm="1">
        <f t="array" aca="1" ref="AB17" ca="1">Ver_flag_local</f>
        <v/>
      </c>
      <c r="AC17" s="53">
        <v>2</v>
      </c>
      <c r="AD17" s="54">
        <v>3</v>
      </c>
      <c r="AE17" s="596" t="str" cm="1">
        <f t="array" aca="1" ref="AE17" ca="1">Ver_flag_visit</f>
        <v/>
      </c>
      <c r="AF17" s="33" t="str">
        <f ca="1">A15</f>
        <v>Catar</v>
      </c>
      <c r="AG17" s="323">
        <f t="shared" si="66"/>
        <v>1</v>
      </c>
      <c r="AH17" s="195">
        <v>52</v>
      </c>
      <c r="AI17" s="181" t="str">
        <f t="shared" si="70"/>
        <v>4B</v>
      </c>
      <c r="AJ17" s="75">
        <v>4</v>
      </c>
      <c r="AK17" s="603" t="str" cm="1">
        <f t="array" aca="1" ref="AK17" ca="1">Ver_flag_visit</f>
        <v/>
      </c>
      <c r="AL17" s="76" t="str">
        <f ca="1">IFERROR(INDEX($BD$6:$BD$53,MATCH(AI17,$BN$6:$BN$53,0)),"")</f>
        <v>Bosnia y Herzegovina</v>
      </c>
      <c r="AM17" s="77">
        <f t="shared" ca="1" si="69"/>
        <v>0</v>
      </c>
      <c r="AN17" s="78">
        <f t="shared" ca="1" si="69"/>
        <v>3</v>
      </c>
      <c r="AO17" s="78">
        <f t="shared" ca="1" si="69"/>
        <v>0</v>
      </c>
      <c r="AP17" s="78">
        <f t="shared" ca="1" si="69"/>
        <v>0</v>
      </c>
      <c r="AQ17" s="78">
        <f t="shared" ca="1" si="69"/>
        <v>3</v>
      </c>
      <c r="AR17" s="78">
        <f t="shared" ca="1" si="69"/>
        <v>5</v>
      </c>
      <c r="AS17" s="78">
        <f t="shared" ca="1" si="69"/>
        <v>10</v>
      </c>
      <c r="AT17" s="79">
        <f t="shared" ca="1" si="69"/>
        <v>-5</v>
      </c>
      <c r="AU17" s="330">
        <f ca="1">INDEX($DL$6:$DL$53,MATCH(AI17,$DP$6:$DP$53,0))</f>
        <v>1</v>
      </c>
      <c r="AV17" s="182" t="str">
        <f ca="1">INDEX($BD$6:$BD$53,MATCH(AI17,$BM$6:$BM$53,0))</f>
        <v>Bosnia y Herzegovina</v>
      </c>
      <c r="AW17" s="210"/>
      <c r="AX17" s="171"/>
      <c r="AY17" s="205" t="str">
        <f ca="1">+A16</f>
        <v>Suiza</v>
      </c>
      <c r="AZ17" s="206"/>
      <c r="BA17" s="176"/>
      <c r="BC17" s="16" t="str">
        <f ca="1">+INDEX(T_Equipos[Grupo],MATCH(WORLDCUP!BD17,T_Equipos[NombreEquipo],0))</f>
        <v>C</v>
      </c>
      <c r="BD17" s="16" t="str">
        <f ca="1">+Equipos!B13</f>
        <v>Escocia</v>
      </c>
      <c r="BE17" s="16">
        <f t="shared" ca="1" si="16"/>
        <v>4</v>
      </c>
      <c r="BF17" s="16">
        <f t="shared" ca="1" si="41"/>
        <v>3</v>
      </c>
      <c r="BG17" s="16">
        <f t="shared" ca="1" si="17"/>
        <v>1</v>
      </c>
      <c r="BH17" s="16">
        <f t="shared" ca="1" si="18"/>
        <v>1</v>
      </c>
      <c r="BI17" s="16">
        <f t="shared" ca="1" si="19"/>
        <v>1</v>
      </c>
      <c r="BJ17" s="16">
        <f t="shared" ca="1" si="20"/>
        <v>2</v>
      </c>
      <c r="BK17" s="16">
        <f t="shared" ca="1" si="21"/>
        <v>6</v>
      </c>
      <c r="BL17" s="16">
        <f t="shared" ca="1" si="42"/>
        <v>-4</v>
      </c>
      <c r="BM17" s="16" t="str">
        <f t="shared" ca="1" si="22"/>
        <v>2C</v>
      </c>
      <c r="BN17" s="16" t="str">
        <f t="shared" ca="1" si="23"/>
        <v>2C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4</v>
      </c>
      <c r="BS17" s="16">
        <f ca="1">BP17+COUNTIFS($BQ$6:$BQ$53,BQ17,$BR$6:BR$53,"&gt;"&amp;BR17,$BC$6:$BC$53,INDEX(T_Equipos[Grupo],MATCH(BD17,T_Equipos[NombreEquipo],0)))</f>
        <v>2</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2</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2</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2</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2</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2</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2</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2</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2</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2</v>
      </c>
      <c r="DE17" s="16"/>
      <c r="DF17" s="16">
        <f t="shared" ca="1" si="52"/>
        <v>2</v>
      </c>
      <c r="DG17" s="16" t="str">
        <f ca="1">IF(DB17="-","-",COUNTIFS(DF$6:DF$53,"&lt;"&amp;DF17,$BC$6:$BC$53,INDEX(T_Equipos[Grupo],MATCH(BD17,T_Equipos[NombreEquipo],0))))</f>
        <v>-</v>
      </c>
      <c r="DH17" s="16">
        <f ca="1">DA17+COUNTIFS(DB$6:DB$53,DB17,DG$6:DG$53,"&lt;"&amp;DG17,$BC$6:$BC$53,INDEX(T_Equipos[Grupo],MATCH(BD17,T_Equipos[NombreEquipo],0)))</f>
        <v>2</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Marruecos</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9</v>
      </c>
      <c r="BF18" s="16">
        <f t="shared" ca="1" si="41"/>
        <v>3</v>
      </c>
      <c r="BG18" s="16">
        <f t="shared" ca="1" si="17"/>
        <v>3</v>
      </c>
      <c r="BH18" s="16">
        <f t="shared" ca="1" si="18"/>
        <v>0</v>
      </c>
      <c r="BI18" s="16">
        <f t="shared" ca="1" si="19"/>
        <v>0</v>
      </c>
      <c r="BJ18" s="16">
        <f t="shared" ca="1" si="20"/>
        <v>9</v>
      </c>
      <c r="BK18" s="16">
        <f t="shared" ca="1" si="21"/>
        <v>6</v>
      </c>
      <c r="BL18" s="16">
        <f t="shared" ca="1" si="42"/>
        <v>3</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9</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0</v>
      </c>
      <c r="BF19" s="16">
        <f t="shared" ca="1" si="41"/>
        <v>3</v>
      </c>
      <c r="BG19" s="16">
        <f t="shared" ca="1" si="17"/>
        <v>0</v>
      </c>
      <c r="BH19" s="16">
        <f t="shared" ca="1" si="18"/>
        <v>0</v>
      </c>
      <c r="BI19" s="16">
        <f t="shared" ca="1" si="19"/>
        <v>3</v>
      </c>
      <c r="BJ19" s="16">
        <f t="shared" ca="1" si="20"/>
        <v>2</v>
      </c>
      <c r="BK19" s="16">
        <f t="shared" ca="1" si="21"/>
        <v>10</v>
      </c>
      <c r="BL19" s="16">
        <f t="shared" ca="1" si="42"/>
        <v>-8</v>
      </c>
      <c r="BM19" s="16" t="str">
        <f t="shared" ca="1" si="22"/>
        <v>4D</v>
      </c>
      <c r="BN19" s="16" t="str">
        <f t="shared" ca="1" si="23"/>
        <v>4D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0</v>
      </c>
      <c r="BS19" s="16">
        <f ca="1">BP19+COUNTIFS($BQ$6:$BQ$53,BQ19,$BR$6:BR$53,"&gt;"&amp;BR19,$BC$6:$BC$53,INDEX(T_Equipos[Grupo],MATCH(BD19,T_Equipos[NombreEquipo],0)))</f>
        <v>4</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4</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4</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4</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4</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4</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4</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4</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4</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4</v>
      </c>
      <c r="DE19" s="16"/>
      <c r="DF19" s="16">
        <f t="shared" ca="1" si="52"/>
        <v>4</v>
      </c>
      <c r="DG19" s="16" t="str">
        <f ca="1">IF(DB19="-","-",COUNTIFS(DF$6:DF$53,"&lt;"&amp;DF19,$BC$6:$BC$53,INDEX(T_Equipos[Grupo],MATCH(BD19,T_Equipos[NombreEquipo],0))))</f>
        <v>-</v>
      </c>
      <c r="DH19" s="16">
        <f ca="1">DA19+COUNTIFS(DB$6:DB$53,DB19,DG$6:DG$53,"&lt;"&amp;DG19,$BC$6:$BC$53,INDEX(T_Equipos[Grupo],MATCH(BD19,T_Equipos[NombreEquipo],0)))</f>
        <v>4</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Turquía</v>
      </c>
    </row>
    <row r="20" spans="1:121" ht="15.9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79" t="s">
        <v>2</v>
      </c>
      <c r="X20" s="24">
        <f ca="1">Horarios!C20</f>
        <v>46187</v>
      </c>
      <c r="Y20" s="25">
        <f ca="1">Horarios!C20</f>
        <v>46187</v>
      </c>
      <c r="Z20" s="26" t="str">
        <f>$Z$4</f>
        <v>J1</v>
      </c>
      <c r="AA20" s="27" t="str">
        <f ca="1">A21</f>
        <v>Brasil</v>
      </c>
      <c r="AB20" s="49" t="str" cm="1">
        <f t="array" aca="1" ref="AB20" ca="1">Ver_flag_local</f>
        <v/>
      </c>
      <c r="AC20" s="50">
        <v>6</v>
      </c>
      <c r="AD20" s="51">
        <v>1</v>
      </c>
      <c r="AE20" s="595" t="str" cm="1">
        <f t="array" aca="1" ref="AE20" ca="1">Ver_flag_visit</f>
        <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3</v>
      </c>
      <c r="BF20" s="16">
        <f t="shared" ca="1" si="41"/>
        <v>3</v>
      </c>
      <c r="BG20" s="16">
        <f t="shared" ca="1" si="17"/>
        <v>1</v>
      </c>
      <c r="BH20" s="16">
        <f t="shared" ca="1" si="18"/>
        <v>0</v>
      </c>
      <c r="BI20" s="16">
        <f t="shared" ca="1" si="19"/>
        <v>2</v>
      </c>
      <c r="BJ20" s="16">
        <f t="shared" ca="1" si="20"/>
        <v>8</v>
      </c>
      <c r="BK20" s="16">
        <f t="shared" ca="1" si="21"/>
        <v>7</v>
      </c>
      <c r="BL20" s="16">
        <f t="shared" ca="1" si="42"/>
        <v>1</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3</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3</v>
      </c>
      <c r="DE20" s="16"/>
      <c r="DF20" s="16">
        <f t="shared" ca="1" si="52"/>
        <v>3</v>
      </c>
      <c r="DG20" s="16" t="str">
        <f ca="1">IF(DB20="-","-",COUNTIFS(DF$6:DF$53,"&lt;"&amp;DF20,$BC$6:$BC$53,INDEX(T_Equipos[Grupo],MATCH(BD20,T_Equipos[NombreEquipo],0))))</f>
        <v>-</v>
      </c>
      <c r="DH20" s="16">
        <f ca="1">DA20+COUNTIFS(DB$6:DB$53,DB20,DG$6:DG$53,"&lt;"&amp;DG20,$BC$6:$BC$53,INDEX(T_Equipos[Grupo],MATCH(BD20,T_Equipos[NombreEquipo],0)))</f>
        <v>3</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Australia</v>
      </c>
    </row>
    <row r="21" spans="1:121" ht="15.95" customHeight="1">
      <c r="A21" s="16" t="str">
        <f ca="1">+Equipos!B10</f>
        <v>Brasil</v>
      </c>
      <c r="B21" s="16"/>
      <c r="C21" s="16"/>
      <c r="D21" s="16" t="str">
        <f t="shared" si="71"/>
        <v>Empate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str" cm="1">
        <f t="array" aca="1" ref="AB21" ca="1">Ver_flag_local</f>
        <v/>
      </c>
      <c r="AC21" s="50">
        <v>0</v>
      </c>
      <c r="AD21" s="51">
        <v>0</v>
      </c>
      <c r="AE21" s="595" t="str" cm="1">
        <f t="array" aca="1" ref="AE21" ca="1">Ver_flag_visit</f>
        <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6</v>
      </c>
      <c r="BF21" s="16">
        <f t="shared" ca="1" si="41"/>
        <v>3</v>
      </c>
      <c r="BG21" s="16">
        <f t="shared" ca="1" si="17"/>
        <v>2</v>
      </c>
      <c r="BH21" s="16">
        <f t="shared" ca="1" si="18"/>
        <v>0</v>
      </c>
      <c r="BI21" s="16">
        <f t="shared" ca="1" si="19"/>
        <v>1</v>
      </c>
      <c r="BJ21" s="16">
        <f t="shared" ca="1" si="20"/>
        <v>12</v>
      </c>
      <c r="BK21" s="16">
        <f t="shared" ca="1" si="21"/>
        <v>8</v>
      </c>
      <c r="BL21" s="16">
        <f t="shared" ca="1" si="42"/>
        <v>4</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6</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Paraguay</v>
      </c>
    </row>
    <row r="22" spans="1:121" ht="15.95" customHeight="1">
      <c r="A22" s="16" t="str">
        <f ca="1">+Equipos!B11</f>
        <v>Marruecos</v>
      </c>
      <c r="B22" s="16"/>
      <c r="C22" s="16"/>
      <c r="D22" s="16" t="str">
        <f t="shared" si="71"/>
        <v>Local</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79"/>
      <c r="X22" s="24">
        <f ca="1">Horarios!C22</f>
        <v>46193</v>
      </c>
      <c r="Y22" s="25">
        <f ca="1">Horarios!C22</f>
        <v>46193</v>
      </c>
      <c r="Z22" s="26" t="str">
        <f>$Z$6</f>
        <v>J2</v>
      </c>
      <c r="AA22" s="27" t="str">
        <f ca="1">A24</f>
        <v>Escocia</v>
      </c>
      <c r="AB22" s="49" t="str" cm="1">
        <f t="array" aca="1" ref="AB22" ca="1">Ver_flag_local</f>
        <v/>
      </c>
      <c r="AC22" s="50">
        <v>2</v>
      </c>
      <c r="AD22" s="51">
        <v>1</v>
      </c>
      <c r="AE22" s="595" t="str" cm="1">
        <f t="array" aca="1" ref="AE22" ca="1">Ver_flag_visit</f>
        <v/>
      </c>
      <c r="AF22" s="32" t="str">
        <f ca="1">A22</f>
        <v>Marruecos</v>
      </c>
      <c r="AG22" s="323">
        <f t="shared" si="84"/>
        <v>1</v>
      </c>
      <c r="AH22" s="195">
        <v>30</v>
      </c>
      <c r="AI22" s="181" t="str">
        <f>AJ22&amp;$B$20</f>
        <v>1C</v>
      </c>
      <c r="AJ22" s="40">
        <v>1</v>
      </c>
      <c r="AK22" s="601" t="str" cm="1">
        <f t="array" aca="1" ref="AK22" ca="1">Ver_flag_visit</f>
        <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18</v>
      </c>
      <c r="AS22" s="36">
        <f t="shared" ca="1" si="87"/>
        <v>1</v>
      </c>
      <c r="AT22" s="41">
        <f t="shared" ca="1" si="87"/>
        <v>17</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17</v>
      </c>
      <c r="BK22" s="16">
        <f t="shared" ca="1" si="21"/>
        <v>4</v>
      </c>
      <c r="BL22" s="16">
        <f t="shared" ca="1" si="42"/>
        <v>13</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79"/>
      <c r="X23" s="24">
        <f ca="1">Horarios!C23</f>
        <v>46193.104166666664</v>
      </c>
      <c r="Y23" s="25">
        <f ca="1">Horarios!C23</f>
        <v>46193.104166666664</v>
      </c>
      <c r="Z23" s="26" t="str">
        <f>$Z$6</f>
        <v>J2</v>
      </c>
      <c r="AA23" s="27" t="str">
        <f ca="1">A21</f>
        <v>Brasil</v>
      </c>
      <c r="AB23" s="49" t="str" cm="1">
        <f t="array" aca="1" ref="AB23" ca="1">Ver_flag_local</f>
        <v/>
      </c>
      <c r="AC23" s="50">
        <v>7</v>
      </c>
      <c r="AD23" s="51">
        <v>0</v>
      </c>
      <c r="AE23" s="595" t="str" cm="1">
        <f t="array" aca="1" ref="AE23" ca="1">Ver_flag_visit</f>
        <v/>
      </c>
      <c r="AF23" s="32" t="str">
        <f ca="1">A23</f>
        <v>Haití</v>
      </c>
      <c r="AG23" s="323">
        <f t="shared" si="84"/>
        <v>1</v>
      </c>
      <c r="AH23" s="195">
        <v>29</v>
      </c>
      <c r="AI23" s="181" t="str">
        <f t="shared" ref="AI23:AI25" si="88">AJ23&amp;$B$20</f>
        <v>2C</v>
      </c>
      <c r="AJ23" s="42">
        <v>2</v>
      </c>
      <c r="AK23" s="602" t="str" cm="1">
        <f t="array" aca="1" ref="AK23" ca="1">Ver_flag_visit</f>
        <v/>
      </c>
      <c r="AL23" s="37" t="str">
        <f ca="1">IFERROR(INDEX($BD$6:$BD$53,MATCH(AI23,$BN$6:$BN$53,0)),"")</f>
        <v>Escocia</v>
      </c>
      <c r="AM23" s="38">
        <f t="shared" ca="1" si="87"/>
        <v>4</v>
      </c>
      <c r="AN23" s="39">
        <f t="shared" ca="1" si="87"/>
        <v>3</v>
      </c>
      <c r="AO23" s="39">
        <f t="shared" ca="1" si="87"/>
        <v>1</v>
      </c>
      <c r="AP23" s="39">
        <f t="shared" ca="1" si="87"/>
        <v>1</v>
      </c>
      <c r="AQ23" s="39">
        <f t="shared" ca="1" si="87"/>
        <v>1</v>
      </c>
      <c r="AR23" s="39">
        <f t="shared" ca="1" si="87"/>
        <v>2</v>
      </c>
      <c r="AS23" s="39">
        <f t="shared" ca="1" si="87"/>
        <v>6</v>
      </c>
      <c r="AT23" s="43">
        <f t="shared" ca="1" si="87"/>
        <v>-4</v>
      </c>
      <c r="AU23" s="330">
        <f ca="1">INDEX($DL$6:$DL$53,MATCH(AI23,$DP$6:$DP$53,0))</f>
        <v>1</v>
      </c>
      <c r="AV23" s="182" t="str">
        <f ca="1">INDEX($BD$6:$BD$53,MATCH(AI23,$BM$6:$BM$53,0))</f>
        <v>Escocia</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2</v>
      </c>
      <c r="BK23" s="16">
        <f t="shared" ca="1" si="21"/>
        <v>12</v>
      </c>
      <c r="BL23" s="16">
        <f t="shared" ca="1" si="42"/>
        <v>-10</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Ecuador</v>
      </c>
    </row>
    <row r="24" spans="1:121" ht="15.9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79"/>
      <c r="X24" s="24">
        <f ca="1">Horarios!C24</f>
        <v>46198</v>
      </c>
      <c r="Y24" s="25">
        <f ca="1">Horarios!C24</f>
        <v>46198</v>
      </c>
      <c r="Z24" s="26" t="str">
        <f>$Z$8</f>
        <v>J3</v>
      </c>
      <c r="AA24" s="27" t="str">
        <f ca="1">A24</f>
        <v>Escocia</v>
      </c>
      <c r="AB24" s="49" t="str" cm="1">
        <f t="array" aca="1" ref="AB24" ca="1">Ver_flag_local</f>
        <v/>
      </c>
      <c r="AC24" s="50">
        <v>0</v>
      </c>
      <c r="AD24" s="51">
        <v>5</v>
      </c>
      <c r="AE24" s="595" t="str" cm="1">
        <f t="array" aca="1" ref="AE24" ca="1">Ver_flag_visit</f>
        <v/>
      </c>
      <c r="AF24" s="32" t="str">
        <f ca="1">A21</f>
        <v>Brasil</v>
      </c>
      <c r="AG24" s="323">
        <f t="shared" si="84"/>
        <v>1</v>
      </c>
      <c r="AH24" s="195">
        <v>49</v>
      </c>
      <c r="AI24" s="181" t="str">
        <f t="shared" si="88"/>
        <v>3C</v>
      </c>
      <c r="AJ24" s="42">
        <v>3</v>
      </c>
      <c r="AK24" s="602" t="str" cm="1">
        <f t="array" aca="1" ref="AK24" ca="1">Ver_flag_visit</f>
        <v/>
      </c>
      <c r="AL24" s="37" t="str">
        <f ca="1">IFERROR(INDEX($BD$6:$BD$53,MATCH(AI24,$BN$6:$BN$53,0)),"")</f>
        <v>Haití</v>
      </c>
      <c r="AM24" s="38">
        <f t="shared" ca="1" si="87"/>
        <v>2</v>
      </c>
      <c r="AN24" s="39">
        <f t="shared" ca="1" si="87"/>
        <v>3</v>
      </c>
      <c r="AO24" s="39">
        <f t="shared" ca="1" si="87"/>
        <v>0</v>
      </c>
      <c r="AP24" s="39">
        <f t="shared" ca="1" si="87"/>
        <v>2</v>
      </c>
      <c r="AQ24" s="39">
        <f t="shared" ca="1" si="87"/>
        <v>1</v>
      </c>
      <c r="AR24" s="39">
        <f t="shared" ca="1" si="87"/>
        <v>1</v>
      </c>
      <c r="AS24" s="39">
        <f t="shared" ca="1" si="87"/>
        <v>8</v>
      </c>
      <c r="AT24" s="43">
        <f t="shared" ca="1" si="87"/>
        <v>-7</v>
      </c>
      <c r="AU24" s="330">
        <f ca="1">INDEX($DL$6:$DL$53,MATCH(AI24,$DP$6:$DP$53,0))</f>
        <v>1</v>
      </c>
      <c r="AV24" s="182" t="str">
        <f ca="1">INDEX($BD$6:$BD$53,MATCH(AI24,$BM$6:$BM$53,0))</f>
        <v>Haití</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8</v>
      </c>
      <c r="BK24" s="16">
        <f t="shared" ca="1" si="21"/>
        <v>10</v>
      </c>
      <c r="BL24" s="16">
        <f t="shared" ca="1" si="42"/>
        <v>-2</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5.95" customHeight="1" thickBot="1">
      <c r="A25" s="16"/>
      <c r="B25" s="16"/>
      <c r="C25" s="16"/>
      <c r="D25" s="16" t="str">
        <f t="shared" si="71"/>
        <v>Empate</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80"/>
      <c r="X25" s="28">
        <f ca="1">Horarios!C25</f>
        <v>46198</v>
      </c>
      <c r="Y25" s="29">
        <f ca="1">Horarios!C25</f>
        <v>46198</v>
      </c>
      <c r="Z25" s="30" t="str">
        <f>$Z$8</f>
        <v>J3</v>
      </c>
      <c r="AA25" s="31" t="str">
        <f ca="1">A22</f>
        <v>Marruecos</v>
      </c>
      <c r="AB25" s="52" t="str" cm="1">
        <f t="array" aca="1" ref="AB25" ca="1">Ver_flag_local</f>
        <v/>
      </c>
      <c r="AC25" s="53">
        <v>1</v>
      </c>
      <c r="AD25" s="54">
        <v>1</v>
      </c>
      <c r="AE25" s="596" t="str" cm="1">
        <f t="array" aca="1" ref="AE25" ca="1">Ver_flag_visit</f>
        <v/>
      </c>
      <c r="AF25" s="33" t="str">
        <f ca="1">A23</f>
        <v>Haití</v>
      </c>
      <c r="AG25" s="323">
        <f t="shared" si="84"/>
        <v>1</v>
      </c>
      <c r="AH25" s="195">
        <v>50</v>
      </c>
      <c r="AI25" s="181" t="str">
        <f t="shared" si="88"/>
        <v>4C</v>
      </c>
      <c r="AJ25" s="44">
        <v>4</v>
      </c>
      <c r="AK25" s="604" t="str" cm="1">
        <f t="array" aca="1" ref="AK25" ca="1">Ver_flag_visit</f>
        <v/>
      </c>
      <c r="AL25" s="45" t="str">
        <f ca="1">IFERROR(INDEX($BD$6:$BD$53,MATCH(AI25,$BN$6:$BN$53,0)),"")</f>
        <v>Marruecos</v>
      </c>
      <c r="AM25" s="46">
        <f t="shared" ca="1" si="87"/>
        <v>1</v>
      </c>
      <c r="AN25" s="47">
        <f t="shared" ca="1" si="87"/>
        <v>3</v>
      </c>
      <c r="AO25" s="47">
        <f t="shared" ca="1" si="87"/>
        <v>0</v>
      </c>
      <c r="AP25" s="47">
        <f t="shared" ca="1" si="87"/>
        <v>1</v>
      </c>
      <c r="AQ25" s="47">
        <f t="shared" ca="1" si="87"/>
        <v>2</v>
      </c>
      <c r="AR25" s="47">
        <f t="shared" ca="1" si="87"/>
        <v>3</v>
      </c>
      <c r="AS25" s="47">
        <f t="shared" ca="1" si="87"/>
        <v>9</v>
      </c>
      <c r="AT25" s="48">
        <f t="shared" ca="1" si="87"/>
        <v>-6</v>
      </c>
      <c r="AU25" s="330">
        <f ca="1">INDEX($DL$6:$DL$53,MATCH(AI25,$DP$6:$DP$53,0))</f>
        <v>1</v>
      </c>
      <c r="AV25" s="182" t="str">
        <f ca="1">INDEX($BD$6:$BD$53,MATCH(AI25,$BM$6:$BM$53,0))</f>
        <v>Marruecos</v>
      </c>
      <c r="AW25" s="210"/>
      <c r="AX25" s="171"/>
      <c r="AY25" s="205" t="str">
        <f ca="1">+A24</f>
        <v>Escocia</v>
      </c>
      <c r="AZ25" s="206"/>
      <c r="BA25" s="17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5</v>
      </c>
      <c r="BK25" s="16">
        <f t="shared" ca="1" si="21"/>
        <v>6</v>
      </c>
      <c r="BL25" s="16">
        <f t="shared" ca="1" si="42"/>
        <v>-1</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1</v>
      </c>
      <c r="BF26" s="16">
        <f t="shared" ca="1" si="41"/>
        <v>3</v>
      </c>
      <c r="BG26" s="16">
        <f t="shared" ca="1" si="17"/>
        <v>0</v>
      </c>
      <c r="BH26" s="16">
        <f t="shared" ca="1" si="18"/>
        <v>1</v>
      </c>
      <c r="BI26" s="16">
        <f t="shared" ca="1" si="19"/>
        <v>2</v>
      </c>
      <c r="BJ26" s="16">
        <f t="shared" ca="1" si="20"/>
        <v>4</v>
      </c>
      <c r="BK26" s="16">
        <f t="shared" ca="1" si="21"/>
        <v>6</v>
      </c>
      <c r="BL26" s="16">
        <f t="shared" ca="1" si="42"/>
        <v>-2</v>
      </c>
      <c r="BM26" s="16" t="str">
        <f t="shared" ca="1" si="22"/>
        <v>4F</v>
      </c>
      <c r="BN26" s="16" t="str">
        <f t="shared" ca="1" si="23"/>
        <v>4F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1</v>
      </c>
      <c r="BS26" s="16">
        <f ca="1">BP26+COUNTIFS($BQ$6:$BQ$53,BQ26,$BR$6:BR$53,"&gt;"&amp;BR26,$BC$6:$BC$53,INDEX(T_Equipos[Grupo],MATCH(BD26,T_Equipos[NombreEquipo],0)))</f>
        <v>4</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4</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4</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4</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4</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4</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4</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4</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4</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4</v>
      </c>
      <c r="DE26" s="16"/>
      <c r="DF26" s="16">
        <f t="shared" ca="1" si="52"/>
        <v>4</v>
      </c>
      <c r="DG26" s="16" t="str">
        <f ca="1">IF(DB26="-","-",COUNTIFS(DF$6:DF$53,"&lt;"&amp;DF26,$BC$6:$BC$53,INDEX(T_Equipos[Grupo],MATCH(BD26,T_Equipos[NombreEquipo],0))))</f>
        <v>-</v>
      </c>
      <c r="DH26" s="16">
        <f ca="1">DA26+COUNTIFS(DB$6:DB$53,DB26,DG$6:DG$53,"&lt;"&amp;DG26,$BC$6:$BC$53,INDEX(T_Equipos[Grupo],MATCH(BD26,T_Equipos[NombreEquipo],0)))</f>
        <v>4</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Japón</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9</v>
      </c>
      <c r="BF27" s="16">
        <f t="shared" ca="1" si="41"/>
        <v>3</v>
      </c>
      <c r="BG27" s="16">
        <f t="shared" ca="1" si="17"/>
        <v>3</v>
      </c>
      <c r="BH27" s="16">
        <f t="shared" ca="1" si="18"/>
        <v>0</v>
      </c>
      <c r="BI27" s="16">
        <f t="shared" ca="1" si="19"/>
        <v>0</v>
      </c>
      <c r="BJ27" s="16">
        <f t="shared" ca="1" si="20"/>
        <v>7</v>
      </c>
      <c r="BK27" s="16">
        <f t="shared" ca="1" si="21"/>
        <v>1</v>
      </c>
      <c r="BL27" s="16">
        <f t="shared" ca="1" si="42"/>
        <v>6</v>
      </c>
      <c r="BM27" s="16" t="str">
        <f t="shared" ca="1" si="22"/>
        <v>1F</v>
      </c>
      <c r="BN27" s="16" t="str">
        <f t="shared" ca="1" si="23"/>
        <v>1F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9</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1</v>
      </c>
      <c r="DE27" s="16"/>
      <c r="DF27" s="16">
        <f t="shared" ca="1" si="52"/>
        <v>1</v>
      </c>
      <c r="DG27" s="16" t="str">
        <f ca="1">IF(DB27="-","-",COUNTIFS(DF$6:DF$53,"&lt;"&amp;DF27,$BC$6:$BC$53,INDEX(T_Equipos[Grupo],MATCH(BD27,T_Equipos[NombreEquipo],0))))</f>
        <v>-</v>
      </c>
      <c r="DH27" s="16">
        <f ca="1">DA27+COUNTIFS(DB$6:DB$53,DB27,DG$6:DG$53,"&lt;"&amp;DG27,$BC$6:$BC$53,INDEX(T_Equipos[Grupo],MATCH(BD27,T_Equipos[NombreEquipo],0)))</f>
        <v>1</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Suecia</v>
      </c>
    </row>
    <row r="28" spans="1:121" ht="15.9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str" cm="1">
        <f t="array" aca="1" ref="AB28" ca="1">Ver_flag_local</f>
        <v/>
      </c>
      <c r="AC28" s="50">
        <v>2</v>
      </c>
      <c r="AD28" s="51">
        <v>1</v>
      </c>
      <c r="AE28" s="595" t="str" cm="1">
        <f t="array" aca="1" ref="AE28" ca="1">Ver_flag_visit</f>
        <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7</v>
      </c>
      <c r="BK28" s="16">
        <f t="shared" ca="1" si="21"/>
        <v>8</v>
      </c>
      <c r="BL28" s="16">
        <f t="shared" ca="1" si="42"/>
        <v>-1</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Túnez</v>
      </c>
    </row>
    <row r="29" spans="1:121" ht="15.9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str" cm="1">
        <f t="array" aca="1" ref="AB29" ca="1">Ver_flag_local</f>
        <v/>
      </c>
      <c r="AC29" s="50">
        <v>3</v>
      </c>
      <c r="AD29" s="51">
        <v>4</v>
      </c>
      <c r="AE29" s="595" t="str" cm="1">
        <f t="array" aca="1" ref="AE29" ca="1">Ver_flag_visit</f>
        <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3</v>
      </c>
      <c r="BF29" s="16">
        <f t="shared" ca="1" si="41"/>
        <v>3</v>
      </c>
      <c r="BG29" s="16">
        <f t="shared" ca="1" si="17"/>
        <v>1</v>
      </c>
      <c r="BH29" s="16">
        <f t="shared" ca="1" si="18"/>
        <v>0</v>
      </c>
      <c r="BI29" s="16">
        <f t="shared" ca="1" si="19"/>
        <v>2</v>
      </c>
      <c r="BJ29" s="16">
        <f t="shared" ca="1" si="20"/>
        <v>6</v>
      </c>
      <c r="BK29" s="16">
        <f t="shared" ca="1" si="21"/>
        <v>9</v>
      </c>
      <c r="BL29" s="16">
        <f t="shared" ca="1" si="42"/>
        <v>-3</v>
      </c>
      <c r="BM29" s="16" t="str">
        <f t="shared" ca="1" si="22"/>
        <v>3F</v>
      </c>
      <c r="BN29" s="16" t="str">
        <f t="shared" ca="1" si="23"/>
        <v>3F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3</v>
      </c>
      <c r="BS29" s="16">
        <f ca="1">BP29+COUNTIFS($BQ$6:$BQ$53,BQ29,$BR$6:BR$53,"&gt;"&amp;BR29,$BC$6:$BC$53,INDEX(T_Equipos[Grupo],MATCH(BD29,T_Equipos[NombreEquipo],0)))</f>
        <v>3</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3</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3</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3</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3</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3</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3</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3</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3</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3</v>
      </c>
      <c r="DE29" s="16"/>
      <c r="DF29" s="16">
        <f t="shared" ca="1" si="52"/>
        <v>3</v>
      </c>
      <c r="DG29" s="16" t="str">
        <f ca="1">IF(DB29="-","-",COUNTIFS(DF$6:DF$53,"&lt;"&amp;DF29,$BC$6:$BC$53,INDEX(T_Equipos[Grupo],MATCH(BD29,T_Equipos[NombreEquipo],0))))</f>
        <v>-</v>
      </c>
      <c r="DH29" s="16">
        <f ca="1">DA29+COUNTIFS(DB$6:DB$53,DB29,DG$6:DG$53,"&lt;"&amp;DG29,$BC$6:$BC$53,INDEX(T_Equipos[Grupo],MATCH(BD29,T_Equipos[NombreEquipo],0)))</f>
        <v>3</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Países Bajos</v>
      </c>
    </row>
    <row r="30" spans="1:121" ht="15.9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str" cm="1">
        <f t="array" aca="1" ref="AB30" ca="1">Ver_flag_local</f>
        <v/>
      </c>
      <c r="AC30" s="50">
        <v>3</v>
      </c>
      <c r="AD30" s="51">
        <v>2</v>
      </c>
      <c r="AE30" s="595" t="str" cm="1">
        <f t="array" aca="1" ref="AE30" ca="1">Ver_flag_visit</f>
        <v/>
      </c>
      <c r="AF30" s="32" t="str">
        <f ca="1">A31</f>
        <v>Australia</v>
      </c>
      <c r="AG30" s="323">
        <f t="shared" si="104"/>
        <v>1</v>
      </c>
      <c r="AH30" s="195">
        <v>32</v>
      </c>
      <c r="AI30" s="181" t="str">
        <f>AJ30&amp;$B$28</f>
        <v>1D</v>
      </c>
      <c r="AJ30" s="40">
        <v>1</v>
      </c>
      <c r="AK30" s="601" t="str" cm="1">
        <f t="array" aca="1" ref="AK30" ca="1">Ver_flag_visit</f>
        <v/>
      </c>
      <c r="AL30" s="34" t="str">
        <f ca="1">IFERROR(INDEX($BD$6:$BD$53,MATCH(AI30,$BN$6:$BN$53,0)),"")</f>
        <v>Estados Unidos</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9</v>
      </c>
      <c r="AS30" s="36">
        <f t="shared" ca="1" si="107"/>
        <v>6</v>
      </c>
      <c r="AT30" s="41">
        <f t="shared" ca="1" si="107"/>
        <v>3</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5</v>
      </c>
      <c r="BK30" s="16">
        <f t="shared" ca="1" si="21"/>
        <v>1</v>
      </c>
      <c r="BL30" s="16">
        <f t="shared" ca="1" si="42"/>
        <v>4</v>
      </c>
      <c r="BM30" s="16" t="str">
        <f t="shared" ca="1" si="22"/>
        <v>2G</v>
      </c>
      <c r="BN30" s="16" t="str">
        <f t="shared" ca="1" si="23"/>
        <v>2G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0</v>
      </c>
      <c r="CB30" s="16">
        <f t="shared" ca="1" si="28"/>
        <v>0</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0</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0</v>
      </c>
      <c r="CP30" s="16">
        <f t="shared" ca="1" si="34"/>
        <v>0</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0</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P.1 (2)</v>
      </c>
      <c r="CZ30" s="16">
        <f t="shared" ca="1" si="37"/>
        <v>5</v>
      </c>
      <c r="DA30" s="16">
        <f ca="1">CX30+COUNTIFS($CY$6:$CY$53,CY30,$CZ$6:CZ$53,"&gt;"&amp;CZ30,$BC$6:$BC$53,INDEX(T_Equipos[Grupo],MATCH(BD30,T_Equipos[NombreEquipo],0)))</f>
        <v>2</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2</v>
      </c>
      <c r="DE30" s="16"/>
      <c r="DF30" s="16">
        <f t="shared" ca="1" si="52"/>
        <v>2</v>
      </c>
      <c r="DG30" s="16" t="str">
        <f ca="1">IF(DB30="-","-",COUNTIFS(DF$6:DF$53,"&lt;"&amp;DF30,$BC$6:$BC$53,INDEX(T_Equipos[Grupo],MATCH(BD30,T_Equipos[NombreEquipo],0))))</f>
        <v>-</v>
      </c>
      <c r="DH30" s="16">
        <f ca="1">DA30+COUNTIFS(DB$6:DB$53,DB30,DG$6:DG$53,"&lt;"&amp;DG30,$BC$6:$BC$53,INDEX(T_Equipos[Grupo],MATCH(BD30,T_Equipos[NombreEquipo],0)))</f>
        <v>2</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Nueva Zelanda</v>
      </c>
    </row>
    <row r="31" spans="1:121" ht="15.9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str" cm="1">
        <f t="array" aca="1" ref="AB31" ca="1">Ver_flag_local</f>
        <v/>
      </c>
      <c r="AC31" s="50">
        <v>5</v>
      </c>
      <c r="AD31" s="51">
        <v>1</v>
      </c>
      <c r="AE31" s="595" t="str" cm="1">
        <f t="array" aca="1" ref="AE31" ca="1">Ver_flag_visit</f>
        <v/>
      </c>
      <c r="AF31" s="32" t="str">
        <f ca="1">A30</f>
        <v>Paraguay</v>
      </c>
      <c r="AG31" s="323">
        <f t="shared" si="104"/>
        <v>1</v>
      </c>
      <c r="AH31" s="195">
        <v>31</v>
      </c>
      <c r="AI31" s="181" t="str">
        <f t="shared" ref="AI31:AI33" si="108">AJ31&amp;$B$28</f>
        <v>2D</v>
      </c>
      <c r="AJ31" s="42">
        <v>2</v>
      </c>
      <c r="AK31" s="602" t="str" cm="1">
        <f t="array" aca="1" ref="AK31" ca="1">Ver_flag_visit</f>
        <v/>
      </c>
      <c r="AL31" s="37" t="str">
        <f ca="1">IFERROR(INDEX($BD$6:$BD$53,MATCH(AI31,$BN$6:$BN$53,0)),"")</f>
        <v>Turquía</v>
      </c>
      <c r="AM31" s="38">
        <f t="shared" ca="1" si="107"/>
        <v>6</v>
      </c>
      <c r="AN31" s="39">
        <f t="shared" ca="1" si="107"/>
        <v>3</v>
      </c>
      <c r="AO31" s="39">
        <f t="shared" ca="1" si="107"/>
        <v>2</v>
      </c>
      <c r="AP31" s="39">
        <f t="shared" ca="1" si="107"/>
        <v>0</v>
      </c>
      <c r="AQ31" s="39">
        <f t="shared" ca="1" si="107"/>
        <v>1</v>
      </c>
      <c r="AR31" s="39">
        <f t="shared" ca="1" si="107"/>
        <v>12</v>
      </c>
      <c r="AS31" s="39">
        <f t="shared" ca="1" si="107"/>
        <v>8</v>
      </c>
      <c r="AT31" s="43">
        <f t="shared" ca="1" si="107"/>
        <v>4</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1</v>
      </c>
      <c r="BF31" s="16">
        <f t="shared" ca="1" si="41"/>
        <v>3</v>
      </c>
      <c r="BG31" s="16">
        <f t="shared" ca="1" si="17"/>
        <v>0</v>
      </c>
      <c r="BH31" s="16">
        <f t="shared" ca="1" si="18"/>
        <v>1</v>
      </c>
      <c r="BI31" s="16">
        <f t="shared" ca="1" si="19"/>
        <v>2</v>
      </c>
      <c r="BJ31" s="16">
        <f t="shared" ca="1" si="20"/>
        <v>4</v>
      </c>
      <c r="BK31" s="16">
        <f t="shared" ca="1" si="21"/>
        <v>8</v>
      </c>
      <c r="BL31" s="16">
        <f t="shared" ca="1" si="42"/>
        <v>-4</v>
      </c>
      <c r="BM31" s="16" t="str">
        <f t="shared" ca="1" si="22"/>
        <v>3G</v>
      </c>
      <c r="BN31" s="16" t="str">
        <f t="shared" ca="1" si="23"/>
        <v>4G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1</v>
      </c>
      <c r="BS31" s="16">
        <f ca="1">BP31+COUNTIFS($BQ$6:$BQ$53,BQ31,$BR$6:BR$53,"&gt;"&amp;BR31,$BC$6:$BC$53,INDEX(T_Equipos[Grupo],MATCH(BD31,T_Equipos[NombreEquipo],0)))</f>
        <v>3</v>
      </c>
      <c r="BT31" s="16" t="str">
        <f ca="1">IF(COUNTIFS($BS$6:$BS$53,BS31,$BC$6:$BC$53,INDEX(T_Equipos[Grupo],MATCH(BD31,T_Equipos[NombreEquipo],0)))=1,"-","P."&amp;BS31&amp;" ("&amp;COUNTIFS($BS$6:$BS$53,BS31,$BC$6:$BC$53,INDEX(T_Equipos[Grupo],MATCH(BD31,T_Equipos[NombreEquipo],0)))&amp;")")</f>
        <v>P.3 (2)</v>
      </c>
      <c r="BU31" s="16">
        <f t="shared" ca="1" si="24"/>
        <v>0</v>
      </c>
      <c r="BV31" s="16">
        <f t="shared" ca="1" si="25"/>
        <v>1</v>
      </c>
      <c r="BW31" s="16">
        <f t="shared" ca="1" si="26"/>
        <v>0</v>
      </c>
      <c r="BX31" s="16">
        <f t="shared" ca="1" si="48"/>
        <v>1</v>
      </c>
      <c r="BY31" s="16">
        <f ca="1">BS31+COUNTIFS($BT$6:$BT$53,BT31,$BX$6:BX$53,"&gt;"&amp;BX31,$BC$6:$BC$53,INDEX(T_Equipos[Grupo],MATCH(BD31,T_Equipos[NombreEquipo],0)))</f>
        <v>3</v>
      </c>
      <c r="BZ31" s="16" t="str">
        <f ca="1">IF(COUNTIFS($BY$6:$BY$53,BY31,$BC$6:$BC$53,INDEX(T_Equipos[Grupo],MATCH(BD31,T_Equipos[NombreEquipo],0)))=1,"-","P."&amp;BY31&amp;" ("&amp;COUNTIFS($BY$6:$BY$53,BY31,$BC$6:$BC$53,INDEX(T_Equipos[Grupo],MATCH(BD31,T_Equipos[NombreEquipo],0)))&amp;")")</f>
        <v>P.3 (2)</v>
      </c>
      <c r="CA31" s="16">
        <f t="shared" ca="1" si="27"/>
        <v>2</v>
      </c>
      <c r="CB31" s="16">
        <f t="shared" ca="1" si="28"/>
        <v>2</v>
      </c>
      <c r="CC31" s="16">
        <f t="shared" ca="1" si="49"/>
        <v>0</v>
      </c>
      <c r="CD31" s="16">
        <f ca="1">BY31+COUNTIFS($BZ$6:$BZ$53,BZ31,$CC$6:CC$53,"&gt;"&amp;CC31,$BC$6:$BC$53,INDEX(T_Equipos[Grupo],MATCH(BD31,T_Equipos[NombreEquipo],0)))</f>
        <v>3</v>
      </c>
      <c r="CE31" s="16" t="str">
        <f ca="1">IF(COUNTIFS($CD$6:$CD$53,CD31,$BC$6:$BC$53,INDEX(T_Equipos[Grupo],MATCH(BD31,T_Equipos[NombreEquipo],0)))=1,"-","P."&amp;CD31&amp;" ("&amp;COUNTIFS($CD$6:$CD$53,CD31,$BC$6:$BC$53,INDEX(T_Equipos[Grupo],MATCH(BD31,T_Equipos[NombreEquipo],0)))&amp;")")</f>
        <v>P.3 (2)</v>
      </c>
      <c r="CF31" s="16">
        <f t="shared" ca="1" si="29"/>
        <v>2</v>
      </c>
      <c r="CG31" s="16">
        <f ca="1">CD31+COUNTIFS($CE$6:$CE$53,CE31,$CF$6:CF$53,"&gt;"&amp;CF31,$BC$6:$BC$53,INDEX(T_Equipos[Grupo],MATCH(BD31,T_Equipos[NombreEquipo],0)))</f>
        <v>3</v>
      </c>
      <c r="CH31" s="16" t="str">
        <f ca="1">IF(COUNTIFS($CG$6:$CG$53,CG31,$BC$6:$BC$53,INDEX(T_Equipos[Grupo],MATCH(BD31,T_Equipos[NombreEquipo],0)))=1,"-","P."&amp;CG31&amp;" ("&amp;COUNTIFS($CG$6:$CG$53,CG31,$BC$6:$BC$53,INDEX(T_Equipos[Grupo],MATCH(BD31,T_Equipos[NombreEquipo],0)))&amp;")")</f>
        <v>P.3 (2)</v>
      </c>
      <c r="CI31" s="16">
        <f t="shared" ca="1" si="30"/>
        <v>0</v>
      </c>
      <c r="CJ31" s="16">
        <f t="shared" ca="1" si="31"/>
        <v>1</v>
      </c>
      <c r="CK31" s="16">
        <f t="shared" ca="1" si="32"/>
        <v>0</v>
      </c>
      <c r="CL31" s="16">
        <f t="shared" ca="1" si="50"/>
        <v>1</v>
      </c>
      <c r="CM31" s="16">
        <f ca="1">CG31+COUNTIFS($CH$6:$CH$53,CH31,$CL$6:CL$53,"&gt;"&amp;CL31,$BC$6:$BC$53,INDEX(T_Equipos[Grupo],MATCH(BD31,T_Equipos[NombreEquipo],0)))</f>
        <v>3</v>
      </c>
      <c r="CN31" s="16" t="str">
        <f ca="1">IF(COUNTIFS($CM$6:$CM$53,CM31,$BC$6:$BC$53,INDEX(T_Equipos[Grupo],MATCH(BD31,T_Equipos[NombreEquipo],0)))=1,"-","P."&amp;CM31&amp;" ("&amp;COUNTIFS($CM$6:$CM$53,CM31,$BC$6:$BC$53,INDEX(T_Equipos[Grupo],MATCH(BD31,T_Equipos[NombreEquipo],0)))&amp;")")</f>
        <v>P.3 (2)</v>
      </c>
      <c r="CO31" s="16">
        <f t="shared" ca="1" si="33"/>
        <v>2</v>
      </c>
      <c r="CP31" s="16">
        <f t="shared" ca="1" si="34"/>
        <v>2</v>
      </c>
      <c r="CQ31" s="16">
        <f t="shared" ca="1" si="51"/>
        <v>0</v>
      </c>
      <c r="CR31" s="16">
        <f ca="1">CM31+COUNTIFS($CN$6:$CN$53,CN31,$CQ$6:CQ$53,"&gt;"&amp;CQ31,$BC$6:$BC$53,INDEX(T_Equipos[Grupo],MATCH(BD31,T_Equipos[NombreEquipo],0)))</f>
        <v>3</v>
      </c>
      <c r="CS31" s="16" t="str">
        <f ca="1">IF(COUNTIFS($CR$6:$CR$53,CR31,$BC$6:$BC$53,INDEX(T_Equipos[Grupo],MATCH(BD31,T_Equipos[NombreEquipo],0)))=1,"-","P."&amp;CR31&amp;" ("&amp;COUNTIFS($CR$6:$CR$53,CR31,$BC$6:$BC$53,INDEX(T_Equipos[Grupo],MATCH(BD31,T_Equipos[NombreEquipo],0)))&amp;")")</f>
        <v>P.3 (2)</v>
      </c>
      <c r="CT31" s="16">
        <f t="shared" ca="1" si="35"/>
        <v>2</v>
      </c>
      <c r="CU31" s="16">
        <f ca="1">CR31+COUNTIFS($CS$6:$CS$53,CS31,$CT$6:CT$53,"&gt;"&amp;CT31,$BC$6:$BC$53,INDEX(T_Equipos[Grupo],MATCH(BD31,T_Equipos[NombreEquipo],0)))</f>
        <v>3</v>
      </c>
      <c r="CV31" s="16" t="str">
        <f ca="1">IF(COUNTIFS($CU$6:$CU$53,CU31,$BC$6:$BC$53,INDEX(T_Equipos[Grupo],MATCH(BD31,T_Equipos[NombreEquipo],0)))=1,"-","P."&amp;CU31&amp;" ("&amp;COUNTIFS($CU$6:$CU$53,CU31,$BC$6:$BC$53,INDEX(T_Equipos[Grupo],MATCH(BD31,T_Equipos[NombreEquipo],0)))&amp;")")</f>
        <v>P.3 (2)</v>
      </c>
      <c r="CW31" s="16">
        <f t="shared" ca="1" si="36"/>
        <v>-4</v>
      </c>
      <c r="CX31" s="16">
        <f ca="1">CU31+COUNTIFS($CV$6:$CV$53,CV31,$CW$6:CW$53,"&gt;"&amp;CW31,$BC$6:$BC$53,INDEX(T_Equipos[Grupo],MATCH(BD31,T_Equipos[NombreEquipo],0)))</f>
        <v>3</v>
      </c>
      <c r="CY31" s="16" t="str">
        <f ca="1">IF(COUNTIFS($CX$6:$CX$53,CX31,$BC$6:$BC$53,INDEX(T_Equipos[Grupo],MATCH(BD31,T_Equipos[NombreEquipo],0)))=1,"-","P."&amp;CX31&amp;" ("&amp;COUNTIFS($CX$6:$CX$53,CX31,$BC$6:$BC$53,INDEX(T_Equipos[Grupo],MATCH(BD31,T_Equipos[NombreEquipo],0)))&amp;")")</f>
        <v>P.3 (2)</v>
      </c>
      <c r="CZ31" s="16">
        <f t="shared" ca="1" si="37"/>
        <v>4</v>
      </c>
      <c r="DA31" s="16">
        <f ca="1">CX31+COUNTIFS($CY$6:$CY$53,CY31,$CZ$6:CZ$53,"&gt;"&amp;CZ31,$BC$6:$BC$53,INDEX(T_Equipos[Grupo],MATCH(BD31,T_Equipos[NombreEquipo],0)))</f>
        <v>3</v>
      </c>
      <c r="DB31" s="16" t="str">
        <f ca="1">IF(COUNTIFS($DA$6:$DA$53,DA31,$BC$6:$BC$53,INDEX(T_Equipos[Grupo],MATCH(BD31,T_Equipos[NombreEquipo],0)))=1,"-","P."&amp;DA31&amp;" ("&amp;COUNTIFS($DA$6:$DA$53,DA31,$BC$6:$BC$53,INDEX(T_Equipos[Grupo],MATCH(BD31,T_Equipos[NombreEquipo],0)))&amp;")")</f>
        <v>P.3 (2)</v>
      </c>
      <c r="DC31" s="16">
        <f ca="1">IF(DB31="-","-",COUNTIFS(T_Equipos[Rank],"&lt;"&amp;INDEX(T_Equipos[Rank],MATCH(BD31,T_Equipos[NombreEquipo],0)),$BC$6:$BC$53,INDEX(T_Equipos[Grupo],MATCH(BD31,T_Equipos[NombreEquipo],0)))+1)</f>
        <v>2</v>
      </c>
      <c r="DD31" s="16">
        <f ca="1">DA31+COUNTIFS($DB$6:$DB$53,DB31,$DC$6:DC$53,"&lt;"&amp;DC31,$BC$6:$BC$53,INDEX(T_Equipos[Grupo],MATCH(BD31,T_Equipos[NombreEquipo],0)))</f>
        <v>3</v>
      </c>
      <c r="DE31" s="16"/>
      <c r="DF31" s="16">
        <f t="shared" ca="1" si="52"/>
        <v>4.0030000000000001</v>
      </c>
      <c r="DG31" s="16">
        <f ca="1">IF(DB31="-","-",COUNTIFS(DF$6:DF$53,"&lt;"&amp;DF31,$BC$6:$BC$53,INDEX(T_Equipos[Grupo],MATCH(BD31,T_Equipos[NombreEquipo],0))))</f>
        <v>3</v>
      </c>
      <c r="DH31" s="16">
        <f ca="1">DA31+COUNTIFS(DB$6:DB$53,DB31,DG$6:DG$53,"&lt;"&amp;DG31,$BC$6:$BC$53,INDEX(T_Equipos[Grupo],MATCH(BD31,T_Equipos[NombreEquipo],0)))</f>
        <v>4</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Bélgica</v>
      </c>
    </row>
    <row r="32" spans="1:121" ht="15.95" customHeight="1">
      <c r="A32" s="16" t="str">
        <f ca="1">+Equipos!B17</f>
        <v>Turquía</v>
      </c>
      <c r="B32" s="16"/>
      <c r="C32" s="16"/>
      <c r="D32" s="16" t="str">
        <f t="shared" si="91"/>
        <v>Visitante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str" cm="1">
        <f t="array" aca="1" ref="AB32" ca="1">Ver_flag_local</f>
        <v/>
      </c>
      <c r="AC32" s="50">
        <v>3</v>
      </c>
      <c r="AD32" s="51">
        <v>4</v>
      </c>
      <c r="AE32" s="595" t="str" cm="1">
        <f t="array" aca="1" ref="AE32" ca="1">Ver_flag_visit</f>
        <v/>
      </c>
      <c r="AF32" s="32" t="str">
        <f ca="1">A29</f>
        <v>Estados Unidos</v>
      </c>
      <c r="AG32" s="323">
        <f t="shared" si="104"/>
        <v>1</v>
      </c>
      <c r="AH32" s="195">
        <v>59</v>
      </c>
      <c r="AI32" s="181" t="str">
        <f t="shared" si="108"/>
        <v>3D</v>
      </c>
      <c r="AJ32" s="42">
        <v>3</v>
      </c>
      <c r="AK32" s="602" t="str" cm="1">
        <f t="array" aca="1" ref="AK32" ca="1">Ver_flag_visit</f>
        <v/>
      </c>
      <c r="AL32" s="37" t="str">
        <f ca="1">IFERROR(INDEX($BD$6:$BD$53,MATCH(AI32,$BN$6:$BN$53,0)),"")</f>
        <v>Australia</v>
      </c>
      <c r="AM32" s="38">
        <f t="shared" ca="1" si="107"/>
        <v>3</v>
      </c>
      <c r="AN32" s="39">
        <f t="shared" ca="1" si="107"/>
        <v>3</v>
      </c>
      <c r="AO32" s="39">
        <f t="shared" ca="1" si="107"/>
        <v>1</v>
      </c>
      <c r="AP32" s="39">
        <f t="shared" ca="1" si="107"/>
        <v>0</v>
      </c>
      <c r="AQ32" s="39">
        <f t="shared" ca="1" si="107"/>
        <v>2</v>
      </c>
      <c r="AR32" s="39">
        <f t="shared" ca="1" si="107"/>
        <v>8</v>
      </c>
      <c r="AS32" s="39">
        <f t="shared" ca="1" si="107"/>
        <v>7</v>
      </c>
      <c r="AT32" s="43">
        <f t="shared" ca="1" si="107"/>
        <v>1</v>
      </c>
      <c r="AU32" s="330">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1</v>
      </c>
      <c r="BF32" s="16">
        <f t="shared" ca="1" si="41"/>
        <v>3</v>
      </c>
      <c r="BG32" s="16">
        <f t="shared" ca="1" si="17"/>
        <v>0</v>
      </c>
      <c r="BH32" s="16">
        <f t="shared" ca="1" si="18"/>
        <v>1</v>
      </c>
      <c r="BI32" s="16">
        <f t="shared" ca="1" si="19"/>
        <v>2</v>
      </c>
      <c r="BJ32" s="16">
        <f t="shared" ca="1" si="20"/>
        <v>4</v>
      </c>
      <c r="BK32" s="16">
        <f t="shared" ca="1" si="21"/>
        <v>8</v>
      </c>
      <c r="BL32" s="16">
        <f t="shared" ca="1" si="42"/>
        <v>-4</v>
      </c>
      <c r="BM32" s="16" t="str">
        <f t="shared" ca="1" si="22"/>
        <v>4G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1</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P.3 (2)</v>
      </c>
      <c r="BU32" s="16">
        <f t="shared" ca="1" si="24"/>
        <v>0</v>
      </c>
      <c r="BV32" s="16">
        <f t="shared" ca="1" si="25"/>
        <v>1</v>
      </c>
      <c r="BW32" s="16">
        <f t="shared" ca="1" si="26"/>
        <v>0</v>
      </c>
      <c r="BX32" s="16">
        <f t="shared" ca="1" si="48"/>
        <v>1</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P.3 (2)</v>
      </c>
      <c r="CA32" s="16">
        <f t="shared" ca="1" si="27"/>
        <v>2</v>
      </c>
      <c r="CB32" s="16">
        <f t="shared" ca="1" si="28"/>
        <v>2</v>
      </c>
      <c r="CC32" s="16">
        <f t="shared" ca="1" si="49"/>
        <v>0</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P.3 (2)</v>
      </c>
      <c r="CF32" s="16">
        <f t="shared" ca="1" si="29"/>
        <v>2</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P.3 (2)</v>
      </c>
      <c r="CI32" s="16">
        <f t="shared" ca="1" si="30"/>
        <v>0</v>
      </c>
      <c r="CJ32" s="16">
        <f t="shared" ca="1" si="31"/>
        <v>1</v>
      </c>
      <c r="CK32" s="16">
        <f t="shared" ca="1" si="32"/>
        <v>0</v>
      </c>
      <c r="CL32" s="16">
        <f t="shared" ca="1" si="50"/>
        <v>1</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P.3 (2)</v>
      </c>
      <c r="CO32" s="16">
        <f t="shared" ca="1" si="33"/>
        <v>2</v>
      </c>
      <c r="CP32" s="16">
        <f t="shared" ca="1" si="34"/>
        <v>2</v>
      </c>
      <c r="CQ32" s="16">
        <f t="shared" ca="1" si="51"/>
        <v>0</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P.3 (2)</v>
      </c>
      <c r="CT32" s="16">
        <f t="shared" ca="1" si="35"/>
        <v>2</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P.3 (2)</v>
      </c>
      <c r="CW32" s="16">
        <f t="shared" ca="1" si="36"/>
        <v>-4</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P.3 (2)</v>
      </c>
      <c r="CZ32" s="16">
        <f t="shared" ca="1" si="37"/>
        <v>4</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P.3 (2)</v>
      </c>
      <c r="DC32" s="16">
        <f ca="1">IF(DB32="-","-",COUNTIFS(T_Equipos[Rank],"&lt;"&amp;INDEX(T_Equipos[Rank],MATCH(BD32,T_Equipos[NombreEquipo],0)),$BC$6:$BC$53,INDEX(T_Equipos[Grupo],MATCH(BD32,T_Equipos[NombreEquipo],0)))+1)</f>
        <v>3</v>
      </c>
      <c r="DD32" s="16">
        <f ca="1">DA32+COUNTIFS($DB$6:$DB$53,DB32,$DC$6:DC$53,"&lt;"&amp;DC32,$BC$6:$BC$53,INDEX(T_Equipos[Grupo],MATCH(BD32,T_Equipos[NombreEquipo],0)))</f>
        <v>4</v>
      </c>
      <c r="DE32" s="16"/>
      <c r="DF32" s="16">
        <f t="shared" ca="1" si="52"/>
        <v>3.004</v>
      </c>
      <c r="DG32" s="16">
        <f ca="1">IF(DB32="-","-",COUNTIFS(DF$6:DF$53,"&lt;"&amp;DF32,$BC$6:$BC$53,INDEX(T_Equipos[Grupo],MATCH(BD32,T_Equipos[NombreEquipo],0))))</f>
        <v>2</v>
      </c>
      <c r="DH32" s="16">
        <f ca="1">DA32+COUNTIFS(DB$6:DB$53,DB32,DG$6:DG$53,"&lt;"&amp;DG32,$BC$6:$BC$53,INDEX(T_Equipos[Grupo],MATCH(BD32,T_Equipos[NombreEquipo],0)))</f>
        <v>3</v>
      </c>
      <c r="DI32" s="16"/>
      <c r="DJ32" s="16">
        <f t="shared" ca="1" si="38"/>
        <v>3</v>
      </c>
      <c r="DK32" s="16">
        <f t="shared" ca="1" si="39"/>
        <v>12</v>
      </c>
      <c r="DL32" s="16">
        <f t="shared" ca="1" si="40"/>
        <v>2</v>
      </c>
      <c r="DM32" s="16" t="str">
        <f t="shared" ca="1" si="46"/>
        <v>3.2</v>
      </c>
      <c r="DN32" s="16" cm="1">
        <f t="array" aca="1" ref="DN32" ca="1">OFFSET(Horarios!$P$3,DJ32-1,0,DL32,1)</f>
        <v>3</v>
      </c>
      <c r="DO32" s="16"/>
      <c r="DP32" s="16" t="s">
        <v>445</v>
      </c>
      <c r="DQ32" s="16" t="str">
        <f t="shared" ca="1" si="47"/>
        <v>Egipto</v>
      </c>
    </row>
    <row r="33" spans="1:121" ht="15.95" customHeight="1" thickBot="1">
      <c r="A33" s="16"/>
      <c r="B33" s="16"/>
      <c r="C33" s="16"/>
      <c r="D33" s="16" t="str">
        <f t="shared" si="91"/>
        <v>Visitante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str" cm="1">
        <f t="array" aca="1" ref="AB33" ca="1">Ver_flag_local</f>
        <v/>
      </c>
      <c r="AC33" s="53">
        <v>0</v>
      </c>
      <c r="AD33" s="54">
        <v>3</v>
      </c>
      <c r="AE33" s="596" t="str" cm="1">
        <f t="array" aca="1" ref="AE33" ca="1">Ver_flag_visit</f>
        <v/>
      </c>
      <c r="AF33" s="33" t="str">
        <f ca="1">A31</f>
        <v>Australia</v>
      </c>
      <c r="AG33" s="323">
        <f t="shared" si="104"/>
        <v>1</v>
      </c>
      <c r="AH33" s="195">
        <v>60</v>
      </c>
      <c r="AI33" s="181" t="str">
        <f t="shared" si="108"/>
        <v>4D</v>
      </c>
      <c r="AJ33" s="44">
        <v>4</v>
      </c>
      <c r="AK33" s="604" t="str" cm="1">
        <f t="array" aca="1" ref="AK33" ca="1">Ver_flag_visit</f>
        <v/>
      </c>
      <c r="AL33" s="45" t="str">
        <f ca="1">IFERROR(INDEX($BD$6:$BD$53,MATCH(AI33,$BN$6:$BN$53,0)),"")</f>
        <v>Paraguay</v>
      </c>
      <c r="AM33" s="46">
        <f t="shared" ca="1" si="107"/>
        <v>0</v>
      </c>
      <c r="AN33" s="47">
        <f t="shared" ca="1" si="107"/>
        <v>3</v>
      </c>
      <c r="AO33" s="47">
        <f t="shared" ca="1" si="107"/>
        <v>0</v>
      </c>
      <c r="AP33" s="47">
        <f t="shared" ca="1" si="107"/>
        <v>0</v>
      </c>
      <c r="AQ33" s="47">
        <f t="shared" ca="1" si="107"/>
        <v>3</v>
      </c>
      <c r="AR33" s="47">
        <f t="shared" ca="1" si="107"/>
        <v>2</v>
      </c>
      <c r="AS33" s="47">
        <f t="shared" ca="1" si="107"/>
        <v>10</v>
      </c>
      <c r="AT33" s="48">
        <f t="shared" ca="1" si="107"/>
        <v>-8</v>
      </c>
      <c r="AU33" s="330">
        <f ca="1">INDEX($DL$6:$DL$53,MATCH(AI33,$DP$6:$DP$53,0))</f>
        <v>1</v>
      </c>
      <c r="AV33" s="182" t="str">
        <f ca="1">INDEX($BD$6:$BD$53,MATCH(AI33,$BM$6:$BM$53,0))</f>
        <v>Paraguay</v>
      </c>
      <c r="AW33" s="210"/>
      <c r="AX33" s="171"/>
      <c r="AY33" s="205" t="str">
        <f ca="1">+A32</f>
        <v>Turquía</v>
      </c>
      <c r="AZ33" s="206"/>
      <c r="BA33" s="176"/>
      <c r="BC33" s="16" t="str">
        <f ca="1">+INDEX(T_Equipos[Grupo],MATCH(WORLDCUP!BD33,T_Equipos[NombreEquipo],0))</f>
        <v>G</v>
      </c>
      <c r="BD33" s="16" t="str">
        <f ca="1">+Equipos!B29</f>
        <v>Nueva Zelanda</v>
      </c>
      <c r="BE33" s="16">
        <f t="shared" ca="1" si="16"/>
        <v>7</v>
      </c>
      <c r="BF33" s="16">
        <f t="shared" ca="1" si="41"/>
        <v>3</v>
      </c>
      <c r="BG33" s="16">
        <f t="shared" ca="1" si="17"/>
        <v>2</v>
      </c>
      <c r="BH33" s="16">
        <f t="shared" ca="1" si="18"/>
        <v>1</v>
      </c>
      <c r="BI33" s="16">
        <f t="shared" ca="1" si="19"/>
        <v>0</v>
      </c>
      <c r="BJ33" s="16">
        <f t="shared" ca="1" si="20"/>
        <v>7</v>
      </c>
      <c r="BK33" s="16">
        <f t="shared" ca="1" si="21"/>
        <v>3</v>
      </c>
      <c r="BL33" s="16">
        <f t="shared" ca="1" si="42"/>
        <v>4</v>
      </c>
      <c r="BM33" s="16" t="str">
        <f t="shared" ca="1" si="22"/>
        <v>1G</v>
      </c>
      <c r="BN33" s="16" t="str">
        <f t="shared" ca="1" si="23"/>
        <v>1G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7</v>
      </c>
      <c r="BS33" s="16">
        <f ca="1">BP33+COUNTIFS($BQ$6:$BQ$53,BQ33,$BR$6:BR$53,"&gt;"&amp;BR33,$BC$6:$BC$53,INDEX(T_Equipos[Grupo],MATCH(BD33,T_Equipos[NombreEquipo],0)))</f>
        <v>1</v>
      </c>
      <c r="BT33" s="16" t="str">
        <f ca="1">IF(COUNTIFS($BS$6:$BS$53,BS33,$BC$6:$BC$53,INDEX(T_Equipos[Grupo],MATCH(BD33,T_Equipos[NombreEquipo],0)))=1,"-","P."&amp;BS33&amp;" ("&amp;COUNTIFS($BS$6:$BS$53,BS33,$BC$6:$BC$53,INDEX(T_Equipos[Grupo],MATCH(BD33,T_Equipos[NombreEquipo],0)))&amp;")")</f>
        <v>P.1 (2)</v>
      </c>
      <c r="BU33" s="16">
        <f t="shared" ca="1" si="24"/>
        <v>0</v>
      </c>
      <c r="BV33" s="16">
        <f t="shared" ca="1" si="25"/>
        <v>1</v>
      </c>
      <c r="BW33" s="16">
        <f t="shared" ca="1" si="26"/>
        <v>0</v>
      </c>
      <c r="BX33" s="16">
        <f t="shared" ca="1" si="48"/>
        <v>1</v>
      </c>
      <c r="BY33" s="16">
        <f ca="1">BS33+COUNTIFS($BT$6:$BT$53,BT33,$BX$6:BX$53,"&gt;"&amp;BX33,$BC$6:$BC$53,INDEX(T_Equipos[Grupo],MATCH(BD33,T_Equipos[NombreEquipo],0)))</f>
        <v>1</v>
      </c>
      <c r="BZ33" s="16" t="str">
        <f ca="1">IF(COUNTIFS($BY$6:$BY$53,BY33,$BC$6:$BC$53,INDEX(T_Equipos[Grupo],MATCH(BD33,T_Equipos[NombreEquipo],0)))=1,"-","P."&amp;BY33&amp;" ("&amp;COUNTIFS($BY$6:$BY$53,BY33,$BC$6:$BC$53,INDEX(T_Equipos[Grupo],MATCH(BD33,T_Equipos[NombreEquipo],0)))&amp;")")</f>
        <v>P.1 (2)</v>
      </c>
      <c r="CA33" s="16">
        <f t="shared" ca="1" si="27"/>
        <v>0</v>
      </c>
      <c r="CB33" s="16">
        <f t="shared" ca="1" si="28"/>
        <v>0</v>
      </c>
      <c r="CC33" s="16">
        <f t="shared" ca="1" si="49"/>
        <v>0</v>
      </c>
      <c r="CD33" s="16">
        <f ca="1">BY33+COUNTIFS($BZ$6:$BZ$53,BZ33,$CC$6:CC$53,"&gt;"&amp;CC33,$BC$6:$BC$53,INDEX(T_Equipos[Grupo],MATCH(BD33,T_Equipos[NombreEquipo],0)))</f>
        <v>1</v>
      </c>
      <c r="CE33" s="16" t="str">
        <f ca="1">IF(COUNTIFS($CD$6:$CD$53,CD33,$BC$6:$BC$53,INDEX(T_Equipos[Grupo],MATCH(BD33,T_Equipos[NombreEquipo],0)))=1,"-","P."&amp;CD33&amp;" ("&amp;COUNTIFS($CD$6:$CD$53,CD33,$BC$6:$BC$53,INDEX(T_Equipos[Grupo],MATCH(BD33,T_Equipos[NombreEquipo],0)))&amp;")")</f>
        <v>P.1 (2)</v>
      </c>
      <c r="CF33" s="16">
        <f t="shared" ca="1" si="29"/>
        <v>0</v>
      </c>
      <c r="CG33" s="16">
        <f ca="1">CD33+COUNTIFS($CE$6:$CE$53,CE33,$CF$6:CF$53,"&gt;"&amp;CF33,$BC$6:$BC$53,INDEX(T_Equipos[Grupo],MATCH(BD33,T_Equipos[NombreEquipo],0)))</f>
        <v>1</v>
      </c>
      <c r="CH33" s="16" t="str">
        <f ca="1">IF(COUNTIFS($CG$6:$CG$53,CG33,$BC$6:$BC$53,INDEX(T_Equipos[Grupo],MATCH(BD33,T_Equipos[NombreEquipo],0)))=1,"-","P."&amp;CG33&amp;" ("&amp;COUNTIFS($CG$6:$CG$53,CG33,$BC$6:$BC$53,INDEX(T_Equipos[Grupo],MATCH(BD33,T_Equipos[NombreEquipo],0)))&amp;")")</f>
        <v>P.1 (2)</v>
      </c>
      <c r="CI33" s="16">
        <f t="shared" ca="1" si="30"/>
        <v>0</v>
      </c>
      <c r="CJ33" s="16">
        <f t="shared" ca="1" si="31"/>
        <v>1</v>
      </c>
      <c r="CK33" s="16">
        <f t="shared" ca="1" si="32"/>
        <v>0</v>
      </c>
      <c r="CL33" s="16">
        <f t="shared" ca="1" si="50"/>
        <v>1</v>
      </c>
      <c r="CM33" s="16">
        <f ca="1">CG33+COUNTIFS($CH$6:$CH$53,CH33,$CL$6:CL$53,"&gt;"&amp;CL33,$BC$6:$BC$53,INDEX(T_Equipos[Grupo],MATCH(BD33,T_Equipos[NombreEquipo],0)))</f>
        <v>1</v>
      </c>
      <c r="CN33" s="16" t="str">
        <f ca="1">IF(COUNTIFS($CM$6:$CM$53,CM33,$BC$6:$BC$53,INDEX(T_Equipos[Grupo],MATCH(BD33,T_Equipos[NombreEquipo],0)))=1,"-","P."&amp;CM33&amp;" ("&amp;COUNTIFS($CM$6:$CM$53,CM33,$BC$6:$BC$53,INDEX(T_Equipos[Grupo],MATCH(BD33,T_Equipos[NombreEquipo],0)))&amp;")")</f>
        <v>P.1 (2)</v>
      </c>
      <c r="CO33" s="16">
        <f t="shared" ca="1" si="33"/>
        <v>0</v>
      </c>
      <c r="CP33" s="16">
        <f t="shared" ca="1" si="34"/>
        <v>0</v>
      </c>
      <c r="CQ33" s="16">
        <f t="shared" ca="1" si="51"/>
        <v>0</v>
      </c>
      <c r="CR33" s="16">
        <f ca="1">CM33+COUNTIFS($CN$6:$CN$53,CN33,$CQ$6:CQ$53,"&gt;"&amp;CQ33,$BC$6:$BC$53,INDEX(T_Equipos[Grupo],MATCH(BD33,T_Equipos[NombreEquipo],0)))</f>
        <v>1</v>
      </c>
      <c r="CS33" s="16" t="str">
        <f ca="1">IF(COUNTIFS($CR$6:$CR$53,CR33,$BC$6:$BC$53,INDEX(T_Equipos[Grupo],MATCH(BD33,T_Equipos[NombreEquipo],0)))=1,"-","P."&amp;CR33&amp;" ("&amp;COUNTIFS($CR$6:$CR$53,CR33,$BC$6:$BC$53,INDEX(T_Equipos[Grupo],MATCH(BD33,T_Equipos[NombreEquipo],0)))&amp;")")</f>
        <v>P.1 (2)</v>
      </c>
      <c r="CT33" s="16">
        <f t="shared" ca="1" si="35"/>
        <v>0</v>
      </c>
      <c r="CU33" s="16">
        <f ca="1">CR33+COUNTIFS($CS$6:$CS$53,CS33,$CT$6:CT$53,"&gt;"&amp;CT33,$BC$6:$BC$53,INDEX(T_Equipos[Grupo],MATCH(BD33,T_Equipos[NombreEquipo],0)))</f>
        <v>1</v>
      </c>
      <c r="CV33" s="16" t="str">
        <f ca="1">IF(COUNTIFS($CU$6:$CU$53,CU33,$BC$6:$BC$53,INDEX(T_Equipos[Grupo],MATCH(BD33,T_Equipos[NombreEquipo],0)))=1,"-","P."&amp;CU33&amp;" ("&amp;COUNTIFS($CU$6:$CU$53,CU33,$BC$6:$BC$53,INDEX(T_Equipos[Grupo],MATCH(BD33,T_Equipos[NombreEquipo],0)))&amp;")")</f>
        <v>P.1 (2)</v>
      </c>
      <c r="CW33" s="16">
        <f t="shared" ca="1" si="36"/>
        <v>4</v>
      </c>
      <c r="CX33" s="16">
        <f ca="1">CU33+COUNTIFS($CV$6:$CV$53,CV33,$CW$6:CW$53,"&gt;"&amp;CW33,$BC$6:$BC$53,INDEX(T_Equipos[Grupo],MATCH(BD33,T_Equipos[NombreEquipo],0)))</f>
        <v>1</v>
      </c>
      <c r="CY33" s="16" t="str">
        <f ca="1">IF(COUNTIFS($CX$6:$CX$53,CX33,$BC$6:$BC$53,INDEX(T_Equipos[Grupo],MATCH(BD33,T_Equipos[NombreEquipo],0)))=1,"-","P."&amp;CX33&amp;" ("&amp;COUNTIFS($CX$6:$CX$53,CX33,$BC$6:$BC$53,INDEX(T_Equipos[Grupo],MATCH(BD33,T_Equipos[NombreEquipo],0)))&amp;")")</f>
        <v>P.1 (2)</v>
      </c>
      <c r="CZ33" s="16">
        <f t="shared" ca="1" si="37"/>
        <v>7</v>
      </c>
      <c r="DA33" s="16">
        <f ca="1">CX33+COUNTIFS($CY$6:$CY$53,CY33,$CZ$6:CZ$53,"&gt;"&amp;CZ33,$BC$6:$BC$53,INDEX(T_Equipos[Grupo],MATCH(BD33,T_Equipos[NombreEquipo],0)))</f>
        <v>1</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1</v>
      </c>
      <c r="DE33" s="16"/>
      <c r="DF33" s="16">
        <f t="shared" ca="1" si="52"/>
        <v>1</v>
      </c>
      <c r="DG33" s="16" t="str">
        <f ca="1">IF(DB33="-","-",COUNTIFS(DF$6:DF$53,"&lt;"&amp;DF33,$BC$6:$BC$53,INDEX(T_Equipos[Grupo],MATCH(BD33,T_Equipos[NombreEquipo],0))))</f>
        <v>-</v>
      </c>
      <c r="DH33" s="16">
        <f ca="1">DA33+COUNTIFS(DB$6:DB$53,DB33,DG$6:DG$53,"&lt;"&amp;DG33,$BC$6:$BC$53,INDEX(T_Equipos[Grupo],MATCH(BD33,T_Equipos[NombreEquipo],0)))</f>
        <v>1</v>
      </c>
      <c r="DI33" s="16"/>
      <c r="DJ33" s="16">
        <f t="shared" ca="1" si="38"/>
        <v>3</v>
      </c>
      <c r="DK33" s="16">
        <f t="shared" ca="1" si="39"/>
        <v>12</v>
      </c>
      <c r="DL33" s="16">
        <f t="shared" ca="1" si="40"/>
        <v>2</v>
      </c>
      <c r="DM33" s="16" t="str">
        <f t="shared" ca="1" si="46"/>
        <v>3.2</v>
      </c>
      <c r="DN33" s="16" cm="1">
        <f t="array" aca="1" ref="DN33" ca="1">OFFSET(Horarios!$P$3,DJ33-1,0,DL33,1)</f>
        <v>3</v>
      </c>
      <c r="DO33" s="16"/>
      <c r="DP33" s="16" t="s">
        <v>680</v>
      </c>
      <c r="DQ33" s="16" t="str">
        <f t="shared" ca="1" si="47"/>
        <v>Irán</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8</v>
      </c>
      <c r="BK34" s="16">
        <f t="shared" ca="1" si="21"/>
        <v>5</v>
      </c>
      <c r="BL34" s="16">
        <f t="shared" ca="1" si="42"/>
        <v>3</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4"/>
        <v>0</v>
      </c>
      <c r="BV34" s="16">
        <f t="shared" ca="1" si="25"/>
        <v>1</v>
      </c>
      <c r="BW34" s="16">
        <f t="shared" ca="1" si="26"/>
        <v>0</v>
      </c>
      <c r="BX34" s="16">
        <f t="shared" ca="1" si="48"/>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27"/>
        <v>3</v>
      </c>
      <c r="CB34" s="16">
        <f t="shared" ca="1" si="28"/>
        <v>3</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29"/>
        <v>3</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0"/>
        <v>0</v>
      </c>
      <c r="CJ34" s="16">
        <f t="shared" ca="1" si="31"/>
        <v>1</v>
      </c>
      <c r="CK34" s="16">
        <f t="shared" ca="1" si="32"/>
        <v>0</v>
      </c>
      <c r="CL34" s="16">
        <f t="shared" ca="1" si="50"/>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33"/>
        <v>3</v>
      </c>
      <c r="CP34" s="16">
        <f t="shared" ca="1" si="34"/>
        <v>3</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35"/>
        <v>3</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36"/>
        <v>3</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P.1 (2)</v>
      </c>
      <c r="CZ34" s="16">
        <f t="shared" ca="1" si="37"/>
        <v>8</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P.1 (2)</v>
      </c>
      <c r="DC34" s="16">
        <f ca="1">IF(DB34="-","-",COUNTIFS(T_Equipos[Rank],"&lt;"&amp;INDEX(T_Equipos[Rank],MATCH(BD34,T_Equipos[NombreEquipo],0)),$BC$6:$BC$53,INDEX(T_Equipos[Grupo],MATCH(BD34,T_Equipos[NombreEquipo],0)))+1)</f>
        <v>1</v>
      </c>
      <c r="DD34" s="16">
        <f ca="1">DA34+COUNTIFS($DB$6:$DB$53,DB34,$DC$6:DC$53,"&lt;"&amp;DC34,$BC$6:$BC$53,INDEX(T_Equipos[Grupo],MATCH(BD34,T_Equipos[NombreEquipo],0)))</f>
        <v>1</v>
      </c>
      <c r="DE34" s="16"/>
      <c r="DF34" s="16">
        <f t="shared" ca="1" si="52"/>
        <v>1.0009999999999999</v>
      </c>
      <c r="DG34" s="16">
        <f ca="1">IF(DB34="-","-",COUNTIFS(DF$6:DF$53,"&lt;"&amp;DF34,$BC$6:$BC$53,INDEX(T_Equipos[Grupo],MATCH(BD34,T_Equipos[NombreEquipo],0))))</f>
        <v>0</v>
      </c>
      <c r="DH34" s="16">
        <f ca="1">DA34+COUNTIFS(DB$6:DB$53,DB34,DG$6:DG$53,"&lt;"&amp;DG34,$BC$6:$BC$53,INDEX(T_Equipos[Grupo],MATCH(BD34,T_Equipos[NombreEquipo],0)))</f>
        <v>1</v>
      </c>
      <c r="DI34" s="16"/>
      <c r="DJ34" s="16">
        <f t="shared" ca="1" si="38"/>
        <v>1</v>
      </c>
      <c r="DK34" s="16">
        <f t="shared" ca="1" si="39"/>
        <v>12</v>
      </c>
      <c r="DL34" s="16">
        <f t="shared" ca="1" si="40"/>
        <v>2</v>
      </c>
      <c r="DM34" s="16" t="str">
        <f t="shared" ca="1" si="46"/>
        <v>1.2</v>
      </c>
      <c r="DN34" s="16" cm="1">
        <f t="array" aca="1" ref="DN34" ca="1">OFFSET(Horarios!$P$3,DJ34-1,0,DL34,1)</f>
        <v>1</v>
      </c>
      <c r="DO34" s="16"/>
      <c r="DP34" s="16" t="s">
        <v>681</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7</v>
      </c>
      <c r="BF35" s="16">
        <f t="shared" ca="1" si="41"/>
        <v>3</v>
      </c>
      <c r="BG35" s="16">
        <f t="shared" ca="1" si="17"/>
        <v>2</v>
      </c>
      <c r="BH35" s="16">
        <f t="shared" ca="1" si="18"/>
        <v>1</v>
      </c>
      <c r="BI35" s="16">
        <f t="shared" ca="1" si="19"/>
        <v>0</v>
      </c>
      <c r="BJ35" s="16">
        <f t="shared" ca="1" si="20"/>
        <v>8</v>
      </c>
      <c r="BK35" s="16">
        <f t="shared" ca="1" si="21"/>
        <v>5</v>
      </c>
      <c r="BL35" s="16">
        <f t="shared" ca="1" si="42"/>
        <v>3</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7</v>
      </c>
      <c r="BS35" s="16">
        <f ca="1">BP35+COUNTIFS($BQ$6:$BQ$53,BQ35,$BR$6:BR$53,"&gt;"&amp;BR35,$BC$6:$BC$53,INDEX(T_Equipos[Grupo],MATCH(BD35,T_Equipos[NombreEquipo],0)))</f>
        <v>1</v>
      </c>
      <c r="BT35" s="16" t="str">
        <f ca="1">IF(COUNTIFS($BS$6:$BS$53,BS35,$BC$6:$BC$53,INDEX(T_Equipos[Grupo],MATCH(BD35,T_Equipos[NombreEquipo],0)))=1,"-","P."&amp;BS35&amp;" ("&amp;COUNTIFS($BS$6:$BS$53,BS35,$BC$6:$BC$53,INDEX(T_Equipos[Grupo],MATCH(BD35,T_Equipos[NombreEquipo],0)))&amp;")")</f>
        <v>P.1 (2)</v>
      </c>
      <c r="BU35" s="16">
        <f t="shared" ca="1" si="24"/>
        <v>0</v>
      </c>
      <c r="BV35" s="16">
        <f t="shared" ca="1" si="25"/>
        <v>1</v>
      </c>
      <c r="BW35" s="16">
        <f t="shared" ca="1" si="26"/>
        <v>0</v>
      </c>
      <c r="BX35" s="16">
        <f t="shared" ca="1" si="48"/>
        <v>1</v>
      </c>
      <c r="BY35" s="16">
        <f ca="1">BS35+COUNTIFS($BT$6:$BT$53,BT35,$BX$6:BX$53,"&gt;"&amp;BX35,$BC$6:$BC$53,INDEX(T_Equipos[Grupo],MATCH(BD35,T_Equipos[NombreEquipo],0)))</f>
        <v>1</v>
      </c>
      <c r="BZ35" s="16" t="str">
        <f ca="1">IF(COUNTIFS($BY$6:$BY$53,BY35,$BC$6:$BC$53,INDEX(T_Equipos[Grupo],MATCH(BD35,T_Equipos[NombreEquipo],0)))=1,"-","P."&amp;BY35&amp;" ("&amp;COUNTIFS($BY$6:$BY$53,BY35,$BC$6:$BC$53,INDEX(T_Equipos[Grupo],MATCH(BD35,T_Equipos[NombreEquipo],0)))&amp;")")</f>
        <v>P.1 (2)</v>
      </c>
      <c r="CA35" s="16">
        <f t="shared" ca="1" si="27"/>
        <v>3</v>
      </c>
      <c r="CB35" s="16">
        <f t="shared" ca="1" si="28"/>
        <v>3</v>
      </c>
      <c r="CC35" s="16">
        <f t="shared" ca="1" si="49"/>
        <v>0</v>
      </c>
      <c r="CD35" s="16">
        <f ca="1">BY35+COUNTIFS($BZ$6:$BZ$53,BZ35,$CC$6:CC$53,"&gt;"&amp;CC35,$BC$6:$BC$53,INDEX(T_Equipos[Grupo],MATCH(BD35,T_Equipos[NombreEquipo],0)))</f>
        <v>1</v>
      </c>
      <c r="CE35" s="16" t="str">
        <f ca="1">IF(COUNTIFS($CD$6:$CD$53,CD35,$BC$6:$BC$53,INDEX(T_Equipos[Grupo],MATCH(BD35,T_Equipos[NombreEquipo],0)))=1,"-","P."&amp;CD35&amp;" ("&amp;COUNTIFS($CD$6:$CD$53,CD35,$BC$6:$BC$53,INDEX(T_Equipos[Grupo],MATCH(BD35,T_Equipos[NombreEquipo],0)))&amp;")")</f>
        <v>P.1 (2)</v>
      </c>
      <c r="CF35" s="16">
        <f t="shared" ca="1" si="29"/>
        <v>3</v>
      </c>
      <c r="CG35" s="16">
        <f ca="1">CD35+COUNTIFS($CE$6:$CE$53,CE35,$CF$6:CF$53,"&gt;"&amp;CF35,$BC$6:$BC$53,INDEX(T_Equipos[Grupo],MATCH(BD35,T_Equipos[NombreEquipo],0)))</f>
        <v>1</v>
      </c>
      <c r="CH35" s="16" t="str">
        <f ca="1">IF(COUNTIFS($CG$6:$CG$53,CG35,$BC$6:$BC$53,INDEX(T_Equipos[Grupo],MATCH(BD35,T_Equipos[NombreEquipo],0)))=1,"-","P."&amp;CG35&amp;" ("&amp;COUNTIFS($CG$6:$CG$53,CG35,$BC$6:$BC$53,INDEX(T_Equipos[Grupo],MATCH(BD35,T_Equipos[NombreEquipo],0)))&amp;")")</f>
        <v>P.1 (2)</v>
      </c>
      <c r="CI35" s="16">
        <f t="shared" ca="1" si="30"/>
        <v>0</v>
      </c>
      <c r="CJ35" s="16">
        <f t="shared" ca="1" si="31"/>
        <v>1</v>
      </c>
      <c r="CK35" s="16">
        <f t="shared" ca="1" si="32"/>
        <v>0</v>
      </c>
      <c r="CL35" s="16">
        <f t="shared" ca="1" si="50"/>
        <v>1</v>
      </c>
      <c r="CM35" s="16">
        <f ca="1">CG35+COUNTIFS($CH$6:$CH$53,CH35,$CL$6:CL$53,"&gt;"&amp;CL35,$BC$6:$BC$53,INDEX(T_Equipos[Grupo],MATCH(BD35,T_Equipos[NombreEquipo],0)))</f>
        <v>1</v>
      </c>
      <c r="CN35" s="16" t="str">
        <f ca="1">IF(COUNTIFS($CM$6:$CM$53,CM35,$BC$6:$BC$53,INDEX(T_Equipos[Grupo],MATCH(BD35,T_Equipos[NombreEquipo],0)))=1,"-","P."&amp;CM35&amp;" ("&amp;COUNTIFS($CM$6:$CM$53,CM35,$BC$6:$BC$53,INDEX(T_Equipos[Grupo],MATCH(BD35,T_Equipos[NombreEquipo],0)))&amp;")")</f>
        <v>P.1 (2)</v>
      </c>
      <c r="CO35" s="16">
        <f t="shared" ca="1" si="33"/>
        <v>3</v>
      </c>
      <c r="CP35" s="16">
        <f t="shared" ca="1" si="34"/>
        <v>3</v>
      </c>
      <c r="CQ35" s="16">
        <f t="shared" ca="1" si="51"/>
        <v>0</v>
      </c>
      <c r="CR35" s="16">
        <f ca="1">CM35+COUNTIFS($CN$6:$CN$53,CN35,$CQ$6:CQ$53,"&gt;"&amp;CQ35,$BC$6:$BC$53,INDEX(T_Equipos[Grupo],MATCH(BD35,T_Equipos[NombreEquipo],0)))</f>
        <v>1</v>
      </c>
      <c r="CS35" s="16" t="str">
        <f ca="1">IF(COUNTIFS($CR$6:$CR$53,CR35,$BC$6:$BC$53,INDEX(T_Equipos[Grupo],MATCH(BD35,T_Equipos[NombreEquipo],0)))=1,"-","P."&amp;CR35&amp;" ("&amp;COUNTIFS($CR$6:$CR$53,CR35,$BC$6:$BC$53,INDEX(T_Equipos[Grupo],MATCH(BD35,T_Equipos[NombreEquipo],0)))&amp;")")</f>
        <v>P.1 (2)</v>
      </c>
      <c r="CT35" s="16">
        <f t="shared" ca="1" si="35"/>
        <v>3</v>
      </c>
      <c r="CU35" s="16">
        <f ca="1">CR35+COUNTIFS($CS$6:$CS$53,CS35,$CT$6:CT$53,"&gt;"&amp;CT35,$BC$6:$BC$53,INDEX(T_Equipos[Grupo],MATCH(BD35,T_Equipos[NombreEquipo],0)))</f>
        <v>1</v>
      </c>
      <c r="CV35" s="16" t="str">
        <f ca="1">IF(COUNTIFS($CU$6:$CU$53,CU35,$BC$6:$BC$53,INDEX(T_Equipos[Grupo],MATCH(BD35,T_Equipos[NombreEquipo],0)))=1,"-","P."&amp;CU35&amp;" ("&amp;COUNTIFS($CU$6:$CU$53,CU35,$BC$6:$BC$53,INDEX(T_Equipos[Grupo],MATCH(BD35,T_Equipos[NombreEquipo],0)))&amp;")")</f>
        <v>P.1 (2)</v>
      </c>
      <c r="CW35" s="16">
        <f t="shared" ca="1" si="36"/>
        <v>3</v>
      </c>
      <c r="CX35" s="16">
        <f ca="1">CU35+COUNTIFS($CV$6:$CV$53,CV35,$CW$6:CW$53,"&gt;"&amp;CW35,$BC$6:$BC$53,INDEX(T_Equipos[Grupo],MATCH(BD35,T_Equipos[NombreEquipo],0)))</f>
        <v>1</v>
      </c>
      <c r="CY35" s="16" t="str">
        <f ca="1">IF(COUNTIFS($CX$6:$CX$53,CX35,$BC$6:$BC$53,INDEX(T_Equipos[Grupo],MATCH(BD35,T_Equipos[NombreEquipo],0)))=1,"-","P."&amp;CX35&amp;" ("&amp;COUNTIFS($CX$6:$CX$53,CX35,$BC$6:$BC$53,INDEX(T_Equipos[Grupo],MATCH(BD35,T_Equipos[NombreEquipo],0)))&amp;")")</f>
        <v>P.1 (2)</v>
      </c>
      <c r="CZ35" s="16">
        <f t="shared" ca="1" si="37"/>
        <v>8</v>
      </c>
      <c r="DA35" s="16">
        <f ca="1">CX35+COUNTIFS($CY$6:$CY$53,CY35,$CZ$6:CZ$53,"&gt;"&amp;CZ35,$BC$6:$BC$53,INDEX(T_Equipos[Grupo],MATCH(BD35,T_Equipos[NombreEquipo],0)))</f>
        <v>1</v>
      </c>
      <c r="DB35" s="16" t="str">
        <f ca="1">IF(COUNTIFS($DA$6:$DA$53,DA35,$BC$6:$BC$53,INDEX(T_Equipos[Grupo],MATCH(BD35,T_Equipos[NombreEquipo],0)))=1,"-","P."&amp;DA35&amp;" ("&amp;COUNTIFS($DA$6:$DA$53,DA35,$BC$6:$BC$53,INDEX(T_Equipos[Grupo],MATCH(BD35,T_Equipos[NombreEquipo],0)))&amp;")")</f>
        <v>P.1 (2)</v>
      </c>
      <c r="DC35" s="16">
        <f ca="1">IF(DB35="-","-",COUNTIFS(T_Equipos[Rank],"&lt;"&amp;INDEX(T_Equipos[Rank],MATCH(BD35,T_Equipos[NombreEquipo],0)),$BC$6:$BC$53,INDEX(T_Equipos[Grupo],MATCH(BD35,T_Equipos[NombreEquipo],0)))+1)</f>
        <v>2</v>
      </c>
      <c r="DD35" s="16">
        <f ca="1">DA35+COUNTIFS($DB$6:$DB$53,DB35,$DC$6:DC$53,"&lt;"&amp;DC35,$BC$6:$BC$53,INDEX(T_Equipos[Grupo],MATCH(BD35,T_Equipos[NombreEquipo],0)))</f>
        <v>2</v>
      </c>
      <c r="DE35" s="16"/>
      <c r="DF35" s="16">
        <f t="shared" ca="1" si="52"/>
        <v>2.0019999999999998</v>
      </c>
      <c r="DG35" s="16">
        <f ca="1">IF(DB35="-","-",COUNTIFS(DF$6:DF$53,"&lt;"&amp;DF35,$BC$6:$BC$53,INDEX(T_Equipos[Grupo],MATCH(BD35,T_Equipos[NombreEquipo],0))))</f>
        <v>1</v>
      </c>
      <c r="DH35" s="16">
        <f ca="1">DA35+COUNTIFS(DB$6:DB$53,DB35,DG$6:DG$53,"&lt;"&amp;DG35,$BC$6:$BC$53,INDEX(T_Equipos[Grupo],MATCH(BD35,T_Equipos[NombreEquipo],0)))</f>
        <v>2</v>
      </c>
      <c r="DI35" s="16"/>
      <c r="DJ35" s="16">
        <f t="shared" ca="1" si="38"/>
        <v>1</v>
      </c>
      <c r="DK35" s="16">
        <f t="shared" ca="1" si="39"/>
        <v>12</v>
      </c>
      <c r="DL35" s="16">
        <f t="shared" ca="1" si="40"/>
        <v>2</v>
      </c>
      <c r="DM35" s="16" t="str">
        <f t="shared" ca="1" si="46"/>
        <v>1.2</v>
      </c>
      <c r="DN35" s="16" cm="1">
        <f t="array" aca="1" ref="DN35" ca="1">OFFSET(Horarios!$P$3,DJ35-1,0,DL35,1)</f>
        <v>1</v>
      </c>
      <c r="DO35" s="16"/>
      <c r="DP35" s="16" t="s">
        <v>682</v>
      </c>
      <c r="DQ35" s="16" t="str">
        <f t="shared" ca="1" si="47"/>
        <v>Cabo Verde</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str" cm="1">
        <f t="array" aca="1" ref="AB36" ca="1">Ver_flag_local</f>
        <v/>
      </c>
      <c r="AC36" s="50">
        <v>7</v>
      </c>
      <c r="AD36" s="51">
        <v>1</v>
      </c>
      <c r="AE36" s="595" t="str" cm="1">
        <f t="array" aca="1" ref="AE36" ca="1">Ver_flag_visit</f>
        <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5</v>
      </c>
      <c r="BK36" s="16">
        <f t="shared" ca="1" si="21"/>
        <v>8</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3</v>
      </c>
      <c r="CB36" s="16">
        <f t="shared" ca="1" si="28"/>
        <v>3</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3</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3</v>
      </c>
      <c r="CP36" s="16">
        <f t="shared" ca="1" si="34"/>
        <v>3</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3</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-3</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P.3 (2)</v>
      </c>
      <c r="CZ36" s="16">
        <f t="shared" ca="1" si="37"/>
        <v>5</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P.3 (2)</v>
      </c>
      <c r="DC36" s="16">
        <f ca="1">IF(DB36="-","-",COUNTIFS(T_Equipos[Rank],"&lt;"&amp;INDEX(T_Equipos[Rank],MATCH(BD36,T_Equipos[NombreEquipo],0)),$BC$6:$BC$53,INDEX(T_Equipos[Grupo],MATCH(BD36,T_Equipos[NombreEquipo],0)))+1)</f>
        <v>3</v>
      </c>
      <c r="DD36" s="16">
        <f ca="1">DA36+COUNTIFS($DB$6:$DB$53,DB36,$DC$6:DC$53,"&lt;"&amp;DC36,$BC$6:$BC$53,INDEX(T_Equipos[Grupo],MATCH(BD36,T_Equipos[NombreEquipo],0)))</f>
        <v>3</v>
      </c>
      <c r="DE36" s="16"/>
      <c r="DF36" s="16">
        <f t="shared" ca="1" si="52"/>
        <v>3.0030000000000001</v>
      </c>
      <c r="DG36" s="16">
        <f ca="1">IF(DB36="-","-",COUNTIFS(DF$6:DF$53,"&lt;"&amp;DF36,$BC$6:$BC$53,INDEX(T_Equipos[Grupo],MATCH(BD36,T_Equipos[NombreEquipo],0))))</f>
        <v>2</v>
      </c>
      <c r="DH36" s="16">
        <f ca="1">DA36+COUNTIFS(DB$6:DB$53,DB36,DG$6:DG$53,"&lt;"&amp;DG36,$BC$6:$BC$53,INDEX(T_Equipos[Grupo],MATCH(BD36,T_Equipos[NombreEquipo],0)))</f>
        <v>3</v>
      </c>
      <c r="DI36" s="16"/>
      <c r="DJ36" s="16">
        <f t="shared" ca="1" si="38"/>
        <v>3</v>
      </c>
      <c r="DK36" s="16">
        <f t="shared" ca="1" si="39"/>
        <v>12</v>
      </c>
      <c r="DL36" s="16">
        <f t="shared" ca="1" si="40"/>
        <v>2</v>
      </c>
      <c r="DM36" s="16" t="str">
        <f t="shared" ca="1" si="46"/>
        <v>3.2</v>
      </c>
      <c r="DN36" s="16" cm="1">
        <f t="array" aca="1" ref="DN36" ca="1">OFFSET(Horarios!$P$3,DJ36-1,0,DL36,1)</f>
        <v>3</v>
      </c>
      <c r="DO36" s="16"/>
      <c r="DP36" s="16" t="s">
        <v>446</v>
      </c>
      <c r="DQ36" s="16" t="str">
        <f t="shared" ca="1" si="47"/>
        <v>Arabia Saudita</v>
      </c>
    </row>
    <row r="37" spans="1:121" ht="15.95"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3"/>
      <c r="X37" s="24">
        <f ca="1">Horarios!C37</f>
        <v>46188.041666666664</v>
      </c>
      <c r="Y37" s="25">
        <f ca="1">Horarios!C37</f>
        <v>46188.041666666664</v>
      </c>
      <c r="Z37" s="26" t="str">
        <f>$Z$4</f>
        <v>J1</v>
      </c>
      <c r="AA37" s="27" t="str">
        <f ca="1">A39</f>
        <v>Costa de Marfil</v>
      </c>
      <c r="AB37" s="49" t="str" cm="1">
        <f t="array" aca="1" ref="AB37" ca="1">Ver_flag_local</f>
        <v/>
      </c>
      <c r="AC37" s="50">
        <v>2</v>
      </c>
      <c r="AD37" s="51">
        <v>3</v>
      </c>
      <c r="AE37" s="595" t="str" cm="1">
        <f t="array" aca="1" ref="AE37" ca="1">Ver_flag_visit</f>
        <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1</v>
      </c>
      <c r="BF37" s="16">
        <f t="shared" ca="1" si="41"/>
        <v>3</v>
      </c>
      <c r="BG37" s="16">
        <f t="shared" ca="1" si="17"/>
        <v>0</v>
      </c>
      <c r="BH37" s="16">
        <f t="shared" ca="1" si="18"/>
        <v>1</v>
      </c>
      <c r="BI37" s="16">
        <f t="shared" ca="1" si="19"/>
        <v>2</v>
      </c>
      <c r="BJ37" s="16">
        <f t="shared" ca="1" si="20"/>
        <v>5</v>
      </c>
      <c r="BK37" s="16">
        <f t="shared" ca="1" si="21"/>
        <v>8</v>
      </c>
      <c r="BL37" s="16">
        <f t="shared" ca="1" si="42"/>
        <v>-3</v>
      </c>
      <c r="BM37" s="16" t="str">
        <f t="shared" ca="1" si="22"/>
        <v>4H</v>
      </c>
      <c r="BN37" s="16" t="str">
        <f t="shared" ca="1" si="23"/>
        <v>4H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1</v>
      </c>
      <c r="BS37" s="16">
        <f ca="1">BP37+COUNTIFS($BQ$6:$BQ$53,BQ37,$BR$6:BR$53,"&gt;"&amp;BR37,$BC$6:$BC$53,INDEX(T_Equipos[Grupo],MATCH(BD37,T_Equipos[NombreEquipo],0)))</f>
        <v>3</v>
      </c>
      <c r="BT37" s="16" t="str">
        <f ca="1">IF(COUNTIFS($BS$6:$BS$53,BS37,$BC$6:$BC$53,INDEX(T_Equipos[Grupo],MATCH(BD37,T_Equipos[NombreEquipo],0)))=1,"-","P."&amp;BS37&amp;" ("&amp;COUNTIFS($BS$6:$BS$53,BS37,$BC$6:$BC$53,INDEX(T_Equipos[Grupo],MATCH(BD37,T_Equipos[NombreEquipo],0)))&amp;")")</f>
        <v>P.3 (2)</v>
      </c>
      <c r="BU37" s="16">
        <f t="shared" ca="1" si="24"/>
        <v>0</v>
      </c>
      <c r="BV37" s="16">
        <f t="shared" ca="1" si="25"/>
        <v>1</v>
      </c>
      <c r="BW37" s="16">
        <f t="shared" ca="1" si="26"/>
        <v>0</v>
      </c>
      <c r="BX37" s="16">
        <f t="shared" ca="1" si="48"/>
        <v>1</v>
      </c>
      <c r="BY37" s="16">
        <f ca="1">BS37+COUNTIFS($BT$6:$BT$53,BT37,$BX$6:BX$53,"&gt;"&amp;BX37,$BC$6:$BC$53,INDEX(T_Equipos[Grupo],MATCH(BD37,T_Equipos[NombreEquipo],0)))</f>
        <v>3</v>
      </c>
      <c r="BZ37" s="16" t="str">
        <f ca="1">IF(COUNTIFS($BY$6:$BY$53,BY37,$BC$6:$BC$53,INDEX(T_Equipos[Grupo],MATCH(BD37,T_Equipos[NombreEquipo],0)))=1,"-","P."&amp;BY37&amp;" ("&amp;COUNTIFS($BY$6:$BY$53,BY37,$BC$6:$BC$53,INDEX(T_Equipos[Grupo],MATCH(BD37,T_Equipos[NombreEquipo],0)))&amp;")")</f>
        <v>P.3 (2)</v>
      </c>
      <c r="CA37" s="16">
        <f t="shared" ca="1" si="27"/>
        <v>3</v>
      </c>
      <c r="CB37" s="16">
        <f t="shared" ca="1" si="28"/>
        <v>3</v>
      </c>
      <c r="CC37" s="16">
        <f t="shared" ca="1" si="49"/>
        <v>0</v>
      </c>
      <c r="CD37" s="16">
        <f ca="1">BY37+COUNTIFS($BZ$6:$BZ$53,BZ37,$CC$6:CC$53,"&gt;"&amp;CC37,$BC$6:$BC$53,INDEX(T_Equipos[Grupo],MATCH(BD37,T_Equipos[NombreEquipo],0)))</f>
        <v>3</v>
      </c>
      <c r="CE37" s="16" t="str">
        <f ca="1">IF(COUNTIFS($CD$6:$CD$53,CD37,$BC$6:$BC$53,INDEX(T_Equipos[Grupo],MATCH(BD37,T_Equipos[NombreEquipo],0)))=1,"-","P."&amp;CD37&amp;" ("&amp;COUNTIFS($CD$6:$CD$53,CD37,$BC$6:$BC$53,INDEX(T_Equipos[Grupo],MATCH(BD37,T_Equipos[NombreEquipo],0)))&amp;")")</f>
        <v>P.3 (2)</v>
      </c>
      <c r="CF37" s="16">
        <f t="shared" ca="1" si="29"/>
        <v>3</v>
      </c>
      <c r="CG37" s="16">
        <f ca="1">CD37+COUNTIFS($CE$6:$CE$53,CE37,$CF$6:CF$53,"&gt;"&amp;CF37,$BC$6:$BC$53,INDEX(T_Equipos[Grupo],MATCH(BD37,T_Equipos[NombreEquipo],0)))</f>
        <v>3</v>
      </c>
      <c r="CH37" s="16" t="str">
        <f ca="1">IF(COUNTIFS($CG$6:$CG$53,CG37,$BC$6:$BC$53,INDEX(T_Equipos[Grupo],MATCH(BD37,T_Equipos[NombreEquipo],0)))=1,"-","P."&amp;CG37&amp;" ("&amp;COUNTIFS($CG$6:$CG$53,CG37,$BC$6:$BC$53,INDEX(T_Equipos[Grupo],MATCH(BD37,T_Equipos[NombreEquipo],0)))&amp;")")</f>
        <v>P.3 (2)</v>
      </c>
      <c r="CI37" s="16">
        <f t="shared" ca="1" si="30"/>
        <v>0</v>
      </c>
      <c r="CJ37" s="16">
        <f t="shared" ca="1" si="31"/>
        <v>1</v>
      </c>
      <c r="CK37" s="16">
        <f t="shared" ca="1" si="32"/>
        <v>0</v>
      </c>
      <c r="CL37" s="16">
        <f t="shared" ca="1" si="50"/>
        <v>1</v>
      </c>
      <c r="CM37" s="16">
        <f ca="1">CG37+COUNTIFS($CH$6:$CH$53,CH37,$CL$6:CL$53,"&gt;"&amp;CL37,$BC$6:$BC$53,INDEX(T_Equipos[Grupo],MATCH(BD37,T_Equipos[NombreEquipo],0)))</f>
        <v>3</v>
      </c>
      <c r="CN37" s="16" t="str">
        <f ca="1">IF(COUNTIFS($CM$6:$CM$53,CM37,$BC$6:$BC$53,INDEX(T_Equipos[Grupo],MATCH(BD37,T_Equipos[NombreEquipo],0)))=1,"-","P."&amp;CM37&amp;" ("&amp;COUNTIFS($CM$6:$CM$53,CM37,$BC$6:$BC$53,INDEX(T_Equipos[Grupo],MATCH(BD37,T_Equipos[NombreEquipo],0)))&amp;")")</f>
        <v>P.3 (2)</v>
      </c>
      <c r="CO37" s="16">
        <f t="shared" ca="1" si="33"/>
        <v>3</v>
      </c>
      <c r="CP37" s="16">
        <f t="shared" ca="1" si="34"/>
        <v>3</v>
      </c>
      <c r="CQ37" s="16">
        <f t="shared" ca="1" si="51"/>
        <v>0</v>
      </c>
      <c r="CR37" s="16">
        <f ca="1">CM37+COUNTIFS($CN$6:$CN$53,CN37,$CQ$6:CQ$53,"&gt;"&amp;CQ37,$BC$6:$BC$53,INDEX(T_Equipos[Grupo],MATCH(BD37,T_Equipos[NombreEquipo],0)))</f>
        <v>3</v>
      </c>
      <c r="CS37" s="16" t="str">
        <f ca="1">IF(COUNTIFS($CR$6:$CR$53,CR37,$BC$6:$BC$53,INDEX(T_Equipos[Grupo],MATCH(BD37,T_Equipos[NombreEquipo],0)))=1,"-","P."&amp;CR37&amp;" ("&amp;COUNTIFS($CR$6:$CR$53,CR37,$BC$6:$BC$53,INDEX(T_Equipos[Grupo],MATCH(BD37,T_Equipos[NombreEquipo],0)))&amp;")")</f>
        <v>P.3 (2)</v>
      </c>
      <c r="CT37" s="16">
        <f t="shared" ca="1" si="35"/>
        <v>3</v>
      </c>
      <c r="CU37" s="16">
        <f ca="1">CR37+COUNTIFS($CS$6:$CS$53,CS37,$CT$6:CT$53,"&gt;"&amp;CT37,$BC$6:$BC$53,INDEX(T_Equipos[Grupo],MATCH(BD37,T_Equipos[NombreEquipo],0)))</f>
        <v>3</v>
      </c>
      <c r="CV37" s="16" t="str">
        <f ca="1">IF(COUNTIFS($CU$6:$CU$53,CU37,$BC$6:$BC$53,INDEX(T_Equipos[Grupo],MATCH(BD37,T_Equipos[NombreEquipo],0)))=1,"-","P."&amp;CU37&amp;" ("&amp;COUNTIFS($CU$6:$CU$53,CU37,$BC$6:$BC$53,INDEX(T_Equipos[Grupo],MATCH(BD37,T_Equipos[NombreEquipo],0)))&amp;")")</f>
        <v>P.3 (2)</v>
      </c>
      <c r="CW37" s="16">
        <f t="shared" ca="1" si="36"/>
        <v>-3</v>
      </c>
      <c r="CX37" s="16">
        <f ca="1">CU37+COUNTIFS($CV$6:$CV$53,CV37,$CW$6:CW$53,"&gt;"&amp;CW37,$BC$6:$BC$53,INDEX(T_Equipos[Grupo],MATCH(BD37,T_Equipos[NombreEquipo],0)))</f>
        <v>3</v>
      </c>
      <c r="CY37" s="16" t="str">
        <f ca="1">IF(COUNTIFS($CX$6:$CX$53,CX37,$BC$6:$BC$53,INDEX(T_Equipos[Grupo],MATCH(BD37,T_Equipos[NombreEquipo],0)))=1,"-","P."&amp;CX37&amp;" ("&amp;COUNTIFS($CX$6:$CX$53,CX37,$BC$6:$BC$53,INDEX(T_Equipos[Grupo],MATCH(BD37,T_Equipos[NombreEquipo],0)))&amp;")")</f>
        <v>P.3 (2)</v>
      </c>
      <c r="CZ37" s="16">
        <f t="shared" ca="1" si="37"/>
        <v>5</v>
      </c>
      <c r="DA37" s="16">
        <f ca="1">CX37+COUNTIFS($CY$6:$CY$53,CY37,$CZ$6:CZ$53,"&gt;"&amp;CZ37,$BC$6:$BC$53,INDEX(T_Equipos[Grupo],MATCH(BD37,T_Equipos[NombreEquipo],0)))</f>
        <v>3</v>
      </c>
      <c r="DB37" s="16" t="str">
        <f ca="1">IF(COUNTIFS($DA$6:$DA$53,DA37,$BC$6:$BC$53,INDEX(T_Equipos[Grupo],MATCH(BD37,T_Equipos[NombreEquipo],0)))=1,"-","P."&amp;DA37&amp;" ("&amp;COUNTIFS($DA$6:$DA$53,DA37,$BC$6:$BC$53,INDEX(T_Equipos[Grupo],MATCH(BD37,T_Equipos[NombreEquipo],0)))&amp;")")</f>
        <v>P.3 (2)</v>
      </c>
      <c r="DC37" s="16">
        <f ca="1">IF(DB37="-","-",COUNTIFS(T_Equipos[Rank],"&lt;"&amp;INDEX(T_Equipos[Rank],MATCH(BD37,T_Equipos[NombreEquipo],0)),$BC$6:$BC$53,INDEX(T_Equipos[Grupo],MATCH(BD37,T_Equipos[NombreEquipo],0)))+1)</f>
        <v>4</v>
      </c>
      <c r="DD37" s="16">
        <f ca="1">DA37+COUNTIFS($DB$6:$DB$53,DB37,$DC$6:DC$53,"&lt;"&amp;DC37,$BC$6:$BC$53,INDEX(T_Equipos[Grupo],MATCH(BD37,T_Equipos[NombreEquipo],0)))</f>
        <v>4</v>
      </c>
      <c r="DE37" s="16"/>
      <c r="DF37" s="16">
        <f t="shared" ca="1" si="52"/>
        <v>4.0039999999999996</v>
      </c>
      <c r="DG37" s="16">
        <f ca="1">IF(DB37="-","-",COUNTIFS(DF$6:DF$53,"&lt;"&amp;DF37,$BC$6:$BC$53,INDEX(T_Equipos[Grupo],MATCH(BD37,T_Equipos[NombreEquipo],0))))</f>
        <v>3</v>
      </c>
      <c r="DH37" s="16">
        <f ca="1">DA37+COUNTIFS(DB$6:DB$53,DB37,DG$6:DG$53,"&lt;"&amp;DG37,$BC$6:$BC$53,INDEX(T_Equipos[Grupo],MATCH(BD37,T_Equipos[NombreEquipo],0)))</f>
        <v>4</v>
      </c>
      <c r="DI37" s="16"/>
      <c r="DJ37" s="16">
        <f t="shared" ca="1" si="38"/>
        <v>3</v>
      </c>
      <c r="DK37" s="16">
        <f t="shared" ca="1" si="39"/>
        <v>12</v>
      </c>
      <c r="DL37" s="16">
        <f t="shared" ca="1" si="40"/>
        <v>2</v>
      </c>
      <c r="DM37" s="16" t="str">
        <f t="shared" ca="1" si="46"/>
        <v>3.2</v>
      </c>
      <c r="DN37" s="16" cm="1">
        <f t="array" aca="1" ref="DN37" ca="1">OFFSET(Horarios!$P$3,DJ37-1,0,DL37,1)</f>
        <v>3</v>
      </c>
      <c r="DO37" s="16"/>
      <c r="DP37" s="16" t="s">
        <v>683</v>
      </c>
      <c r="DQ37" s="16" t="str">
        <f t="shared" ca="1" si="47"/>
        <v>Uruguay</v>
      </c>
    </row>
    <row r="38" spans="1:121" ht="15.9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3"/>
      <c r="X38" s="24">
        <f ca="1">Horarios!C38</f>
        <v>46193.916666666664</v>
      </c>
      <c r="Y38" s="25">
        <f ca="1">Horarios!C38</f>
        <v>46193.916666666664</v>
      </c>
      <c r="Z38" s="26" t="str">
        <f>$Z$6</f>
        <v>J2</v>
      </c>
      <c r="AA38" s="27" t="str">
        <f ca="1">A37</f>
        <v>Alemania</v>
      </c>
      <c r="AB38" s="49" t="str" cm="1">
        <f t="array" aca="1" ref="AB38" ca="1">Ver_flag_local</f>
        <v/>
      </c>
      <c r="AC38" s="50">
        <v>6</v>
      </c>
      <c r="AD38" s="51">
        <v>3</v>
      </c>
      <c r="AE38" s="595" t="str" cm="1">
        <f t="array" aca="1" ref="AE38" ca="1">Ver_flag_visit</f>
        <v/>
      </c>
      <c r="AF38" s="32" t="str">
        <f ca="1">A39</f>
        <v>Costa de Marfil</v>
      </c>
      <c r="AG38" s="323">
        <f t="shared" si="124"/>
        <v>1</v>
      </c>
      <c r="AH38" s="195">
        <v>33</v>
      </c>
      <c r="AI38" s="181" t="str">
        <f>AJ38&amp;$B$36</f>
        <v>1E</v>
      </c>
      <c r="AJ38" s="40">
        <v>1</v>
      </c>
      <c r="AK38" s="601" t="str" cm="1">
        <f t="array" aca="1" ref="AK38" ca="1">Ver_flag_visit</f>
        <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17</v>
      </c>
      <c r="AS38" s="36">
        <f t="shared" ca="1" si="127"/>
        <v>4</v>
      </c>
      <c r="AT38" s="41">
        <f t="shared" ca="1" si="127"/>
        <v>13</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7</v>
      </c>
      <c r="BF38" s="16">
        <f t="shared" ca="1" si="41"/>
        <v>3</v>
      </c>
      <c r="BG38" s="16">
        <f t="shared" ca="1" si="17"/>
        <v>2</v>
      </c>
      <c r="BH38" s="16">
        <f t="shared" ca="1" si="18"/>
        <v>1</v>
      </c>
      <c r="BI38" s="16">
        <f t="shared" ca="1" si="19"/>
        <v>0</v>
      </c>
      <c r="BJ38" s="16">
        <f t="shared" ca="1" si="20"/>
        <v>9</v>
      </c>
      <c r="BK38" s="16">
        <f t="shared" ca="1" si="21"/>
        <v>4</v>
      </c>
      <c r="BL38" s="16">
        <f t="shared" ca="1" si="42"/>
        <v>5</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46194.083333333336</v>
      </c>
      <c r="Y39" s="25">
        <f ca="1">Horarios!C39</f>
        <v>46194.083333333336</v>
      </c>
      <c r="Z39" s="26" t="str">
        <f>$Z$6</f>
        <v>J2</v>
      </c>
      <c r="AA39" s="27" t="str">
        <f ca="1">A40</f>
        <v>Ecuador</v>
      </c>
      <c r="AB39" s="49" t="str" cm="1">
        <f t="array" aca="1" ref="AB39" ca="1">Ver_flag_local</f>
        <v/>
      </c>
      <c r="AC39" s="50">
        <v>2</v>
      </c>
      <c r="AD39" s="51">
        <v>0</v>
      </c>
      <c r="AE39" s="595" t="str" cm="1">
        <f t="array" aca="1" ref="AE39" ca="1">Ver_flag_visit</f>
        <v/>
      </c>
      <c r="AF39" s="32" t="str">
        <f ca="1">A38</f>
        <v>Curazao</v>
      </c>
      <c r="AG39" s="323">
        <f t="shared" si="124"/>
        <v>1</v>
      </c>
      <c r="AH39" s="195">
        <v>34</v>
      </c>
      <c r="AI39" s="181" t="str">
        <f t="shared" ref="AI39:AI41" si="128">AJ39&amp;$B$36</f>
        <v>2E</v>
      </c>
      <c r="AJ39" s="42">
        <v>2</v>
      </c>
      <c r="AK39" s="602" t="str" cm="1">
        <f t="array" aca="1" ref="AK39" ca="1">Ver_flag_visit</f>
        <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5</v>
      </c>
      <c r="AS39" s="39">
        <f t="shared" ca="1" si="127"/>
        <v>6</v>
      </c>
      <c r="AT39" s="43">
        <f t="shared" ca="1" si="127"/>
        <v>-1</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2</v>
      </c>
      <c r="BF39" s="16">
        <f t="shared" ca="1" si="41"/>
        <v>3</v>
      </c>
      <c r="BG39" s="16">
        <f t="shared" ca="1" si="17"/>
        <v>0</v>
      </c>
      <c r="BH39" s="16">
        <f t="shared" ca="1" si="18"/>
        <v>2</v>
      </c>
      <c r="BI39" s="16">
        <f t="shared" ca="1" si="19"/>
        <v>1</v>
      </c>
      <c r="BJ39" s="16">
        <f t="shared" ca="1" si="20"/>
        <v>5</v>
      </c>
      <c r="BK39" s="16">
        <f t="shared" ca="1" si="21"/>
        <v>6</v>
      </c>
      <c r="BL39" s="16">
        <f t="shared" ca="1" si="42"/>
        <v>-1</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2</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P.3 (2)</v>
      </c>
      <c r="BU39" s="16">
        <f t="shared" ca="1" si="24"/>
        <v>0</v>
      </c>
      <c r="BV39" s="16">
        <f t="shared" ca="1" si="25"/>
        <v>1</v>
      </c>
      <c r="BW39" s="16">
        <f t="shared" ca="1" si="26"/>
        <v>0</v>
      </c>
      <c r="BX39" s="16">
        <f t="shared" ca="1" si="48"/>
        <v>1</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P.3 (2)</v>
      </c>
      <c r="CA39" s="16">
        <f t="shared" ca="1" si="27"/>
        <v>1</v>
      </c>
      <c r="CB39" s="16">
        <f t="shared" ca="1" si="28"/>
        <v>1</v>
      </c>
      <c r="CC39" s="16">
        <f t="shared" ca="1" si="49"/>
        <v>0</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P.3 (2)</v>
      </c>
      <c r="CF39" s="16">
        <f t="shared" ca="1" si="29"/>
        <v>1</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P.3 (2)</v>
      </c>
      <c r="CI39" s="16">
        <f t="shared" ca="1" si="30"/>
        <v>0</v>
      </c>
      <c r="CJ39" s="16">
        <f t="shared" ca="1" si="31"/>
        <v>1</v>
      </c>
      <c r="CK39" s="16">
        <f t="shared" ca="1" si="32"/>
        <v>0</v>
      </c>
      <c r="CL39" s="16">
        <f t="shared" ca="1" si="50"/>
        <v>1</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P.3 (2)</v>
      </c>
      <c r="CO39" s="16">
        <f t="shared" ca="1" si="33"/>
        <v>1</v>
      </c>
      <c r="CP39" s="16">
        <f t="shared" ca="1" si="34"/>
        <v>1</v>
      </c>
      <c r="CQ39" s="16">
        <f t="shared" ca="1" si="51"/>
        <v>0</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P.3 (2)</v>
      </c>
      <c r="CT39" s="16">
        <f t="shared" ca="1" si="35"/>
        <v>1</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P.3 (2)</v>
      </c>
      <c r="CW39" s="16">
        <f t="shared" ca="1" si="36"/>
        <v>-1</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46198.916666666664</v>
      </c>
      <c r="Y40" s="25">
        <f ca="1">Horarios!C40</f>
        <v>46198.916666666664</v>
      </c>
      <c r="Z40" s="26" t="str">
        <f>$Z$8</f>
        <v>J3</v>
      </c>
      <c r="AA40" s="27" t="str">
        <f ca="1">A38</f>
        <v>Curazao</v>
      </c>
      <c r="AB40" s="49" t="str" cm="1">
        <f t="array" aca="1" ref="AB40" ca="1">Ver_flag_local</f>
        <v/>
      </c>
      <c r="AC40" s="50">
        <v>1</v>
      </c>
      <c r="AD40" s="51">
        <v>3</v>
      </c>
      <c r="AE40" s="595" t="str" cm="1">
        <f t="array" aca="1" ref="AE40" ca="1">Ver_flag_visit</f>
        <v/>
      </c>
      <c r="AF40" s="32" t="str">
        <f ca="1">A39</f>
        <v>Costa de Marfil</v>
      </c>
      <c r="AG40" s="323">
        <f t="shared" si="124"/>
        <v>1</v>
      </c>
      <c r="AH40" s="195">
        <v>55</v>
      </c>
      <c r="AI40" s="181" t="str">
        <f t="shared" si="128"/>
        <v>3E</v>
      </c>
      <c r="AJ40" s="42">
        <v>3</v>
      </c>
      <c r="AK40" s="602" t="str" cm="1">
        <f t="array" aca="1" ref="AK40" ca="1">Ver_flag_visit</f>
        <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8</v>
      </c>
      <c r="AS40" s="39">
        <f t="shared" ca="1" si="127"/>
        <v>10</v>
      </c>
      <c r="AT40" s="43">
        <f t="shared" ca="1" si="127"/>
        <v>-2</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2</v>
      </c>
      <c r="BF40" s="16">
        <f t="shared" ca="1" si="41"/>
        <v>3</v>
      </c>
      <c r="BG40" s="16">
        <f t="shared" ca="1" si="17"/>
        <v>0</v>
      </c>
      <c r="BH40" s="16">
        <f t="shared" ca="1" si="18"/>
        <v>2</v>
      </c>
      <c r="BI40" s="16">
        <f t="shared" ca="1" si="19"/>
        <v>1</v>
      </c>
      <c r="BJ40" s="16">
        <f t="shared" ca="1" si="20"/>
        <v>3</v>
      </c>
      <c r="BK40" s="16">
        <f t="shared" ca="1" si="21"/>
        <v>6</v>
      </c>
      <c r="BL40" s="16">
        <f t="shared" ca="1" si="42"/>
        <v>-3</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2</v>
      </c>
      <c r="BS40" s="16">
        <f ca="1">BP40+COUNTIFS($BQ$6:$BQ$53,BQ40,$BR$6:BR$53,"&gt;"&amp;BR40,$BC$6:$BC$53,INDEX(T_Equipos[Grupo],MATCH(BD40,T_Equipos[NombreEquipo],0)))</f>
        <v>3</v>
      </c>
      <c r="BT40" s="16" t="str">
        <f ca="1">IF(COUNTIFS($BS$6:$BS$53,BS40,$BC$6:$BC$53,INDEX(T_Equipos[Grupo],MATCH(BD40,T_Equipos[NombreEquipo],0)))=1,"-","P."&amp;BS40&amp;" ("&amp;COUNTIFS($BS$6:$BS$53,BS40,$BC$6:$BC$53,INDEX(T_Equipos[Grupo],MATCH(BD40,T_Equipos[NombreEquipo],0)))&amp;")")</f>
        <v>P.3 (2)</v>
      </c>
      <c r="BU40" s="16">
        <f t="shared" ca="1" si="24"/>
        <v>0</v>
      </c>
      <c r="BV40" s="16">
        <f t="shared" ca="1" si="25"/>
        <v>1</v>
      </c>
      <c r="BW40" s="16">
        <f t="shared" ca="1" si="26"/>
        <v>0</v>
      </c>
      <c r="BX40" s="16">
        <f t="shared" ca="1" si="48"/>
        <v>1</v>
      </c>
      <c r="BY40" s="16">
        <f ca="1">BS40+COUNTIFS($BT$6:$BT$53,BT40,$BX$6:BX$53,"&gt;"&amp;BX40,$BC$6:$BC$53,INDEX(T_Equipos[Grupo],MATCH(BD40,T_Equipos[NombreEquipo],0)))</f>
        <v>3</v>
      </c>
      <c r="BZ40" s="16" t="str">
        <f ca="1">IF(COUNTIFS($BY$6:$BY$53,BY40,$BC$6:$BC$53,INDEX(T_Equipos[Grupo],MATCH(BD40,T_Equipos[NombreEquipo],0)))=1,"-","P."&amp;BY40&amp;" ("&amp;COUNTIFS($BY$6:$BY$53,BY40,$BC$6:$BC$53,INDEX(T_Equipos[Grupo],MATCH(BD40,T_Equipos[NombreEquipo],0)))&amp;")")</f>
        <v>P.3 (2)</v>
      </c>
      <c r="CA40" s="16">
        <f t="shared" ca="1" si="27"/>
        <v>1</v>
      </c>
      <c r="CB40" s="16">
        <f t="shared" ca="1" si="28"/>
        <v>1</v>
      </c>
      <c r="CC40" s="16">
        <f t="shared" ca="1" si="49"/>
        <v>0</v>
      </c>
      <c r="CD40" s="16">
        <f ca="1">BY40+COUNTIFS($BZ$6:$BZ$53,BZ40,$CC$6:CC$53,"&gt;"&amp;CC40,$BC$6:$BC$53,INDEX(T_Equipos[Grupo],MATCH(BD40,T_Equipos[NombreEquipo],0)))</f>
        <v>3</v>
      </c>
      <c r="CE40" s="16" t="str">
        <f ca="1">IF(COUNTIFS($CD$6:$CD$53,CD40,$BC$6:$BC$53,INDEX(T_Equipos[Grupo],MATCH(BD40,T_Equipos[NombreEquipo],0)))=1,"-","P."&amp;CD40&amp;" ("&amp;COUNTIFS($CD$6:$CD$53,CD40,$BC$6:$BC$53,INDEX(T_Equipos[Grupo],MATCH(BD40,T_Equipos[NombreEquipo],0)))&amp;")")</f>
        <v>P.3 (2)</v>
      </c>
      <c r="CF40" s="16">
        <f t="shared" ca="1" si="29"/>
        <v>1</v>
      </c>
      <c r="CG40" s="16">
        <f ca="1">CD40+COUNTIFS($CE$6:$CE$53,CE40,$CF$6:CF$53,"&gt;"&amp;CF40,$BC$6:$BC$53,INDEX(T_Equipos[Grupo],MATCH(BD40,T_Equipos[NombreEquipo],0)))</f>
        <v>3</v>
      </c>
      <c r="CH40" s="16" t="str">
        <f ca="1">IF(COUNTIFS($CG$6:$CG$53,CG40,$BC$6:$BC$53,INDEX(T_Equipos[Grupo],MATCH(BD40,T_Equipos[NombreEquipo],0)))=1,"-","P."&amp;CG40&amp;" ("&amp;COUNTIFS($CG$6:$CG$53,CG40,$BC$6:$BC$53,INDEX(T_Equipos[Grupo],MATCH(BD40,T_Equipos[NombreEquipo],0)))&amp;")")</f>
        <v>P.3 (2)</v>
      </c>
      <c r="CI40" s="16">
        <f t="shared" ca="1" si="30"/>
        <v>0</v>
      </c>
      <c r="CJ40" s="16">
        <f t="shared" ca="1" si="31"/>
        <v>1</v>
      </c>
      <c r="CK40" s="16">
        <f t="shared" ca="1" si="32"/>
        <v>0</v>
      </c>
      <c r="CL40" s="16">
        <f t="shared" ca="1" si="50"/>
        <v>1</v>
      </c>
      <c r="CM40" s="16">
        <f ca="1">CG40+COUNTIFS($CH$6:$CH$53,CH40,$CL$6:CL$53,"&gt;"&amp;CL40,$BC$6:$BC$53,INDEX(T_Equipos[Grupo],MATCH(BD40,T_Equipos[NombreEquipo],0)))</f>
        <v>3</v>
      </c>
      <c r="CN40" s="16" t="str">
        <f ca="1">IF(COUNTIFS($CM$6:$CM$53,CM40,$BC$6:$BC$53,INDEX(T_Equipos[Grupo],MATCH(BD40,T_Equipos[NombreEquipo],0)))=1,"-","P."&amp;CM40&amp;" ("&amp;COUNTIFS($CM$6:$CM$53,CM40,$BC$6:$BC$53,INDEX(T_Equipos[Grupo],MATCH(BD40,T_Equipos[NombreEquipo],0)))&amp;")")</f>
        <v>P.3 (2)</v>
      </c>
      <c r="CO40" s="16">
        <f t="shared" ca="1" si="33"/>
        <v>1</v>
      </c>
      <c r="CP40" s="16">
        <f t="shared" ca="1" si="34"/>
        <v>1</v>
      </c>
      <c r="CQ40" s="16">
        <f t="shared" ca="1" si="51"/>
        <v>0</v>
      </c>
      <c r="CR40" s="16">
        <f ca="1">CM40+COUNTIFS($CN$6:$CN$53,CN40,$CQ$6:CQ$53,"&gt;"&amp;CQ40,$BC$6:$BC$53,INDEX(T_Equipos[Grupo],MATCH(BD40,T_Equipos[NombreEquipo],0)))</f>
        <v>3</v>
      </c>
      <c r="CS40" s="16" t="str">
        <f ca="1">IF(COUNTIFS($CR$6:$CR$53,CR40,$BC$6:$BC$53,INDEX(T_Equipos[Grupo],MATCH(BD40,T_Equipos[NombreEquipo],0)))=1,"-","P."&amp;CR40&amp;" ("&amp;COUNTIFS($CR$6:$CR$53,CR40,$BC$6:$BC$53,INDEX(T_Equipos[Grupo],MATCH(BD40,T_Equipos[NombreEquipo],0)))&amp;")")</f>
        <v>P.3 (2)</v>
      </c>
      <c r="CT40" s="16">
        <f t="shared" ca="1" si="35"/>
        <v>1</v>
      </c>
      <c r="CU40" s="16">
        <f ca="1">CR40+COUNTIFS($CS$6:$CS$53,CS40,$CT$6:CT$53,"&gt;"&amp;CT40,$BC$6:$BC$53,INDEX(T_Equipos[Grupo],MATCH(BD40,T_Equipos[NombreEquipo],0)))</f>
        <v>3</v>
      </c>
      <c r="CV40" s="16" t="str">
        <f ca="1">IF(COUNTIFS($CU$6:$CU$53,CU40,$BC$6:$BC$53,INDEX(T_Equipos[Grupo],MATCH(BD40,T_Equipos[NombreEquipo],0)))=1,"-","P."&amp;CU40&amp;" ("&amp;COUNTIFS($CU$6:$CU$53,CU40,$BC$6:$BC$53,INDEX(T_Equipos[Grupo],MATCH(BD40,T_Equipos[NombreEquipo],0)))&amp;")")</f>
        <v>P.3 (2)</v>
      </c>
      <c r="CW40" s="16">
        <f t="shared" ca="1" si="36"/>
        <v>-3</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46198.916666666664</v>
      </c>
      <c r="Y41" s="29">
        <f ca="1">Horarios!C41</f>
        <v>46198.916666666664</v>
      </c>
      <c r="Z41" s="30" t="str">
        <f>$Z$8</f>
        <v>J3</v>
      </c>
      <c r="AA41" s="31" t="str">
        <f ca="1">A40</f>
        <v>Ecuador</v>
      </c>
      <c r="AB41" s="52" t="str" cm="1">
        <f t="array" aca="1" ref="AB41" ca="1">Ver_flag_local</f>
        <v/>
      </c>
      <c r="AC41" s="53">
        <v>0</v>
      </c>
      <c r="AD41" s="54">
        <v>4</v>
      </c>
      <c r="AE41" s="596" t="str" cm="1">
        <f t="array" aca="1" ref="AE41" ca="1">Ver_flag_visit</f>
        <v/>
      </c>
      <c r="AF41" s="33" t="str">
        <f ca="1">A37</f>
        <v>Alemania</v>
      </c>
      <c r="AG41" s="323">
        <f t="shared" si="124"/>
        <v>1</v>
      </c>
      <c r="AH41" s="195">
        <v>56</v>
      </c>
      <c r="AI41" s="181" t="str">
        <f t="shared" si="128"/>
        <v>4E</v>
      </c>
      <c r="AJ41" s="44">
        <v>4</v>
      </c>
      <c r="AK41" s="604" t="str" cm="1">
        <f t="array" aca="1" ref="AK41" ca="1">Ver_flag_visit</f>
        <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2</v>
      </c>
      <c r="AS41" s="47">
        <f t="shared" ca="1" si="127"/>
        <v>12</v>
      </c>
      <c r="AT41" s="48">
        <f t="shared" ca="1" si="127"/>
        <v>-10</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5</v>
      </c>
      <c r="BK41" s="16">
        <f t="shared" ca="1" si="21"/>
        <v>6</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13</v>
      </c>
      <c r="BK42" s="16">
        <f t="shared" ca="1" si="21"/>
        <v>2</v>
      </c>
      <c r="BL42" s="16">
        <f t="shared" ca="1" si="42"/>
        <v>11</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3</v>
      </c>
      <c r="BK43" s="16">
        <f t="shared" ca="1" si="21"/>
        <v>8</v>
      </c>
      <c r="BL43" s="16">
        <f t="shared" ca="1" si="42"/>
        <v>-5</v>
      </c>
      <c r="BM43" s="16" t="str">
        <f t="shared" ca="1" si="22"/>
        <v>2J</v>
      </c>
      <c r="BN43" s="16" t="str">
        <f t="shared" ca="1" si="23"/>
        <v>2J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2</v>
      </c>
      <c r="DE43" s="16"/>
      <c r="DF43" s="16">
        <f t="shared" ca="1" si="52"/>
        <v>2</v>
      </c>
      <c r="DG43" s="16" t="str">
        <f ca="1">IF(DB43="-","-",COUNTIFS(DF$6:DF$53,"&lt;"&amp;DF43,$BC$6:$BC$53,INDEX(T_Equipos[Grupo],MATCH(BD43,T_Equipos[NombreEquipo],0))))</f>
        <v>-</v>
      </c>
      <c r="DH43" s="16">
        <f ca="1">DA43+COUNTIFS(DB$6:DB$53,DB43,DG$6:DG$53,"&lt;"&amp;DG43,$BC$6:$BC$53,INDEX(T_Equipos[Grupo],MATCH(BD43,T_Equipos[NombreEquipo],0)))</f>
        <v>2</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Argelia</v>
      </c>
    </row>
    <row r="44" spans="1:121" ht="15.95" customHeight="1" thickBot="1">
      <c r="A44" s="16" t="s">
        <v>32</v>
      </c>
      <c r="B44" s="16" t="s">
        <v>4</v>
      </c>
      <c r="C44" s="16">
        <f>COUNTIF(Equipos!$C$2:$C$49,WORLDCUP!B44)</f>
        <v>4</v>
      </c>
      <c r="D44" s="16" t="str">
        <f t="shared" ref="D44:D49" si="131">IF(OR(AC44="",AD44=""),"Pendiente",IF(AC44&gt;AD44,"Local",IF(AC44&lt;AD44,"Visitante","Empate")))</f>
        <v>Visitante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str" cm="1">
        <f t="array" aca="1" ref="AB44" ca="1">Ver_flag_local</f>
        <v/>
      </c>
      <c r="AC44" s="50">
        <v>0</v>
      </c>
      <c r="AD44" s="51">
        <v>1</v>
      </c>
      <c r="AE44" s="595" t="str" cm="1">
        <f t="array" aca="1" ref="AE44" ca="1">Ver_flag_visit</f>
        <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1</v>
      </c>
      <c r="BF44" s="16">
        <f t="shared" ca="1" si="41"/>
        <v>3</v>
      </c>
      <c r="BG44" s="16">
        <f t="shared" ca="1" si="17"/>
        <v>0</v>
      </c>
      <c r="BH44" s="16">
        <f t="shared" ca="1" si="18"/>
        <v>1</v>
      </c>
      <c r="BI44" s="16">
        <f t="shared" ca="1" si="19"/>
        <v>2</v>
      </c>
      <c r="BJ44" s="16">
        <f t="shared" ca="1" si="20"/>
        <v>2</v>
      </c>
      <c r="BK44" s="16">
        <f t="shared" ca="1" si="21"/>
        <v>5</v>
      </c>
      <c r="BL44" s="16">
        <f t="shared" ca="1" si="42"/>
        <v>-3</v>
      </c>
      <c r="BM44" s="16" t="str">
        <f t="shared" ca="1" si="22"/>
        <v>4J</v>
      </c>
      <c r="BN44" s="16" t="str">
        <f t="shared" ca="1" si="23"/>
        <v>4J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1</v>
      </c>
      <c r="BS44" s="16">
        <f ca="1">BP44+COUNTIFS($BQ$6:$BQ$53,BQ44,$BR$6:BR$53,"&gt;"&amp;BR44,$BC$6:$BC$53,INDEX(T_Equipos[Grupo],MATCH(BD44,T_Equipos[NombreEquipo],0)))</f>
        <v>4</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4</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4</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4</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4</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4</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4</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4</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4</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4</v>
      </c>
      <c r="DE44" s="16"/>
      <c r="DF44" s="16">
        <f t="shared" ca="1" si="52"/>
        <v>4</v>
      </c>
      <c r="DG44" s="16" t="str">
        <f ca="1">IF(DB44="-","-",COUNTIFS(DF$6:DF$53,"&lt;"&amp;DF44,$BC$6:$BC$53,INDEX(T_Equipos[Grupo],MATCH(BD44,T_Equipos[NombreEquipo],0))))</f>
        <v>-</v>
      </c>
      <c r="DH44" s="16">
        <f ca="1">DA44+COUNTIFS(DB$6:DB$53,DB44,DG$6:DG$53,"&lt;"&amp;DG44,$BC$6:$BC$53,INDEX(T_Equipos[Grupo],MATCH(BD44,T_Equipos[NombreEquipo],0)))</f>
        <v>4</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Jordania</v>
      </c>
    </row>
    <row r="45" spans="1:121" ht="15.9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46188.166666666664</v>
      </c>
      <c r="Y45" s="25">
        <f ca="1">Horarios!C45</f>
        <v>46188.166666666664</v>
      </c>
      <c r="Z45" s="26" t="str">
        <f>$Z$4</f>
        <v>J1</v>
      </c>
      <c r="AA45" s="27" t="str">
        <f ca="1">A47</f>
        <v>Suecia</v>
      </c>
      <c r="AB45" s="49" t="str" cm="1">
        <f t="array" aca="1" ref="AB45" ca="1">Ver_flag_local</f>
        <v/>
      </c>
      <c r="AC45" s="50">
        <v>4</v>
      </c>
      <c r="AD45" s="51">
        <v>3</v>
      </c>
      <c r="AE45" s="595" t="str" cm="1">
        <f t="array" aca="1" ref="AE45" ca="1">Ver_flag_visit</f>
        <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2</v>
      </c>
      <c r="BF45" s="16">
        <f t="shared" ca="1" si="41"/>
        <v>3</v>
      </c>
      <c r="BG45" s="16">
        <f t="shared" ca="1" si="17"/>
        <v>0</v>
      </c>
      <c r="BH45" s="16">
        <f t="shared" ca="1" si="18"/>
        <v>2</v>
      </c>
      <c r="BI45" s="16">
        <f t="shared" ca="1" si="19"/>
        <v>1</v>
      </c>
      <c r="BJ45" s="16">
        <f t="shared" ca="1" si="20"/>
        <v>2</v>
      </c>
      <c r="BK45" s="16">
        <f t="shared" ca="1" si="21"/>
        <v>5</v>
      </c>
      <c r="BL45" s="16">
        <f t="shared" ca="1" si="42"/>
        <v>-3</v>
      </c>
      <c r="BM45" s="16" t="str">
        <f t="shared" ca="1" si="22"/>
        <v>3J</v>
      </c>
      <c r="BN45" s="16" t="str">
        <f t="shared" ca="1" si="23"/>
        <v>3J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2</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3</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3</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3</v>
      </c>
      <c r="DE45" s="16"/>
      <c r="DF45" s="16">
        <f t="shared" ca="1" si="52"/>
        <v>3</v>
      </c>
      <c r="DG45" s="16" t="str">
        <f ca="1">IF(DB45="-","-",COUNTIFS(DF$6:DF$53,"&lt;"&amp;DF45,$BC$6:$BC$53,INDEX(T_Equipos[Grupo],MATCH(BD45,T_Equipos[NombreEquipo],0))))</f>
        <v>-</v>
      </c>
      <c r="DH45" s="16">
        <f ca="1">DA45+COUNTIFS(DB$6:DB$53,DB45,DG$6:DG$53,"&lt;"&amp;DG45,$BC$6:$BC$53,INDEX(T_Equipos[Grupo],MATCH(BD45,T_Equipos[NombreEquipo],0)))</f>
        <v>3</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Austria</v>
      </c>
    </row>
    <row r="46" spans="1:121" ht="15.95" customHeight="1">
      <c r="A46" s="16" t="str">
        <f ca="1">+Equipos!B23</f>
        <v>Japón</v>
      </c>
      <c r="B46" s="16"/>
      <c r="C46" s="16"/>
      <c r="D46" s="16" t="str">
        <f t="shared" si="131"/>
        <v>Empate</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46193.791666666664</v>
      </c>
      <c r="Y46" s="25">
        <f ca="1">Horarios!C46</f>
        <v>46193.791666666664</v>
      </c>
      <c r="Z46" s="26" t="str">
        <f>$Z$6</f>
        <v>J2</v>
      </c>
      <c r="AA46" s="27" t="str">
        <f ca="1">A45</f>
        <v>Países Bajos</v>
      </c>
      <c r="AB46" s="49" t="str" cm="1">
        <f t="array" aca="1" ref="AB46" ca="1">Ver_flag_local</f>
        <v/>
      </c>
      <c r="AC46" s="50">
        <v>2</v>
      </c>
      <c r="AD46" s="51">
        <v>2</v>
      </c>
      <c r="AE46" s="595" t="str" cm="1">
        <f t="array" aca="1" ref="AE46" ca="1">Ver_flag_visit</f>
        <v/>
      </c>
      <c r="AF46" s="32" t="str">
        <f ca="1">A47</f>
        <v>Suecia</v>
      </c>
      <c r="AG46" s="323">
        <f t="shared" si="144"/>
        <v>1</v>
      </c>
      <c r="AH46" s="195">
        <v>35</v>
      </c>
      <c r="AI46" s="181" t="str">
        <f>AJ46&amp;$B$44</f>
        <v>1F</v>
      </c>
      <c r="AJ46" s="40">
        <v>1</v>
      </c>
      <c r="AK46" s="601" t="str" cm="1">
        <f t="array" aca="1" ref="AK46" ca="1">Ver_flag_visit</f>
        <v/>
      </c>
      <c r="AL46" s="34" t="str">
        <f ca="1">IFERROR(INDEX($BD$6:$BD$53,MATCH(AI46,$BN$6:$BN$53,0)),"")</f>
        <v>Japón</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7</v>
      </c>
      <c r="AS46" s="36">
        <f t="shared" ca="1" si="147"/>
        <v>1</v>
      </c>
      <c r="AT46" s="41">
        <f t="shared" ca="1" si="147"/>
        <v>6</v>
      </c>
      <c r="AU46" s="330">
        <f ca="1">INDEX($DL$6:$DL$53,MATCH(AI46,$DP$6:$DP$53,0))</f>
        <v>1</v>
      </c>
      <c r="AV46" s="182" t="str">
        <f ca="1">INDEX($BD$6:$BD$53,MATCH(AI46,$BM$6:$BM$53,0))</f>
        <v>Japón</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8</v>
      </c>
      <c r="BK46" s="16">
        <f t="shared" ca="1" si="21"/>
        <v>3</v>
      </c>
      <c r="BL46" s="16">
        <f t="shared" ca="1" si="42"/>
        <v>5</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5.9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46194.25</v>
      </c>
      <c r="Y47" s="25">
        <f ca="1">Horarios!C47</f>
        <v>46194.25</v>
      </c>
      <c r="Z47" s="26" t="str">
        <f>$Z$6</f>
        <v>J2</v>
      </c>
      <c r="AA47" s="27" t="str">
        <f ca="1">A48</f>
        <v>Túnez</v>
      </c>
      <c r="AB47" s="49" t="str" cm="1">
        <f t="array" aca="1" ref="AB47" ca="1">Ver_flag_local</f>
        <v/>
      </c>
      <c r="AC47" s="50">
        <v>0</v>
      </c>
      <c r="AD47" s="51">
        <v>3</v>
      </c>
      <c r="AE47" s="595" t="str" cm="1">
        <f t="array" aca="1" ref="AE47" ca="1">Ver_flag_visit</f>
        <v/>
      </c>
      <c r="AF47" s="32" t="str">
        <f ca="1">A46</f>
        <v>Japón</v>
      </c>
      <c r="AG47" s="323">
        <f t="shared" si="144"/>
        <v>1</v>
      </c>
      <c r="AH47" s="195">
        <v>36</v>
      </c>
      <c r="AI47" s="181" t="str">
        <f t="shared" ref="AI47:AI49" si="148">AJ47&amp;$B$44</f>
        <v>2F</v>
      </c>
      <c r="AJ47" s="42">
        <v>2</v>
      </c>
      <c r="AK47" s="602" t="str" cm="1">
        <f t="array" aca="1" ref="AK47" ca="1">Ver_flag_visit</f>
        <v/>
      </c>
      <c r="AL47" s="37" t="str">
        <f ca="1">IFERROR(INDEX($BD$6:$BD$53,MATCH(AI47,$BN$6:$BN$53,0)),"")</f>
        <v>Suecia</v>
      </c>
      <c r="AM47" s="38">
        <f t="shared" ca="1" si="147"/>
        <v>4</v>
      </c>
      <c r="AN47" s="39">
        <f t="shared" ca="1" si="147"/>
        <v>3</v>
      </c>
      <c r="AO47" s="39">
        <f t="shared" ca="1" si="147"/>
        <v>1</v>
      </c>
      <c r="AP47" s="39">
        <f t="shared" ca="1" si="147"/>
        <v>1</v>
      </c>
      <c r="AQ47" s="39">
        <f t="shared" ca="1" si="147"/>
        <v>1</v>
      </c>
      <c r="AR47" s="39">
        <f t="shared" ca="1" si="147"/>
        <v>7</v>
      </c>
      <c r="AS47" s="39">
        <f t="shared" ca="1" si="147"/>
        <v>8</v>
      </c>
      <c r="AT47" s="43">
        <f t="shared" ca="1" si="147"/>
        <v>-1</v>
      </c>
      <c r="AU47" s="330">
        <f ca="1">INDEX($DL$6:$DL$53,MATCH(AI47,$DP$6:$DP$53,0))</f>
        <v>1</v>
      </c>
      <c r="AV47" s="182" t="str">
        <f ca="1">INDEX($BD$6:$BD$53,MATCH(AI47,$BM$6:$BM$53,0))</f>
        <v>Suecia</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6</v>
      </c>
      <c r="BK47" s="16">
        <f t="shared" ca="1" si="21"/>
        <v>7</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5.95" customHeight="1">
      <c r="A48" s="16" t="str">
        <f ca="1">+Equipos!B25</f>
        <v>Túnez</v>
      </c>
      <c r="B48" s="16"/>
      <c r="C48" s="16"/>
      <c r="D48" s="16" t="str">
        <f t="shared" si="131"/>
        <v>Local</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46199.041666666664</v>
      </c>
      <c r="Y48" s="25">
        <f ca="1">Horarios!C48</f>
        <v>46199.041666666664</v>
      </c>
      <c r="Z48" s="26" t="str">
        <f>$Z$8</f>
        <v>J3</v>
      </c>
      <c r="AA48" s="27" t="str">
        <f ca="1">A46</f>
        <v>Japón</v>
      </c>
      <c r="AB48" s="49" t="str" cm="1">
        <f t="array" aca="1" ref="AB48" ca="1">Ver_flag_local</f>
        <v/>
      </c>
      <c r="AC48" s="50">
        <v>3</v>
      </c>
      <c r="AD48" s="51">
        <v>1</v>
      </c>
      <c r="AE48" s="595" t="str" cm="1">
        <f t="array" aca="1" ref="AE48" ca="1">Ver_flag_visit</f>
        <v/>
      </c>
      <c r="AF48" s="32" t="str">
        <f ca="1">A47</f>
        <v>Suecia</v>
      </c>
      <c r="AG48" s="323">
        <f t="shared" si="144"/>
        <v>1</v>
      </c>
      <c r="AH48" s="195">
        <v>57</v>
      </c>
      <c r="AI48" s="181" t="str">
        <f t="shared" si="148"/>
        <v>3F</v>
      </c>
      <c r="AJ48" s="42">
        <v>3</v>
      </c>
      <c r="AK48" s="602" t="str" cm="1">
        <f t="array" aca="1" ref="AK48" ca="1">Ver_flag_visit</f>
        <v/>
      </c>
      <c r="AL48" s="37" t="str">
        <f ca="1">IFERROR(INDEX($BD$6:$BD$53,MATCH(AI48,$BN$6:$BN$53,0)),"")</f>
        <v>Túnez</v>
      </c>
      <c r="AM48" s="38">
        <f t="shared" ca="1" si="147"/>
        <v>3</v>
      </c>
      <c r="AN48" s="39">
        <f t="shared" ca="1" si="147"/>
        <v>3</v>
      </c>
      <c r="AO48" s="39">
        <f t="shared" ca="1" si="147"/>
        <v>1</v>
      </c>
      <c r="AP48" s="39">
        <f t="shared" ca="1" si="147"/>
        <v>0</v>
      </c>
      <c r="AQ48" s="39">
        <f t="shared" ca="1" si="147"/>
        <v>2</v>
      </c>
      <c r="AR48" s="39">
        <f t="shared" ca="1" si="147"/>
        <v>6</v>
      </c>
      <c r="AS48" s="39">
        <f t="shared" ca="1" si="147"/>
        <v>9</v>
      </c>
      <c r="AT48" s="43">
        <f t="shared" ca="1" si="147"/>
        <v>-3</v>
      </c>
      <c r="AU48" s="330">
        <f ca="1">INDEX($DL$6:$DL$53,MATCH(AI48,$DP$6:$DP$53,0))</f>
        <v>1</v>
      </c>
      <c r="AV48" s="182" t="str">
        <f ca="1">INDEX($BD$6:$BD$53,MATCH(AI48,$BM$6:$BM$53,0))</f>
        <v>Túnez</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7</v>
      </c>
      <c r="BL48" s="16">
        <f t="shared" ca="1" si="42"/>
        <v>-5</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c r="A49" s="16"/>
      <c r="B49" s="16"/>
      <c r="C49" s="16"/>
      <c r="D49" s="16" t="str">
        <f t="shared" si="131"/>
        <v>Local</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str" cm="1">
        <f t="array" aca="1" ref="AB49" ca="1">Ver_flag_local</f>
        <v/>
      </c>
      <c r="AC49" s="53">
        <v>3</v>
      </c>
      <c r="AD49" s="54">
        <v>2</v>
      </c>
      <c r="AE49" s="596" t="str" cm="1">
        <f t="array" aca="1" ref="AE49" ca="1">Ver_flag_visit</f>
        <v/>
      </c>
      <c r="AF49" s="33" t="str">
        <f ca="1">A45</f>
        <v>Países Bajos</v>
      </c>
      <c r="AG49" s="323">
        <f t="shared" si="144"/>
        <v>1</v>
      </c>
      <c r="AH49" s="195">
        <v>58</v>
      </c>
      <c r="AI49" s="181" t="str">
        <f t="shared" si="148"/>
        <v>4F</v>
      </c>
      <c r="AJ49" s="44">
        <v>4</v>
      </c>
      <c r="AK49" s="604" t="str" cm="1">
        <f t="array" aca="1" ref="AK49" ca="1">Ver_flag_visit</f>
        <v/>
      </c>
      <c r="AL49" s="45" t="str">
        <f ca="1">IFERROR(INDEX($BD$6:$BD$53,MATCH(AI49,$BN$6:$BN$53,0)),"")</f>
        <v>Países Bajos</v>
      </c>
      <c r="AM49" s="46">
        <f t="shared" ca="1" si="147"/>
        <v>1</v>
      </c>
      <c r="AN49" s="47">
        <f t="shared" ca="1" si="147"/>
        <v>3</v>
      </c>
      <c r="AO49" s="47">
        <f t="shared" ca="1" si="147"/>
        <v>0</v>
      </c>
      <c r="AP49" s="47">
        <f t="shared" ca="1" si="147"/>
        <v>1</v>
      </c>
      <c r="AQ49" s="47">
        <f t="shared" ca="1" si="147"/>
        <v>2</v>
      </c>
      <c r="AR49" s="47">
        <f t="shared" ca="1" si="147"/>
        <v>4</v>
      </c>
      <c r="AS49" s="47">
        <f t="shared" ca="1" si="147"/>
        <v>6</v>
      </c>
      <c r="AT49" s="48">
        <f t="shared" ca="1" si="147"/>
        <v>-2</v>
      </c>
      <c r="AU49" s="330">
        <f ca="1">INDEX($DL$6:$DL$53,MATCH(AI49,$DP$6:$DP$53,0))</f>
        <v>1</v>
      </c>
      <c r="AV49" s="182" t="str">
        <f ca="1">INDEX($BD$6:$BD$53,MATCH(AI49,$BM$6:$BM$53,0))</f>
        <v>Países Bajos</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8</v>
      </c>
      <c r="BK49" s="16">
        <f t="shared" ca="1" si="21"/>
        <v>7</v>
      </c>
      <c r="BL49" s="16">
        <f t="shared" ca="1" si="42"/>
        <v>1</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8</v>
      </c>
      <c r="BK50" s="16">
        <f t="shared" ca="1" si="21"/>
        <v>6</v>
      </c>
      <c r="BL50" s="16">
        <f t="shared" ca="1" si="42"/>
        <v>2</v>
      </c>
      <c r="BM50" s="16" t="str">
        <f t="shared" ca="1" si="22"/>
        <v>2L</v>
      </c>
      <c r="BN50" s="16" t="str">
        <f t="shared" ca="1" si="23"/>
        <v>2L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(2)</v>
      </c>
      <c r="BU50" s="16">
        <f t="shared" ca="1" si="24"/>
        <v>0</v>
      </c>
      <c r="BV50" s="16">
        <f t="shared" ca="1" si="25"/>
        <v>1</v>
      </c>
      <c r="BW50" s="16">
        <f t="shared" ca="1" si="26"/>
        <v>0</v>
      </c>
      <c r="BX50" s="16">
        <f t="shared" ca="1" si="48"/>
        <v>1</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(2)</v>
      </c>
      <c r="CA50" s="16">
        <f t="shared" ca="1" si="27"/>
        <v>2</v>
      </c>
      <c r="CB50" s="16">
        <f t="shared" ca="1" si="28"/>
        <v>2</v>
      </c>
      <c r="CC50" s="16">
        <f t="shared" ca="1" si="49"/>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(2)</v>
      </c>
      <c r="CF50" s="16">
        <f t="shared" ca="1" si="29"/>
        <v>2</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(2)</v>
      </c>
      <c r="CI50" s="16">
        <f t="shared" ca="1" si="30"/>
        <v>0</v>
      </c>
      <c r="CJ50" s="16">
        <f t="shared" ca="1" si="31"/>
        <v>1</v>
      </c>
      <c r="CK50" s="16">
        <f t="shared" ca="1" si="32"/>
        <v>0</v>
      </c>
      <c r="CL50" s="16">
        <f t="shared" ca="1" si="50"/>
        <v>1</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(2)</v>
      </c>
      <c r="CO50" s="16">
        <f t="shared" ca="1" si="33"/>
        <v>2</v>
      </c>
      <c r="CP50" s="16">
        <f t="shared" ca="1" si="34"/>
        <v>2</v>
      </c>
      <c r="CQ50" s="16">
        <f t="shared" ca="1" si="51"/>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(2)</v>
      </c>
      <c r="CT50" s="16">
        <f t="shared" ca="1" si="35"/>
        <v>2</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(2)</v>
      </c>
      <c r="CW50" s="16">
        <f t="shared" ca="1" si="36"/>
        <v>2</v>
      </c>
      <c r="CX50" s="16">
        <f ca="1">CU50+COUNTIFS($CV$6:$CV$53,CV50,$CW$6:CW$53,"&gt;"&amp;CW50,$BC$6:$BC$53,INDEX(T_Equipos[Grupo],MATCH(BD50,T_Equipos[NombreEquipo],0)))</f>
        <v>2</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2</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2</v>
      </c>
      <c r="DE50" s="16"/>
      <c r="DF50" s="16">
        <f t="shared" ca="1" si="52"/>
        <v>2</v>
      </c>
      <c r="DG50" s="16" t="str">
        <f ca="1">IF(DB50="-","-",COUNTIFS(DF$6:DF$53,"&lt;"&amp;DF50,$BC$6:$BC$53,INDEX(T_Equipos[Grupo],MATCH(BD50,T_Equipos[NombreEquipo],0))))</f>
        <v>-</v>
      </c>
      <c r="DH50" s="16">
        <f ca="1">DA50+COUNTIFS(DB$6:DB$53,DB50,DG$6:DG$53,"&lt;"&amp;DG50,$BC$6:$BC$53,INDEX(T_Equipos[Grupo],MATCH(BD50,T_Equipos[NombreEquipo],0)))</f>
        <v>2</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Croacia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7</v>
      </c>
      <c r="BF51" s="16">
        <f t="shared" ca="1" si="41"/>
        <v>3</v>
      </c>
      <c r="BG51" s="16">
        <f t="shared" ca="1" si="17"/>
        <v>2</v>
      </c>
      <c r="BH51" s="16">
        <f t="shared" ca="1" si="18"/>
        <v>1</v>
      </c>
      <c r="BI51" s="16">
        <f t="shared" ca="1" si="19"/>
        <v>0</v>
      </c>
      <c r="BJ51" s="16">
        <f t="shared" ca="1" si="20"/>
        <v>9</v>
      </c>
      <c r="BK51" s="16">
        <f t="shared" ca="1" si="21"/>
        <v>3</v>
      </c>
      <c r="BL51" s="16">
        <f t="shared" ca="1" si="42"/>
        <v>6</v>
      </c>
      <c r="BM51" s="16" t="str">
        <f t="shared" ca="1" si="22"/>
        <v>1L</v>
      </c>
      <c r="BN51" s="16" t="str">
        <f t="shared" ca="1" si="23"/>
        <v>1L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7</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(2)</v>
      </c>
      <c r="BU51" s="16">
        <f t="shared" ca="1" si="24"/>
        <v>0</v>
      </c>
      <c r="BV51" s="16">
        <f t="shared" ca="1" si="25"/>
        <v>1</v>
      </c>
      <c r="BW51" s="16">
        <f t="shared" ca="1" si="26"/>
        <v>0</v>
      </c>
      <c r="BX51" s="16">
        <f t="shared" ca="1" si="48"/>
        <v>1</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(2)</v>
      </c>
      <c r="CA51" s="16">
        <f t="shared" ca="1" si="27"/>
        <v>2</v>
      </c>
      <c r="CB51" s="16">
        <f t="shared" ca="1" si="28"/>
        <v>2</v>
      </c>
      <c r="CC51" s="16">
        <f t="shared" ca="1" si="49"/>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(2)</v>
      </c>
      <c r="CF51" s="16">
        <f t="shared" ca="1" si="29"/>
        <v>2</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(2)</v>
      </c>
      <c r="CI51" s="16">
        <f t="shared" ca="1" si="30"/>
        <v>0</v>
      </c>
      <c r="CJ51" s="16">
        <f t="shared" ca="1" si="31"/>
        <v>1</v>
      </c>
      <c r="CK51" s="16">
        <f t="shared" ca="1" si="32"/>
        <v>0</v>
      </c>
      <c r="CL51" s="16">
        <f t="shared" ca="1" si="50"/>
        <v>1</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(2)</v>
      </c>
      <c r="CO51" s="16">
        <f t="shared" ca="1" si="33"/>
        <v>2</v>
      </c>
      <c r="CP51" s="16">
        <f t="shared" ca="1" si="34"/>
        <v>2</v>
      </c>
      <c r="CQ51" s="16">
        <f t="shared" ca="1" si="51"/>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(2)</v>
      </c>
      <c r="CT51" s="16">
        <f t="shared" ca="1" si="35"/>
        <v>2</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(2)</v>
      </c>
      <c r="CW51" s="16">
        <f t="shared" ca="1" si="36"/>
        <v>6</v>
      </c>
      <c r="CX51" s="16">
        <f ca="1">CU51+COUNTIFS($CV$6:$CV$53,CV51,$CW$6:CW$53,"&gt;"&amp;CW51,$BC$6:$BC$53,INDEX(T_Equipos[Grupo],MATCH(BD51,T_Equipos[NombreEquipo],0)))</f>
        <v>1</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1</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1</v>
      </c>
      <c r="DE51" s="16"/>
      <c r="DF51" s="16">
        <f t="shared" ca="1" si="52"/>
        <v>1</v>
      </c>
      <c r="DG51" s="16" t="str">
        <f ca="1">IF(DB51="-","-",COUNTIFS(DF$6:DF$53,"&lt;"&amp;DF51,$BC$6:$BC$53,INDEX(T_Equipos[Grupo],MATCH(BD51,T_Equipos[NombreEquipo],0))))</f>
        <v>-</v>
      </c>
      <c r="DH51" s="16">
        <f ca="1">DA51+COUNTIFS(DB$6:DB$53,DB51,DG$6:DG$53,"&lt;"&amp;DG51,$BC$6:$BC$53,INDEX(T_Equipos[Grupo],MATCH(BD51,T_Equipos[NombreEquipo],0)))</f>
        <v>1</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Inglaterra</v>
      </c>
    </row>
    <row r="52" spans="1:121" ht="15.9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P.1 (2)</v>
      </c>
      <c r="F52" s="16" t="str">
        <f t="shared" ref="F52:F57" ca="1" si="151">IF(D52="Pendiente","-",INDEX($BT$6:$BT$53,MATCH($AF52,$BD$6:$BD$53,0)))</f>
        <v>P.3 (2)</v>
      </c>
      <c r="G52" s="16"/>
      <c r="H52" s="16" t="str">
        <f t="shared" ref="H52:H57" ca="1" si="152">IF(D52="Pendiente","-",INDEX($BZ$6:$BZ$53,MATCH($AA52,$BD$6:$BD$53,0)))</f>
        <v>P.1 (2)</v>
      </c>
      <c r="I52" s="16" t="str">
        <f t="shared" ref="I52:I57" ca="1" si="153">IF(D52="Pendiente","-",INDEX($BZ$6:$BZ$53,MATCH($AF52,$BD$6:$BD$53,0)))</f>
        <v>P.3 (2)</v>
      </c>
      <c r="J52" s="16"/>
      <c r="K52" s="16" t="str">
        <f t="shared" ref="K52:K57" ca="1" si="154">IF(D52="Pendiente","-",INDEX($CE$6:$CE$53,MATCH($AA52,$BD$6:$BD$53,0)))</f>
        <v>P.1 (2)</v>
      </c>
      <c r="L52" s="16" t="str">
        <f t="shared" ref="L52:L57" ca="1" si="155">IF(D52="Pendiente","-",INDEX($CE$6:$CE$53,MATCH($AF52,$BD$6:$BD$53,0)))</f>
        <v>P.3 (2)</v>
      </c>
      <c r="M52" s="16"/>
      <c r="N52" s="16" t="str">
        <f t="shared" ref="N52:N57" ca="1" si="156">IF(D52="Pendiente","-",INDEX($CH$6:$CH$53,MATCH($AA52,$BD$6:$BD$53,0)))</f>
        <v>P.1 (2)</v>
      </c>
      <c r="O52" s="16" t="str">
        <f t="shared" ref="O52:O57" ca="1" si="157">IF(D52="Pendiente","-",INDEX($CH$6:$CH$53,MATCH($AF52,$BD$6:$BD$53,0)))</f>
        <v>P.3 (2)</v>
      </c>
      <c r="P52" s="16"/>
      <c r="Q52" s="16" t="str">
        <f t="shared" ref="Q52:Q57" ca="1" si="158">IF(D52="Pendiente","-",INDEX($CN$6:$CN$53,MATCH($AA52,$BD$6:$BD$53,0)))</f>
        <v>P.1 (2)</v>
      </c>
      <c r="R52" s="16" t="str">
        <f t="shared" ref="R52:R57" ca="1" si="159">IF(D52="Pendiente","-",INDEX($CN$6:$CN$53,MATCH($AF52,$BD$6:$BD$53,0)))</f>
        <v>P.3 (2)</v>
      </c>
      <c r="S52" s="16"/>
      <c r="T52" s="16" t="str">
        <f t="shared" ref="T52:T57" ca="1" si="160">IF(D52="Pendiente","-",INDEX($CS$6:$CS$53,MATCH($AA52,$BD$6:$BD$53,0)))</f>
        <v>P.1 (2)</v>
      </c>
      <c r="U52" s="16" t="str">
        <f t="shared" ref="U52:U57" ca="1" si="161">IF(D52="Pendiente","-",INDEX($CS$6:$CS$53,MATCH($AF52,$BD$6:$BD$53,0)))</f>
        <v>P.3 (2)</v>
      </c>
      <c r="V52" s="17"/>
      <c r="W52" s="666" t="s">
        <v>6</v>
      </c>
      <c r="X52" s="24">
        <f ca="1">Horarios!C52</f>
        <v>46188.875</v>
      </c>
      <c r="Y52" s="25">
        <f ca="1">Horarios!C52</f>
        <v>46188.875</v>
      </c>
      <c r="Z52" s="26" t="str">
        <f>$Z$4</f>
        <v>J1</v>
      </c>
      <c r="AA52" s="27" t="str">
        <f ca="1">A53</f>
        <v>Bélgica</v>
      </c>
      <c r="AB52" s="49" t="str" cm="1">
        <f t="array" aca="1" ref="AB52" ca="1">Ver_flag_local</f>
        <v/>
      </c>
      <c r="AC52" s="50">
        <v>2</v>
      </c>
      <c r="AD52" s="51">
        <v>1</v>
      </c>
      <c r="AE52" s="595" t="str" cm="1">
        <f t="array" aca="1" ref="AE52" ca="1">Ver_flag_visit</f>
        <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¡EMPATE! Puedes seleccionar el orden de los empatados.</v>
      </c>
      <c r="AW52" s="167"/>
      <c r="AX52" s="167"/>
      <c r="AY52" s="154"/>
      <c r="AZ52" s="155"/>
      <c r="BA52" s="17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5</v>
      </c>
      <c r="BK52" s="16">
        <f t="shared" ca="1" si="21"/>
        <v>4</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c r="A53" s="16" t="str">
        <f ca="1">+Equipos!B26</f>
        <v>Bélgica</v>
      </c>
      <c r="B53" s="16"/>
      <c r="C53" s="16"/>
      <c r="D53" s="16" t="str">
        <f t="shared" si="149"/>
        <v>Visitante</v>
      </c>
      <c r="E53" s="16" t="str">
        <f t="shared" ca="1" si="150"/>
        <v>P.3 (2)</v>
      </c>
      <c r="F53" s="16" t="str">
        <f t="shared" ca="1" si="151"/>
        <v>P.1 (2)</v>
      </c>
      <c r="G53" s="16"/>
      <c r="H53" s="16" t="str">
        <f t="shared" ca="1" si="152"/>
        <v>P.3 (2)</v>
      </c>
      <c r="I53" s="16" t="str">
        <f t="shared" ca="1" si="153"/>
        <v>P.1 (2)</v>
      </c>
      <c r="J53" s="16"/>
      <c r="K53" s="16" t="str">
        <f t="shared" ca="1" si="154"/>
        <v>P.3 (2)</v>
      </c>
      <c r="L53" s="16" t="str">
        <f t="shared" ca="1" si="155"/>
        <v>P.1 (2)</v>
      </c>
      <c r="M53" s="16"/>
      <c r="N53" s="16" t="str">
        <f t="shared" ca="1" si="156"/>
        <v>P.3 (2)</v>
      </c>
      <c r="O53" s="16" t="str">
        <f t="shared" ca="1" si="157"/>
        <v>P.1 (2)</v>
      </c>
      <c r="P53" s="16"/>
      <c r="Q53" s="16" t="str">
        <f t="shared" ca="1" si="158"/>
        <v>P.3 (2)</v>
      </c>
      <c r="R53" s="16" t="str">
        <f t="shared" ca="1" si="159"/>
        <v>P.1 (2)</v>
      </c>
      <c r="S53" s="16"/>
      <c r="T53" s="16" t="str">
        <f t="shared" ca="1" si="160"/>
        <v>P.3 (2)</v>
      </c>
      <c r="U53" s="16" t="str">
        <f t="shared" ca="1" si="161"/>
        <v>P.1 (2)</v>
      </c>
      <c r="V53" s="17"/>
      <c r="W53" s="666"/>
      <c r="X53" s="24">
        <f ca="1">Horarios!C53</f>
        <v>46189.125</v>
      </c>
      <c r="Y53" s="25">
        <f ca="1">Horarios!C53</f>
        <v>46189.125</v>
      </c>
      <c r="Z53" s="26" t="str">
        <f>$Z$4</f>
        <v>J1</v>
      </c>
      <c r="AA53" s="27" t="str">
        <f ca="1">A55</f>
        <v>Irán</v>
      </c>
      <c r="AB53" s="49" t="str" cm="1">
        <f t="array" aca="1" ref="AB53" ca="1">Ver_flag_local</f>
        <v/>
      </c>
      <c r="AC53" s="50">
        <v>2</v>
      </c>
      <c r="AD53" s="51">
        <v>3</v>
      </c>
      <c r="AE53" s="595" t="str" cm="1">
        <f t="array" aca="1" ref="AE53" ca="1">Ver_flag_visit</f>
        <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2</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3</v>
      </c>
      <c r="BK53" s="16">
        <f t="shared" ca="1" si="21"/>
        <v>12</v>
      </c>
      <c r="BL53" s="16">
        <f t="shared" ca="1" si="42"/>
        <v>-9</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5" customHeight="1">
      <c r="A54" s="16" t="str">
        <f ca="1">+Equipos!B27</f>
        <v>Egipto</v>
      </c>
      <c r="B54" s="16"/>
      <c r="C54" s="16"/>
      <c r="D54" s="16" t="str">
        <f t="shared" si="149"/>
        <v>Local</v>
      </c>
      <c r="E54" s="16" t="str">
        <f t="shared" ca="1" si="150"/>
        <v>P.1 (2)</v>
      </c>
      <c r="F54" s="16" t="str">
        <f t="shared" ca="1" si="151"/>
        <v>P.3 (2)</v>
      </c>
      <c r="G54" s="16"/>
      <c r="H54" s="16" t="str">
        <f t="shared" ca="1" si="152"/>
        <v>P.1 (2)</v>
      </c>
      <c r="I54" s="16" t="str">
        <f t="shared" ca="1" si="153"/>
        <v>P.3 (2)</v>
      </c>
      <c r="J54" s="16"/>
      <c r="K54" s="16" t="str">
        <f t="shared" ca="1" si="154"/>
        <v>P.1 (2)</v>
      </c>
      <c r="L54" s="16" t="str">
        <f t="shared" ca="1" si="155"/>
        <v>P.3 (2)</v>
      </c>
      <c r="M54" s="16"/>
      <c r="N54" s="16" t="str">
        <f t="shared" ca="1" si="156"/>
        <v>P.1 (2)</v>
      </c>
      <c r="O54" s="16" t="str">
        <f t="shared" ca="1" si="157"/>
        <v>P.3 (2)</v>
      </c>
      <c r="P54" s="16"/>
      <c r="Q54" s="16" t="str">
        <f t="shared" ca="1" si="158"/>
        <v>P.1 (2)</v>
      </c>
      <c r="R54" s="16" t="str">
        <f t="shared" ca="1" si="159"/>
        <v>P.3 (2)</v>
      </c>
      <c r="S54" s="16"/>
      <c r="T54" s="16" t="str">
        <f t="shared" ca="1" si="160"/>
        <v>P.1 (2)</v>
      </c>
      <c r="U54" s="16" t="str">
        <f t="shared" ca="1" si="161"/>
        <v>P.3 (2)</v>
      </c>
      <c r="V54" s="17"/>
      <c r="W54" s="666"/>
      <c r="X54" s="24">
        <f ca="1">Horarios!C54</f>
        <v>46194.875</v>
      </c>
      <c r="Y54" s="25">
        <f ca="1">Horarios!C54</f>
        <v>46194.875</v>
      </c>
      <c r="Z54" s="26" t="str">
        <f>$Z$6</f>
        <v>J2</v>
      </c>
      <c r="AA54" s="27" t="str">
        <f ca="1">A53</f>
        <v>Bélgica</v>
      </c>
      <c r="AB54" s="49" t="str" cm="1">
        <f t="array" aca="1" ref="AB54" ca="1">Ver_flag_local</f>
        <v/>
      </c>
      <c r="AC54" s="50">
        <v>3</v>
      </c>
      <c r="AD54" s="51">
        <v>0</v>
      </c>
      <c r="AE54" s="595" t="str" cm="1">
        <f t="array" aca="1" ref="AE54" ca="1">Ver_flag_visit</f>
        <v/>
      </c>
      <c r="AF54" s="32" t="str">
        <f ca="1">A55</f>
        <v>Irán</v>
      </c>
      <c r="AG54" s="323">
        <f t="shared" si="162"/>
        <v>1</v>
      </c>
      <c r="AH54" s="195">
        <v>39</v>
      </c>
      <c r="AI54" s="181" t="str">
        <f>AJ54&amp;$B$52</f>
        <v>1G</v>
      </c>
      <c r="AJ54" s="40">
        <v>1</v>
      </c>
      <c r="AK54" s="601" t="str" cm="1">
        <f t="array" aca="1" ref="AK54" ca="1">Ver_flag_visit</f>
        <v/>
      </c>
      <c r="AL54" s="34" t="str">
        <f ca="1">IFERROR(INDEX($BD$6:$BD$53,MATCH(AI54,$BN$6:$BN$53,0)),"")</f>
        <v>Nueva Zelanda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7</v>
      </c>
      <c r="AS54" s="36">
        <f t="shared" ca="1" si="165"/>
        <v>3</v>
      </c>
      <c r="AT54" s="41">
        <f t="shared" ca="1" si="165"/>
        <v>4</v>
      </c>
      <c r="AU54" s="330">
        <f ca="1">INDEX($DL$6:$DL$53,MATCH(AI54,$DP$6:$DP$53,0))</f>
        <v>1</v>
      </c>
      <c r="AV54" s="182" t="str">
        <f ca="1">INDEX($BD$6:$BD$53,MATCH(AI54,$BM$6:$BM$53,0))</f>
        <v>Nueva Zelanda</v>
      </c>
      <c r="AW54" s="210"/>
      <c r="AX54" s="171"/>
      <c r="AY54" s="201" t="str">
        <f ca="1">+A53</f>
        <v>Bélgica</v>
      </c>
      <c r="AZ54" s="202"/>
      <c r="BA54" s="176"/>
    </row>
    <row r="55" spans="1:121" ht="15.95" customHeight="1">
      <c r="A55" s="16" t="str">
        <f ca="1">+Equipos!B28</f>
        <v>Irán</v>
      </c>
      <c r="B55" s="16"/>
      <c r="C55" s="16"/>
      <c r="D55" s="16" t="str">
        <f t="shared" si="149"/>
        <v>Local</v>
      </c>
      <c r="E55" s="16" t="str">
        <f t="shared" ca="1" si="150"/>
        <v>P.1 (2)</v>
      </c>
      <c r="F55" s="16" t="str">
        <f t="shared" ca="1" si="151"/>
        <v>P.3 (2)</v>
      </c>
      <c r="G55" s="16"/>
      <c r="H55" s="16" t="str">
        <f t="shared" ca="1" si="152"/>
        <v>P.1 (2)</v>
      </c>
      <c r="I55" s="16" t="str">
        <f t="shared" ca="1" si="153"/>
        <v>P.3 (2)</v>
      </c>
      <c r="J55" s="16"/>
      <c r="K55" s="16" t="str">
        <f t="shared" ca="1" si="154"/>
        <v>P.1 (2)</v>
      </c>
      <c r="L55" s="16" t="str">
        <f t="shared" ca="1" si="155"/>
        <v>P.3 (2)</v>
      </c>
      <c r="M55" s="16"/>
      <c r="N55" s="16" t="str">
        <f t="shared" ca="1" si="156"/>
        <v>P.1 (2)</v>
      </c>
      <c r="O55" s="16" t="str">
        <f t="shared" ca="1" si="157"/>
        <v>P.3 (2)</v>
      </c>
      <c r="P55" s="16"/>
      <c r="Q55" s="16" t="str">
        <f t="shared" ca="1" si="158"/>
        <v>P.1 (2)</v>
      </c>
      <c r="R55" s="16" t="str">
        <f t="shared" ca="1" si="159"/>
        <v>P.3 (2)</v>
      </c>
      <c r="S55" s="16"/>
      <c r="T55" s="16" t="str">
        <f t="shared" ca="1" si="160"/>
        <v>P.1 (2)</v>
      </c>
      <c r="U55" s="16" t="str">
        <f t="shared" ca="1" si="161"/>
        <v>P.3 (2)</v>
      </c>
      <c r="V55" s="17"/>
      <c r="W55" s="666"/>
      <c r="X55" s="24">
        <f ca="1">Horarios!C55</f>
        <v>46195.125</v>
      </c>
      <c r="Y55" s="25">
        <f ca="1">Horarios!C55</f>
        <v>46195.125</v>
      </c>
      <c r="Z55" s="26" t="str">
        <f>$Z$6</f>
        <v>J2</v>
      </c>
      <c r="AA55" s="27" t="str">
        <f ca="1">A56</f>
        <v>Nueva Zelanda</v>
      </c>
      <c r="AB55" s="49" t="str" cm="1">
        <f t="array" aca="1" ref="AB55" ca="1">Ver_flag_local</f>
        <v/>
      </c>
      <c r="AC55" s="50">
        <v>4</v>
      </c>
      <c r="AD55" s="51">
        <v>1</v>
      </c>
      <c r="AE55" s="595" t="str" cm="1">
        <f t="array" aca="1" ref="AE55" ca="1">Ver_flag_visit</f>
        <v/>
      </c>
      <c r="AF55" s="32" t="str">
        <f ca="1">A54</f>
        <v>Egipto</v>
      </c>
      <c r="AG55" s="323">
        <f t="shared" si="162"/>
        <v>1</v>
      </c>
      <c r="AH55" s="195">
        <v>40</v>
      </c>
      <c r="AI55" s="181" t="str">
        <f t="shared" ref="AI55:AI57" si="166">AJ55&amp;$B$52</f>
        <v>2G</v>
      </c>
      <c r="AJ55" s="42">
        <v>2</v>
      </c>
      <c r="AK55" s="602" t="str" cm="1">
        <f t="array" aca="1" ref="AK55" ca="1">Ver_flag_visit</f>
        <v/>
      </c>
      <c r="AL55" s="37" t="str">
        <f ca="1">IFERROR(INDEX($BD$6:$BD$53,MATCH(AI55,$BN$6:$BN$53,0)),"")</f>
        <v>Bélgica</v>
      </c>
      <c r="AM55" s="38">
        <f t="shared" ca="1" si="165"/>
        <v>7</v>
      </c>
      <c r="AN55" s="39">
        <f t="shared" ca="1" si="165"/>
        <v>3</v>
      </c>
      <c r="AO55" s="39">
        <f t="shared" ca="1" si="165"/>
        <v>2</v>
      </c>
      <c r="AP55" s="39">
        <f t="shared" ca="1" si="165"/>
        <v>1</v>
      </c>
      <c r="AQ55" s="39">
        <f t="shared" ca="1" si="165"/>
        <v>0</v>
      </c>
      <c r="AR55" s="39">
        <f t="shared" ca="1" si="165"/>
        <v>5</v>
      </c>
      <c r="AS55" s="39">
        <f t="shared" ca="1" si="165"/>
        <v>1</v>
      </c>
      <c r="AT55" s="43">
        <f t="shared" ca="1" si="165"/>
        <v>4</v>
      </c>
      <c r="AU55" s="330">
        <f ca="1">INDEX($DL$6:$DL$53,MATCH(AI55,$DP$6:$DP$53,0))</f>
        <v>1</v>
      </c>
      <c r="AV55" s="182" t="str">
        <f ca="1">INDEX($BD$6:$BD$53,MATCH(AI55,$BM$6:$BM$53,0))</f>
        <v>Bélgica</v>
      </c>
      <c r="AW55" s="210"/>
      <c r="AX55" s="171"/>
      <c r="AY55" s="203" t="str">
        <f ca="1">+A54</f>
        <v>Egipto</v>
      </c>
      <c r="AZ55" s="204"/>
      <c r="BA55" s="176"/>
    </row>
    <row r="56" spans="1:121" ht="15.95" customHeight="1">
      <c r="A56" s="16" t="str">
        <f ca="1">+Equipos!B29</f>
        <v>Nueva Zelanda</v>
      </c>
      <c r="B56" s="16"/>
      <c r="C56" s="16"/>
      <c r="D56" s="16" t="str">
        <f t="shared" si="149"/>
        <v>Empate</v>
      </c>
      <c r="E56" s="16" t="str">
        <f t="shared" ca="1" si="150"/>
        <v>P.3 (2)</v>
      </c>
      <c r="F56" s="16" t="str">
        <f t="shared" ca="1" si="151"/>
        <v>P.3 (2)</v>
      </c>
      <c r="G56" s="16"/>
      <c r="H56" s="16" t="str">
        <f t="shared" ca="1" si="152"/>
        <v>P.3 (2)</v>
      </c>
      <c r="I56" s="16" t="str">
        <f t="shared" ca="1" si="153"/>
        <v>P.3 (2)</v>
      </c>
      <c r="J56" s="16"/>
      <c r="K56" s="16" t="str">
        <f t="shared" ca="1" si="154"/>
        <v>P.3 (2)</v>
      </c>
      <c r="L56" s="16" t="str">
        <f t="shared" ca="1" si="155"/>
        <v>P.3 (2)</v>
      </c>
      <c r="M56" s="16"/>
      <c r="N56" s="16" t="str">
        <f t="shared" ca="1" si="156"/>
        <v>P.3 (2)</v>
      </c>
      <c r="O56" s="16" t="str">
        <f t="shared" ca="1" si="157"/>
        <v>P.3 (2)</v>
      </c>
      <c r="P56" s="16"/>
      <c r="Q56" s="16" t="str">
        <f t="shared" ca="1" si="158"/>
        <v>P.3 (2)</v>
      </c>
      <c r="R56" s="16" t="str">
        <f t="shared" ca="1" si="159"/>
        <v>P.3 (2)</v>
      </c>
      <c r="S56" s="16"/>
      <c r="T56" s="16" t="str">
        <f t="shared" ca="1" si="160"/>
        <v>P.3 (2)</v>
      </c>
      <c r="U56" s="16" t="str">
        <f t="shared" ca="1" si="161"/>
        <v>P.3 (2)</v>
      </c>
      <c r="V56" s="17"/>
      <c r="W56" s="666"/>
      <c r="X56" s="24">
        <f ca="1">Horarios!C56</f>
        <v>46200.208333333336</v>
      </c>
      <c r="Y56" s="25">
        <f ca="1">Horarios!C56</f>
        <v>46200.208333333336</v>
      </c>
      <c r="Z56" s="26" t="str">
        <f>$Z$8</f>
        <v>J3</v>
      </c>
      <c r="AA56" s="27" t="str">
        <f ca="1">A54</f>
        <v>Egipto</v>
      </c>
      <c r="AB56" s="49" t="str" cm="1">
        <f t="array" aca="1" ref="AB56" ca="1">Ver_flag_local</f>
        <v/>
      </c>
      <c r="AC56" s="50">
        <v>2</v>
      </c>
      <c r="AD56" s="51">
        <v>2</v>
      </c>
      <c r="AE56" s="595" t="str" cm="1">
        <f t="array" aca="1" ref="AE56" ca="1">Ver_flag_visit</f>
        <v/>
      </c>
      <c r="AF56" s="32" t="str">
        <f ca="1">A55</f>
        <v>Irán</v>
      </c>
      <c r="AG56" s="323">
        <f t="shared" si="162"/>
        <v>1</v>
      </c>
      <c r="AH56" s="195">
        <v>63</v>
      </c>
      <c r="AI56" s="181" t="str">
        <f t="shared" si="166"/>
        <v>3G</v>
      </c>
      <c r="AJ56" s="42">
        <v>3</v>
      </c>
      <c r="AK56" s="602" t="str" cm="1">
        <f t="array" aca="1" ref="AK56" ca="1">Ver_flag_visit</f>
        <v/>
      </c>
      <c r="AL56" s="37" t="str">
        <f ca="1">IFERROR(INDEX($BD$6:$BD$53,MATCH(AI56,$BN$6:$BN$53,0)),"")</f>
        <v>Irán</v>
      </c>
      <c r="AM56" s="38">
        <f t="shared" ca="1" si="165"/>
        <v>1</v>
      </c>
      <c r="AN56" s="39">
        <f t="shared" ca="1" si="165"/>
        <v>3</v>
      </c>
      <c r="AO56" s="39">
        <f t="shared" ca="1" si="165"/>
        <v>0</v>
      </c>
      <c r="AP56" s="39">
        <f t="shared" ca="1" si="165"/>
        <v>1</v>
      </c>
      <c r="AQ56" s="39">
        <f t="shared" ca="1" si="165"/>
        <v>2</v>
      </c>
      <c r="AR56" s="39">
        <f t="shared" ca="1" si="165"/>
        <v>4</v>
      </c>
      <c r="AS56" s="39">
        <f t="shared" ca="1" si="165"/>
        <v>8</v>
      </c>
      <c r="AT56" s="43">
        <f t="shared" ca="1" si="165"/>
        <v>-4</v>
      </c>
      <c r="AU56" s="330">
        <f ca="1">INDEX($DL$6:$DL$53,MATCH(AI56,$DP$6:$DP$53,0))</f>
        <v>2</v>
      </c>
      <c r="AV56" s="182" t="str">
        <f ca="1">INDEX($BD$6:$BD$53,MATCH(AI56,$BM$6:$BM$53,0))</f>
        <v>Egipto</v>
      </c>
      <c r="AW56" s="210">
        <v>4</v>
      </c>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Empate</v>
      </c>
      <c r="E57" s="16" t="str">
        <f t="shared" ca="1" si="150"/>
        <v>P.1 (2)</v>
      </c>
      <c r="F57" s="16" t="str">
        <f t="shared" ca="1" si="151"/>
        <v>P.1 (2)</v>
      </c>
      <c r="G57" s="16"/>
      <c r="H57" s="16" t="str">
        <f t="shared" ca="1" si="152"/>
        <v>P.1 (2)</v>
      </c>
      <c r="I57" s="16" t="str">
        <f t="shared" ca="1" si="153"/>
        <v>P.1 (2)</v>
      </c>
      <c r="J57" s="16"/>
      <c r="K57" s="16" t="str">
        <f t="shared" ca="1" si="154"/>
        <v>P.1 (2)</v>
      </c>
      <c r="L57" s="16" t="str">
        <f t="shared" ca="1" si="155"/>
        <v>P.1 (2)</v>
      </c>
      <c r="M57" s="16"/>
      <c r="N57" s="16" t="str">
        <f t="shared" ca="1" si="156"/>
        <v>P.1 (2)</v>
      </c>
      <c r="O57" s="16" t="str">
        <f t="shared" ca="1" si="157"/>
        <v>P.1 (2)</v>
      </c>
      <c r="P57" s="16"/>
      <c r="Q57" s="16" t="str">
        <f t="shared" ca="1" si="158"/>
        <v>P.1 (2)</v>
      </c>
      <c r="R57" s="16" t="str">
        <f t="shared" ca="1" si="159"/>
        <v>P.1 (2)</v>
      </c>
      <c r="S57" s="16"/>
      <c r="T57" s="16" t="str">
        <f t="shared" ca="1" si="160"/>
        <v>P.1 (2)</v>
      </c>
      <c r="U57" s="16" t="str">
        <f t="shared" ca="1" si="161"/>
        <v>P.1 (2)</v>
      </c>
      <c r="V57" s="17"/>
      <c r="W57" s="667"/>
      <c r="X57" s="28">
        <f ca="1">Horarios!C57</f>
        <v>46200.208333333336</v>
      </c>
      <c r="Y57" s="29">
        <f ca="1">Horarios!C57</f>
        <v>46200.208333333336</v>
      </c>
      <c r="Z57" s="30" t="str">
        <f>$Z$8</f>
        <v>J3</v>
      </c>
      <c r="AA57" s="31" t="str">
        <f ca="1">A56</f>
        <v>Nueva Zelanda</v>
      </c>
      <c r="AB57" s="52" t="str" cm="1">
        <f t="array" aca="1" ref="AB57" ca="1">Ver_flag_local</f>
        <v/>
      </c>
      <c r="AC57" s="53">
        <v>0</v>
      </c>
      <c r="AD57" s="54">
        <v>0</v>
      </c>
      <c r="AE57" s="596" t="str" cm="1">
        <f t="array" aca="1" ref="AE57" ca="1">Ver_flag_visit</f>
        <v/>
      </c>
      <c r="AF57" s="33" t="str">
        <f ca="1">A53</f>
        <v>Bélgica</v>
      </c>
      <c r="AG57" s="323">
        <f t="shared" si="162"/>
        <v>1</v>
      </c>
      <c r="AH57" s="195">
        <v>64</v>
      </c>
      <c r="AI57" s="181" t="str">
        <f t="shared" si="166"/>
        <v>4G</v>
      </c>
      <c r="AJ57" s="44">
        <v>4</v>
      </c>
      <c r="AK57" s="604" t="str" cm="1">
        <f t="array" aca="1" ref="AK57" ca="1">Ver_flag_visit</f>
        <v/>
      </c>
      <c r="AL57" s="45" t="str">
        <f ca="1">IFERROR(INDEX($BD$6:$BD$53,MATCH(AI57,$BN$6:$BN$53,0)),"")</f>
        <v>Egipto</v>
      </c>
      <c r="AM57" s="46">
        <f t="shared" ca="1" si="165"/>
        <v>1</v>
      </c>
      <c r="AN57" s="47">
        <f t="shared" ca="1" si="165"/>
        <v>3</v>
      </c>
      <c r="AO57" s="47">
        <f t="shared" ca="1" si="165"/>
        <v>0</v>
      </c>
      <c r="AP57" s="47">
        <f t="shared" ca="1" si="165"/>
        <v>1</v>
      </c>
      <c r="AQ57" s="47">
        <f t="shared" ca="1" si="165"/>
        <v>2</v>
      </c>
      <c r="AR57" s="47">
        <f t="shared" ca="1" si="165"/>
        <v>4</v>
      </c>
      <c r="AS57" s="47">
        <f t="shared" ca="1" si="165"/>
        <v>8</v>
      </c>
      <c r="AT57" s="48">
        <f t="shared" ca="1" si="165"/>
        <v>-4</v>
      </c>
      <c r="AU57" s="330">
        <f ca="1">INDEX($DL$6:$DL$53,MATCH(AI57,$DP$6:$DP$53,0))</f>
        <v>2</v>
      </c>
      <c r="AV57" s="182" t="str">
        <f ca="1">INDEX($BD$6:$BD$53,MATCH(AI57,$BM$6:$BM$53,0))</f>
        <v>Irán</v>
      </c>
      <c r="AW57" s="210">
        <v>3</v>
      </c>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México</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9</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9</v>
      </c>
      <c r="BL58" s="16">
        <f ca="1">+BJ58-BK58</f>
        <v>0</v>
      </c>
      <c r="BM58" s="16">
        <f ca="1">CB58</f>
        <v>2</v>
      </c>
      <c r="BN58" s="16">
        <f ca="1">CF58</f>
        <v>2</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(2)</v>
      </c>
      <c r="BU58" s="16">
        <f t="shared" ref="BU58:BU69" ca="1" si="176">IF(BT58="-","-",BL58)</f>
        <v>0</v>
      </c>
      <c r="BV58" s="16">
        <f t="shared" ref="BV58:BV69" ca="1" si="177">BS58+COUNTIFS(BT$58:BT$69,BT58,BU$58:BU$69,"&gt;"&amp;BU58)</f>
        <v>2</v>
      </c>
      <c r="BW58" s="16" t="str">
        <f t="shared" ref="BW58:BW69" ca="1" si="178">IF(COUNTIF(BV$58:BV$69,BV58)=1,"-","Pos. "&amp;BV58&amp;" ("&amp;COUNTIF(BV$58:BV$69,BV58)&amp;")")</f>
        <v>-</v>
      </c>
      <c r="BX58" s="16" t="str">
        <f t="shared" ref="BX58:BX69" ca="1" si="179">IF(BW58="-","-",BJ58)</f>
        <v>-</v>
      </c>
      <c r="BY58" s="16">
        <f t="shared" ref="BY58:BY69" ca="1" si="180">BV58+COUNTIFS(BW$58:BW$69,BW58,BX$58:BX$69,"&gt;"&amp;BX58)</f>
        <v>2</v>
      </c>
      <c r="BZ58" s="16" t="str">
        <f t="shared" ref="BZ58:BZ69" ca="1" si="181">IF(COUNTIF(BY$58:BY$69,BY58)=1,"-","Pos. "&amp;BY58&amp;" ("&amp;COUNTIF(BY$58:BY$69,BY58)&amp;")")</f>
        <v>-</v>
      </c>
      <c r="CA58" s="16" t="str">
        <f t="shared" ref="CA58:CA69" ca="1" si="182">IF(BZ58="-","-",COUNTIF($BD$58:$BD$69,"&gt;"&amp;BD58))</f>
        <v>-</v>
      </c>
      <c r="CB58" s="16">
        <f ca="1">BY58+COUNTIFS(BZ$58:BZ$69,BZ58,CA$58:CA$69,"&gt;"&amp;CA58)</f>
        <v>2</v>
      </c>
      <c r="CC58" s="16"/>
      <c r="CD58" s="16">
        <f t="shared" ref="CD58:CD69" ca="1" si="183">IF(OR(INDEX($AW$102:$AW$113,MATCH($BD58,$AV$102:$AV$113,0))="",BZ58="-"),CB58,INDEX($AW$102:$AW$113,MATCH($BD58,$AV$102:$AV$113,0))+CB58/1000)</f>
        <v>2</v>
      </c>
      <c r="CE58" s="16" t="str">
        <f ca="1">IF(BZ58="-","-",COUNTIF(CD$58:CD$69,"&lt;"&amp;CD58))</f>
        <v>-</v>
      </c>
      <c r="CF58" s="16">
        <f ca="1">BY58+COUNTIFS(BZ$58:BZ$69,BZ58,CE$58:CE$69,"&lt;"&amp;CE58)</f>
        <v>2</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Canadá</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Canadá</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9</v>
      </c>
      <c r="BK59" s="16">
        <f t="shared" ca="1" si="173"/>
        <v>8</v>
      </c>
      <c r="BL59" s="16">
        <f t="shared" ref="BL59:BL69" ca="1" si="190">+BJ59-BK59</f>
        <v>1</v>
      </c>
      <c r="BM59" s="16">
        <f t="shared" ref="BM59:BM69" ca="1" si="191">CB59</f>
        <v>1</v>
      </c>
      <c r="BN59" s="16">
        <f t="shared" ref="BN59:BN69" ca="1" si="192">CF59</f>
        <v>1</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(2)</v>
      </c>
      <c r="BU59" s="16">
        <f t="shared" ca="1" si="176"/>
        <v>1</v>
      </c>
      <c r="BV59" s="16">
        <f t="shared" ca="1" si="177"/>
        <v>1</v>
      </c>
      <c r="BW59" s="16" t="str">
        <f t="shared" ca="1" si="178"/>
        <v>-</v>
      </c>
      <c r="BX59" s="16" t="str">
        <f t="shared" ca="1" si="179"/>
        <v>-</v>
      </c>
      <c r="BY59" s="16">
        <f t="shared" ca="1" si="180"/>
        <v>1</v>
      </c>
      <c r="BZ59" s="16" t="str">
        <f t="shared" ca="1" si="181"/>
        <v>-</v>
      </c>
      <c r="CA59" s="16" t="str">
        <f t="shared" ca="1" si="182"/>
        <v>-</v>
      </c>
      <c r="CB59" s="16">
        <f t="shared" ref="CB59:CB68" ca="1" si="195">BY59+COUNTIFS(BZ$58:BZ$69,BZ59,CA$58:CA$69,"&gt;"&amp;CA59)</f>
        <v>1</v>
      </c>
      <c r="CC59" s="16"/>
      <c r="CD59" s="16">
        <f t="shared" ca="1" si="183"/>
        <v>1</v>
      </c>
      <c r="CE59" s="16" t="str">
        <f t="shared" ref="CE59:CE69" ca="1" si="196">IF(BZ59="-","-",COUNTIF(CD$58:CD$69,"&lt;"&amp;CD59))</f>
        <v>-</v>
      </c>
      <c r="CF59" s="16">
        <f t="shared" ref="CF59:CF69" ca="1" si="197">BY59+COUNTIFS(BZ$58:BZ$69,BZ59,CE$58:CE$69,"&lt;"&amp;CE59)</f>
        <v>1</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México</v>
      </c>
    </row>
    <row r="60" spans="1:121" ht="15.95" customHeight="1" thickBot="1">
      <c r="A60" s="16" t="s">
        <v>32</v>
      </c>
      <c r="B60" s="16" t="s">
        <v>447</v>
      </c>
      <c r="C60" s="16">
        <f>COUNTIF(Equipos!$C$2:$C$49,WORLDCUP!B60)</f>
        <v>4</v>
      </c>
      <c r="D60" s="16" t="str">
        <f t="shared" ref="D60:D65" si="199">IF(OR(AC60="",AD60=""),"Pendiente",IF(AC60&gt;AD60,"Local",IF(AC60&lt;AD60,"Visitante","Empate")))</f>
        <v>Empate</v>
      </c>
      <c r="E60" s="16" t="str">
        <f t="shared" ref="E60:E65" ca="1" si="200">IF(D60="Pendiente","-",INDEX($BT$6:$BT$53,MATCH($AA60,$BD$6:$BD$53,0)))</f>
        <v>P.1 (2)</v>
      </c>
      <c r="F60" s="16" t="str">
        <f t="shared" ref="F60:F65" ca="1" si="201">IF(D60="Pendiente","-",INDEX($BT$6:$BT$53,MATCH($AF60,$BD$6:$BD$53,0)))</f>
        <v>P.1 (2)</v>
      </c>
      <c r="G60" s="16"/>
      <c r="H60" s="16" t="str">
        <f t="shared" ref="H60:H65" ca="1" si="202">IF(D60="Pendiente","-",INDEX($BZ$6:$BZ$53,MATCH($AA60,$BD$6:$BD$53,0)))</f>
        <v>P.1 (2)</v>
      </c>
      <c r="I60" s="16" t="str">
        <f t="shared" ref="I60:I65" ca="1" si="203">IF(D60="Pendiente","-",INDEX($BZ$6:$BZ$53,MATCH($AF60,$BD$6:$BD$53,0)))</f>
        <v>P.1 (2)</v>
      </c>
      <c r="J60" s="16"/>
      <c r="K60" s="16" t="str">
        <f t="shared" ref="K60:K65" ca="1" si="204">IF(D60="Pendiente","-",INDEX($CE$6:$CE$53,MATCH($AA60,$BD$6:$BD$53,0)))</f>
        <v>P.1 (2)</v>
      </c>
      <c r="L60" s="16" t="str">
        <f t="shared" ref="L60:L65" ca="1" si="205">IF(D60="Pendiente","-",INDEX($CE$6:$CE$53,MATCH($AF60,$BD$6:$BD$53,0)))</f>
        <v>P.1 (2)</v>
      </c>
      <c r="M60" s="16"/>
      <c r="N60" s="16" t="str">
        <f t="shared" ref="N60:N65" ca="1" si="206">IF(D60="Pendiente","-",INDEX($CH$6:$CH$53,MATCH($AA60,$BD$6:$BD$53,0)))</f>
        <v>P.1 (2)</v>
      </c>
      <c r="O60" s="16" t="str">
        <f t="shared" ref="O60:O65" ca="1" si="207">IF(D60="Pendiente","-",INDEX($CH$6:$CH$53,MATCH($AF60,$BD$6:$BD$53,0)))</f>
        <v>P.1 (2)</v>
      </c>
      <c r="P60" s="16"/>
      <c r="Q60" s="16" t="str">
        <f t="shared" ref="Q60:Q65" ca="1" si="208">IF(D60="Pendiente","-",INDEX($CN$6:$CN$53,MATCH($AA60,$BD$6:$BD$53,0)))</f>
        <v>P.1 (2)</v>
      </c>
      <c r="R60" s="16" t="str">
        <f t="shared" ref="R60:R65" ca="1" si="209">IF(D60="Pendiente","-",INDEX($CN$6:$CN$53,MATCH($AF60,$BD$6:$BD$53,0)))</f>
        <v>P.1 (2)</v>
      </c>
      <c r="S60" s="16"/>
      <c r="T60" s="16" t="str">
        <f t="shared" ref="T60:T65" ca="1" si="210">IF(D60="Pendiente","-",INDEX($CS$6:$CS$53,MATCH($AA60,$BD$6:$BD$53,0)))</f>
        <v>P.1 (2)</v>
      </c>
      <c r="U60" s="16" t="str">
        <f t="shared" ref="U60:U65" ca="1" si="211">IF(D60="Pendiente","-",INDEX($CS$6:$CS$53,MATCH($AF60,$BD$6:$BD$53,0)))</f>
        <v>P.1 (2)</v>
      </c>
      <c r="V60" s="17"/>
      <c r="W60" s="648" t="s">
        <v>447</v>
      </c>
      <c r="X60" s="24">
        <f ca="1">Horarios!C60</f>
        <v>46188.75</v>
      </c>
      <c r="Y60" s="25">
        <f ca="1">Horarios!C60</f>
        <v>46188.75</v>
      </c>
      <c r="Z60" s="26" t="str">
        <f>$Z$4</f>
        <v>J1</v>
      </c>
      <c r="AA60" s="27" t="str">
        <f ca="1">A61</f>
        <v>España</v>
      </c>
      <c r="AB60" s="49" t="str" cm="1">
        <f t="array" aca="1" ref="AB60" ca="1">Ver_flag_local</f>
        <v/>
      </c>
      <c r="AC60" s="50">
        <v>3</v>
      </c>
      <c r="AD60" s="51">
        <v>3</v>
      </c>
      <c r="AE60" s="595" t="str" cm="1">
        <f t="array" aca="1" ref="AE60" ca="1">Ver_flag_visit</f>
        <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¡EMPATE! Puedes seleccionar el orden de los empatados.</v>
      </c>
      <c r="AW60" s="167"/>
      <c r="AX60" s="167"/>
      <c r="AY60" s="154"/>
      <c r="AZ60" s="155"/>
      <c r="BA60" s="176"/>
      <c r="BB60" s="16" t="str">
        <f t="shared" si="187"/>
        <v>3C</v>
      </c>
      <c r="BC60" s="16" t="s">
        <v>2</v>
      </c>
      <c r="BD60" s="16" t="str">
        <f t="shared" ca="1" si="168"/>
        <v>Haití</v>
      </c>
      <c r="BE60" s="16">
        <f t="shared" ca="1" si="188"/>
        <v>2</v>
      </c>
      <c r="BF60" s="16">
        <f t="shared" ca="1" si="189"/>
        <v>3</v>
      </c>
      <c r="BG60" s="16">
        <f t="shared" ca="1" si="169"/>
        <v>0</v>
      </c>
      <c r="BH60" s="16">
        <f t="shared" ca="1" si="170"/>
        <v>2</v>
      </c>
      <c r="BI60" s="16">
        <f t="shared" ca="1" si="171"/>
        <v>1</v>
      </c>
      <c r="BJ60" s="16">
        <f t="shared" ca="1" si="172"/>
        <v>1</v>
      </c>
      <c r="BK60" s="16">
        <f t="shared" ca="1" si="173"/>
        <v>8</v>
      </c>
      <c r="BL60" s="16">
        <f t="shared" ca="1" si="190"/>
        <v>-7</v>
      </c>
      <c r="BM60" s="16">
        <f t="shared" ca="1" si="191"/>
        <v>10</v>
      </c>
      <c r="BN60" s="16">
        <f t="shared" ca="1" si="192"/>
        <v>10</v>
      </c>
      <c r="BO60" s="16" t="str">
        <f t="shared" si="174"/>
        <v>4C</v>
      </c>
      <c r="BP60" s="16"/>
      <c r="BQ60" s="16"/>
      <c r="BR60" s="16">
        <f t="shared" ca="1" si="175"/>
        <v>2</v>
      </c>
      <c r="BS60" s="16">
        <f t="shared" ca="1" si="193"/>
        <v>8</v>
      </c>
      <c r="BT60" s="16" t="str">
        <f t="shared" ca="1" si="194"/>
        <v>Pos. 8 (3)</v>
      </c>
      <c r="BU60" s="16">
        <f t="shared" ca="1" si="176"/>
        <v>-7</v>
      </c>
      <c r="BV60" s="16">
        <f t="shared" ca="1" si="177"/>
        <v>10</v>
      </c>
      <c r="BW60" s="16" t="str">
        <f t="shared" ca="1" si="178"/>
        <v>-</v>
      </c>
      <c r="BX60" s="16" t="str">
        <f t="shared" ca="1" si="179"/>
        <v>-</v>
      </c>
      <c r="BY60" s="16">
        <f t="shared" ca="1" si="180"/>
        <v>10</v>
      </c>
      <c r="BZ60" s="16" t="str">
        <f t="shared" ca="1" si="181"/>
        <v>-</v>
      </c>
      <c r="CA60" s="16" t="str">
        <f t="shared" ca="1" si="182"/>
        <v>-</v>
      </c>
      <c r="CB60" s="16">
        <f t="shared" ca="1" si="195"/>
        <v>10</v>
      </c>
      <c r="CC60" s="16"/>
      <c r="CD60" s="16">
        <f t="shared" ca="1" si="183"/>
        <v>10</v>
      </c>
      <c r="CE60" s="16" t="str">
        <f t="shared" ca="1" si="196"/>
        <v>-</v>
      </c>
      <c r="CF60" s="16">
        <f t="shared" ca="1" si="197"/>
        <v>10</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Australia</v>
      </c>
    </row>
    <row r="61" spans="1:121" ht="15.95" customHeight="1">
      <c r="A61" s="16" t="str">
        <f ca="1">+Equipos!B30</f>
        <v>España</v>
      </c>
      <c r="B61" s="16"/>
      <c r="C61" s="16"/>
      <c r="D61" s="16" t="str">
        <f t="shared" si="199"/>
        <v>Empate</v>
      </c>
      <c r="E61" s="16" t="str">
        <f t="shared" ca="1" si="200"/>
        <v>P.3 (2)</v>
      </c>
      <c r="F61" s="16" t="str">
        <f t="shared" ca="1" si="201"/>
        <v>P.3 (2)</v>
      </c>
      <c r="G61" s="16"/>
      <c r="H61" s="16" t="str">
        <f t="shared" ca="1" si="202"/>
        <v>P.3 (2)</v>
      </c>
      <c r="I61" s="16" t="str">
        <f t="shared" ca="1" si="203"/>
        <v>P.3 (2)</v>
      </c>
      <c r="J61" s="16"/>
      <c r="K61" s="16" t="str">
        <f t="shared" ca="1" si="204"/>
        <v>P.3 (2)</v>
      </c>
      <c r="L61" s="16" t="str">
        <f t="shared" ca="1" si="205"/>
        <v>P.3 (2)</v>
      </c>
      <c r="M61" s="16"/>
      <c r="N61" s="16" t="str">
        <f t="shared" ca="1" si="206"/>
        <v>P.3 (2)</v>
      </c>
      <c r="O61" s="16" t="str">
        <f t="shared" ca="1" si="207"/>
        <v>P.3 (2)</v>
      </c>
      <c r="P61" s="16"/>
      <c r="Q61" s="16" t="str">
        <f t="shared" ca="1" si="208"/>
        <v>P.3 (2)</v>
      </c>
      <c r="R61" s="16" t="str">
        <f t="shared" ca="1" si="209"/>
        <v>P.3 (2)</v>
      </c>
      <c r="S61" s="16"/>
      <c r="T61" s="16" t="str">
        <f t="shared" ca="1" si="210"/>
        <v>P.3 (2)</v>
      </c>
      <c r="U61" s="16" t="str">
        <f t="shared" ca="1" si="211"/>
        <v>P.3 (2)</v>
      </c>
      <c r="V61" s="17"/>
      <c r="W61" s="648"/>
      <c r="X61" s="24">
        <f ca="1">Horarios!C61</f>
        <v>46189</v>
      </c>
      <c r="Y61" s="25">
        <f ca="1">Horarios!C61</f>
        <v>46189</v>
      </c>
      <c r="Z61" s="26" t="str">
        <f>$Z$4</f>
        <v>J1</v>
      </c>
      <c r="AA61" s="27" t="str">
        <f ca="1">A63</f>
        <v>Arabia Saudita</v>
      </c>
      <c r="AB61" s="49" t="str" cm="1">
        <f t="array" aca="1" ref="AB61" ca="1">Ver_flag_local</f>
        <v/>
      </c>
      <c r="AC61" s="50">
        <v>3</v>
      </c>
      <c r="AD61" s="51">
        <v>3</v>
      </c>
      <c r="AE61" s="595" t="str" cm="1">
        <f t="array" aca="1" ref="AE61" ca="1">Ver_flag_visit</f>
        <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4</v>
      </c>
      <c r="AV61" s="192"/>
      <c r="AW61" s="167"/>
      <c r="AX61" s="167"/>
      <c r="AY61" s="207" t="str">
        <f>AL61</f>
        <v>Selección</v>
      </c>
      <c r="AZ61" s="208" t="str">
        <f>+Idiomas!$D$67</f>
        <v>Puntos penalizados</v>
      </c>
      <c r="BA61" s="176"/>
      <c r="BB61" s="16" t="str">
        <f t="shared" si="187"/>
        <v>3D</v>
      </c>
      <c r="BC61" s="16" t="s">
        <v>74</v>
      </c>
      <c r="BD61" s="16" t="str">
        <f t="shared" ca="1" si="168"/>
        <v>Australia</v>
      </c>
      <c r="BE61" s="16">
        <f t="shared" ca="1" si="188"/>
        <v>3</v>
      </c>
      <c r="BF61" s="16">
        <f t="shared" ca="1" si="189"/>
        <v>3</v>
      </c>
      <c r="BG61" s="16">
        <f t="shared" ca="1" si="169"/>
        <v>1</v>
      </c>
      <c r="BH61" s="16">
        <f t="shared" ca="1" si="170"/>
        <v>0</v>
      </c>
      <c r="BI61" s="16">
        <f t="shared" ca="1" si="171"/>
        <v>2</v>
      </c>
      <c r="BJ61" s="16">
        <f t="shared" ca="1" si="172"/>
        <v>8</v>
      </c>
      <c r="BK61" s="16">
        <f t="shared" ca="1" si="173"/>
        <v>7</v>
      </c>
      <c r="BL61" s="16">
        <f t="shared" ca="1" si="190"/>
        <v>1</v>
      </c>
      <c r="BM61" s="16">
        <f t="shared" ca="1" si="191"/>
        <v>3</v>
      </c>
      <c r="BN61" s="16">
        <f t="shared" ca="1" si="192"/>
        <v>3</v>
      </c>
      <c r="BO61" s="16" t="str">
        <f t="shared" si="174"/>
        <v>4D</v>
      </c>
      <c r="BP61" s="16"/>
      <c r="BQ61" s="16"/>
      <c r="BR61" s="16">
        <f t="shared" ca="1" si="175"/>
        <v>3</v>
      </c>
      <c r="BS61" s="16">
        <f t="shared" ca="1" si="193"/>
        <v>3</v>
      </c>
      <c r="BT61" s="16" t="str">
        <f t="shared" ca="1" si="194"/>
        <v>Pos. 3 (5)</v>
      </c>
      <c r="BU61" s="16">
        <f t="shared" ca="1" si="176"/>
        <v>1</v>
      </c>
      <c r="BV61" s="16">
        <f t="shared" ca="1" si="177"/>
        <v>3</v>
      </c>
      <c r="BW61" s="16" t="str">
        <f t="shared" ca="1" si="178"/>
        <v>Pos. 3 (2)</v>
      </c>
      <c r="BX61" s="16">
        <f t="shared" ca="1" si="179"/>
        <v>8</v>
      </c>
      <c r="BY61" s="16">
        <f t="shared" ca="1" si="180"/>
        <v>3</v>
      </c>
      <c r="BZ61" s="16" t="str">
        <f t="shared" ca="1" si="181"/>
        <v>-</v>
      </c>
      <c r="CA61" s="16" t="str">
        <f t="shared" ca="1" si="182"/>
        <v>-</v>
      </c>
      <c r="CB61" s="16">
        <f t="shared" ca="1" si="195"/>
        <v>3</v>
      </c>
      <c r="CC61" s="16"/>
      <c r="CD61" s="16">
        <f t="shared" ca="1" si="183"/>
        <v>3</v>
      </c>
      <c r="CE61" s="16" t="str">
        <f t="shared" ca="1" si="196"/>
        <v>-</v>
      </c>
      <c r="CF61" s="16">
        <f t="shared" ca="1" si="197"/>
        <v>3</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Ghana</v>
      </c>
    </row>
    <row r="62" spans="1:121" ht="15.95" customHeight="1">
      <c r="A62" s="16" t="str">
        <f ca="1">+Equipos!B31</f>
        <v>Cabo Verde</v>
      </c>
      <c r="B62" s="16"/>
      <c r="C62" s="16"/>
      <c r="D62" s="16" t="str">
        <f t="shared" si="199"/>
        <v>Local</v>
      </c>
      <c r="E62" s="16" t="str">
        <f t="shared" ca="1" si="200"/>
        <v>P.1 (2)</v>
      </c>
      <c r="F62" s="16" t="str">
        <f t="shared" ca="1" si="201"/>
        <v>P.3 (2)</v>
      </c>
      <c r="G62" s="16"/>
      <c r="H62" s="16" t="str">
        <f t="shared" ca="1" si="202"/>
        <v>P.1 (2)</v>
      </c>
      <c r="I62" s="16" t="str">
        <f t="shared" ca="1" si="203"/>
        <v>P.3 (2)</v>
      </c>
      <c r="J62" s="16"/>
      <c r="K62" s="16" t="str">
        <f t="shared" ca="1" si="204"/>
        <v>P.1 (2)</v>
      </c>
      <c r="L62" s="16" t="str">
        <f t="shared" ca="1" si="205"/>
        <v>P.3 (2)</v>
      </c>
      <c r="M62" s="16"/>
      <c r="N62" s="16" t="str">
        <f t="shared" ca="1" si="206"/>
        <v>P.1 (2)</v>
      </c>
      <c r="O62" s="16" t="str">
        <f t="shared" ca="1" si="207"/>
        <v>P.3 (2)</v>
      </c>
      <c r="P62" s="16"/>
      <c r="Q62" s="16" t="str">
        <f t="shared" ca="1" si="208"/>
        <v>P.1 (2)</v>
      </c>
      <c r="R62" s="16" t="str">
        <f t="shared" ca="1" si="209"/>
        <v>P.3 (2)</v>
      </c>
      <c r="S62" s="16"/>
      <c r="T62" s="16" t="str">
        <f t="shared" ca="1" si="210"/>
        <v>P.1 (2)</v>
      </c>
      <c r="U62" s="16" t="str">
        <f t="shared" ca="1" si="211"/>
        <v>P.3 (2)</v>
      </c>
      <c r="V62" s="17"/>
      <c r="W62" s="648"/>
      <c r="X62" s="24">
        <f ca="1">Horarios!C62</f>
        <v>46194.75</v>
      </c>
      <c r="Y62" s="25">
        <f ca="1">Horarios!C62</f>
        <v>46194.75</v>
      </c>
      <c r="Z62" s="26" t="str">
        <f>$Z$6</f>
        <v>J2</v>
      </c>
      <c r="AA62" s="27" t="str">
        <f ca="1">A61</f>
        <v>España</v>
      </c>
      <c r="AB62" s="49" t="str" cm="1">
        <f t="array" aca="1" ref="AB62" ca="1">Ver_flag_local</f>
        <v/>
      </c>
      <c r="AC62" s="50">
        <v>2</v>
      </c>
      <c r="AD62" s="51">
        <v>1</v>
      </c>
      <c r="AE62" s="595" t="str" cm="1">
        <f t="array" aca="1" ref="AE62" ca="1">Ver_flag_visit</f>
        <v/>
      </c>
      <c r="AF62" s="32" t="str">
        <f ca="1">A63</f>
        <v>Arabia Saudita</v>
      </c>
      <c r="AG62" s="323">
        <f t="shared" si="212"/>
        <v>1</v>
      </c>
      <c r="AH62" s="195">
        <v>38</v>
      </c>
      <c r="AI62" s="181" t="str">
        <f>AJ62&amp;$B$60</f>
        <v>1H</v>
      </c>
      <c r="AJ62" s="40">
        <v>1</v>
      </c>
      <c r="AK62" s="601" t="str" cm="1">
        <f t="array" aca="1" ref="AK62" ca="1">Ver_flag_visit</f>
        <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8</v>
      </c>
      <c r="AS62" s="36">
        <f t="shared" ca="1" si="215"/>
        <v>5</v>
      </c>
      <c r="AT62" s="41">
        <f t="shared" ca="1" si="215"/>
        <v>3</v>
      </c>
      <c r="AU62" s="330">
        <f ca="1">INDEX($DL$6:$DL$53,MATCH(AI62,$DP$6:$DP$53,0))</f>
        <v>2</v>
      </c>
      <c r="AV62" s="182" t="str">
        <f ca="1">INDEX($BD$6:$BD$53,MATCH(AI62,$BM$6:$BM$53,0))</f>
        <v>España</v>
      </c>
      <c r="AW62" s="210">
        <v>1</v>
      </c>
      <c r="AX62" s="171"/>
      <c r="AY62" s="201" t="str">
        <f ca="1">+A61</f>
        <v>España</v>
      </c>
      <c r="AZ62" s="202"/>
      <c r="BA62" s="17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8</v>
      </c>
      <c r="BK62" s="16">
        <f t="shared" ca="1" si="173"/>
        <v>10</v>
      </c>
      <c r="BL62" s="16">
        <f t="shared" ca="1" si="190"/>
        <v>-2</v>
      </c>
      <c r="BM62" s="16">
        <f t="shared" ca="1" si="191"/>
        <v>6</v>
      </c>
      <c r="BN62" s="16">
        <f t="shared" ca="1" si="192"/>
        <v>6</v>
      </c>
      <c r="BO62" s="16" t="str">
        <f t="shared" si="174"/>
        <v>4E</v>
      </c>
      <c r="BP62" s="16"/>
      <c r="BQ62" s="16"/>
      <c r="BR62" s="16">
        <f t="shared" ca="1" si="175"/>
        <v>3</v>
      </c>
      <c r="BS62" s="16">
        <f t="shared" ca="1" si="193"/>
        <v>3</v>
      </c>
      <c r="BT62" s="16" t="str">
        <f t="shared" ca="1" si="194"/>
        <v>Pos. 3 (5)</v>
      </c>
      <c r="BU62" s="16">
        <f t="shared" ca="1" si="176"/>
        <v>-2</v>
      </c>
      <c r="BV62" s="16">
        <f t="shared" ca="1" si="177"/>
        <v>6</v>
      </c>
      <c r="BW62" s="16" t="str">
        <f t="shared" ca="1" si="178"/>
        <v>-</v>
      </c>
      <c r="BX62" s="16" t="str">
        <f t="shared" ca="1" si="179"/>
        <v>-</v>
      </c>
      <c r="BY62" s="16">
        <f t="shared" ca="1" si="180"/>
        <v>6</v>
      </c>
      <c r="BZ62" s="16" t="str">
        <f t="shared" ca="1" si="181"/>
        <v>-</v>
      </c>
      <c r="CA62" s="16" t="str">
        <f t="shared" ca="1" si="182"/>
        <v>-</v>
      </c>
      <c r="CB62" s="16">
        <f t="shared" ca="1" si="195"/>
        <v>6</v>
      </c>
      <c r="CC62" s="16"/>
      <c r="CD62" s="16">
        <f t="shared" ca="1" si="183"/>
        <v>6</v>
      </c>
      <c r="CE62" s="16" t="str">
        <f t="shared" ca="1" si="196"/>
        <v>-</v>
      </c>
      <c r="CF62" s="16">
        <f t="shared" ca="1" si="197"/>
        <v>6</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RD Congo</v>
      </c>
    </row>
    <row r="63" spans="1:121" ht="15.95" customHeight="1">
      <c r="A63" s="16" t="str">
        <f ca="1">+Equipos!B32</f>
        <v>Arabia Saudita</v>
      </c>
      <c r="B63" s="16"/>
      <c r="C63" s="16"/>
      <c r="D63" s="16" t="str">
        <f t="shared" si="199"/>
        <v>Visitante</v>
      </c>
      <c r="E63" s="16" t="str">
        <f t="shared" ca="1" si="200"/>
        <v>P.3 (2)</v>
      </c>
      <c r="F63" s="16" t="str">
        <f t="shared" ca="1" si="201"/>
        <v>P.1 (2)</v>
      </c>
      <c r="G63" s="16"/>
      <c r="H63" s="16" t="str">
        <f t="shared" ca="1" si="202"/>
        <v>P.3 (2)</v>
      </c>
      <c r="I63" s="16" t="str">
        <f t="shared" ca="1" si="203"/>
        <v>P.1 (2)</v>
      </c>
      <c r="J63" s="16"/>
      <c r="K63" s="16" t="str">
        <f t="shared" ca="1" si="204"/>
        <v>P.3 (2)</v>
      </c>
      <c r="L63" s="16" t="str">
        <f t="shared" ca="1" si="205"/>
        <v>P.1 (2)</v>
      </c>
      <c r="M63" s="16"/>
      <c r="N63" s="16" t="str">
        <f t="shared" ca="1" si="206"/>
        <v>P.3 (2)</v>
      </c>
      <c r="O63" s="16" t="str">
        <f t="shared" ca="1" si="207"/>
        <v>P.1 (2)</v>
      </c>
      <c r="P63" s="16"/>
      <c r="Q63" s="16" t="str">
        <f t="shared" ca="1" si="208"/>
        <v>P.3 (2)</v>
      </c>
      <c r="R63" s="16" t="str">
        <f t="shared" ca="1" si="209"/>
        <v>P.1 (2)</v>
      </c>
      <c r="S63" s="16"/>
      <c r="T63" s="16" t="str">
        <f t="shared" ca="1" si="210"/>
        <v>P.3 (2)</v>
      </c>
      <c r="U63" s="16" t="str">
        <f t="shared" ca="1" si="211"/>
        <v>P.1 (2)</v>
      </c>
      <c r="V63" s="17"/>
      <c r="W63" s="648"/>
      <c r="X63" s="24">
        <f ca="1">Horarios!C63</f>
        <v>46195</v>
      </c>
      <c r="Y63" s="25">
        <f ca="1">Horarios!C63</f>
        <v>46195</v>
      </c>
      <c r="Z63" s="26" t="str">
        <f>$Z$6</f>
        <v>J2</v>
      </c>
      <c r="AA63" s="27" t="str">
        <f ca="1">A64</f>
        <v>Uruguay</v>
      </c>
      <c r="AB63" s="49" t="str" cm="1">
        <f t="array" aca="1" ref="AB63" ca="1">Ver_flag_local</f>
        <v/>
      </c>
      <c r="AC63" s="50">
        <v>1</v>
      </c>
      <c r="AD63" s="51">
        <v>2</v>
      </c>
      <c r="AE63" s="595" t="str" cm="1">
        <f t="array" aca="1" ref="AE63" ca="1">Ver_flag_visit</f>
        <v/>
      </c>
      <c r="AF63" s="32" t="str">
        <f ca="1">A62</f>
        <v>Cabo Verde</v>
      </c>
      <c r="AG63" s="323">
        <f t="shared" si="212"/>
        <v>1</v>
      </c>
      <c r="AH63" s="195">
        <v>37</v>
      </c>
      <c r="AI63" s="181" t="str">
        <f t="shared" ref="AI63:AI65" si="216">AJ63&amp;$B$60</f>
        <v>2H</v>
      </c>
      <c r="AJ63" s="42">
        <v>2</v>
      </c>
      <c r="AK63" s="602" t="str" cm="1">
        <f t="array" aca="1" ref="AK63" ca="1">Ver_flag_visit</f>
        <v/>
      </c>
      <c r="AL63" s="37" t="str">
        <f ca="1">IFERROR(INDEX($BD$6:$BD$53,MATCH(AI63,$BN$6:$BN$53,0)),"")</f>
        <v>Cabo Verde</v>
      </c>
      <c r="AM63" s="38">
        <f t="shared" ca="1" si="215"/>
        <v>7</v>
      </c>
      <c r="AN63" s="39">
        <f t="shared" ca="1" si="215"/>
        <v>3</v>
      </c>
      <c r="AO63" s="39">
        <f t="shared" ca="1" si="215"/>
        <v>2</v>
      </c>
      <c r="AP63" s="39">
        <f t="shared" ca="1" si="215"/>
        <v>1</v>
      </c>
      <c r="AQ63" s="39">
        <f t="shared" ca="1" si="215"/>
        <v>0</v>
      </c>
      <c r="AR63" s="39">
        <f t="shared" ca="1" si="215"/>
        <v>8</v>
      </c>
      <c r="AS63" s="39">
        <f t="shared" ca="1" si="215"/>
        <v>5</v>
      </c>
      <c r="AT63" s="43">
        <f t="shared" ca="1" si="215"/>
        <v>3</v>
      </c>
      <c r="AU63" s="330">
        <f ca="1">INDEX($DL$6:$DL$53,MATCH(AI63,$DP$6:$DP$53,0))</f>
        <v>2</v>
      </c>
      <c r="AV63" s="182" t="str">
        <f ca="1">INDEX($BD$6:$BD$53,MATCH(AI63,$BM$6:$BM$53,0))</f>
        <v>Cabo Verde</v>
      </c>
      <c r="AW63" s="210">
        <v>2</v>
      </c>
      <c r="AX63" s="171"/>
      <c r="AY63" s="203" t="str">
        <f ca="1">+A62</f>
        <v>Cabo Verde</v>
      </c>
      <c r="AZ63" s="204"/>
      <c r="BA63" s="176"/>
      <c r="BB63" s="16" t="str">
        <f t="shared" si="187"/>
        <v>3F</v>
      </c>
      <c r="BC63" s="16" t="s">
        <v>4</v>
      </c>
      <c r="BD63" s="16" t="str">
        <f t="shared" ca="1" si="168"/>
        <v>Túnez</v>
      </c>
      <c r="BE63" s="16">
        <f t="shared" ca="1" si="188"/>
        <v>3</v>
      </c>
      <c r="BF63" s="16">
        <f t="shared" ca="1" si="189"/>
        <v>3</v>
      </c>
      <c r="BG63" s="16">
        <f t="shared" ca="1" si="169"/>
        <v>1</v>
      </c>
      <c r="BH63" s="16">
        <f t="shared" ca="1" si="170"/>
        <v>0</v>
      </c>
      <c r="BI63" s="16">
        <f t="shared" ca="1" si="171"/>
        <v>2</v>
      </c>
      <c r="BJ63" s="16">
        <f t="shared" ca="1" si="172"/>
        <v>6</v>
      </c>
      <c r="BK63" s="16">
        <f t="shared" ca="1" si="173"/>
        <v>9</v>
      </c>
      <c r="BL63" s="16">
        <f t="shared" ca="1" si="190"/>
        <v>-3</v>
      </c>
      <c r="BM63" s="16">
        <f t="shared" ca="1" si="191"/>
        <v>7</v>
      </c>
      <c r="BN63" s="16">
        <f t="shared" ca="1" si="192"/>
        <v>7</v>
      </c>
      <c r="BO63" s="16" t="str">
        <f t="shared" si="174"/>
        <v>4F</v>
      </c>
      <c r="BP63" s="16"/>
      <c r="BQ63" s="16"/>
      <c r="BR63" s="16">
        <f t="shared" ca="1" si="175"/>
        <v>3</v>
      </c>
      <c r="BS63" s="16">
        <f t="shared" ca="1" si="193"/>
        <v>3</v>
      </c>
      <c r="BT63" s="16" t="str">
        <f t="shared" ca="1" si="194"/>
        <v>Pos. 3 (5)</v>
      </c>
      <c r="BU63" s="16">
        <f t="shared" ca="1" si="176"/>
        <v>-3</v>
      </c>
      <c r="BV63" s="16">
        <f t="shared" ca="1" si="177"/>
        <v>7</v>
      </c>
      <c r="BW63" s="16" t="str">
        <f t="shared" ca="1" si="178"/>
        <v>-</v>
      </c>
      <c r="BX63" s="16" t="str">
        <f t="shared" ca="1" si="179"/>
        <v>-</v>
      </c>
      <c r="BY63" s="16">
        <f t="shared" ca="1" si="180"/>
        <v>7</v>
      </c>
      <c r="BZ63" s="16" t="str">
        <f t="shared" ca="1" si="181"/>
        <v>-</v>
      </c>
      <c r="CA63" s="16" t="str">
        <f t="shared" ca="1" si="182"/>
        <v>-</v>
      </c>
      <c r="CB63" s="16">
        <f t="shared" ca="1" si="195"/>
        <v>7</v>
      </c>
      <c r="CC63" s="16"/>
      <c r="CD63" s="16">
        <f t="shared" ca="1" si="183"/>
        <v>7</v>
      </c>
      <c r="CE63" s="16" t="str">
        <f t="shared" ca="1" si="196"/>
        <v>-</v>
      </c>
      <c r="CF63" s="16">
        <f t="shared" ca="1" si="197"/>
        <v>7</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Costa de Marfil</v>
      </c>
    </row>
    <row r="64" spans="1:121" ht="15.95" customHeight="1">
      <c r="A64" s="16" t="str">
        <f ca="1">+Equipos!B33</f>
        <v>Uruguay</v>
      </c>
      <c r="B64" s="16"/>
      <c r="C64" s="16"/>
      <c r="D64" s="16" t="str">
        <f t="shared" si="199"/>
        <v>Local</v>
      </c>
      <c r="E64" s="16" t="str">
        <f t="shared" ca="1" si="200"/>
        <v>P.1 (2)</v>
      </c>
      <c r="F64" s="16" t="str">
        <f t="shared" ca="1" si="201"/>
        <v>P.3 (2)</v>
      </c>
      <c r="G64" s="16"/>
      <c r="H64" s="16" t="str">
        <f t="shared" ca="1" si="202"/>
        <v>P.1 (2)</v>
      </c>
      <c r="I64" s="16" t="str">
        <f t="shared" ca="1" si="203"/>
        <v>P.3 (2)</v>
      </c>
      <c r="J64" s="16"/>
      <c r="K64" s="16" t="str">
        <f t="shared" ca="1" si="204"/>
        <v>P.1 (2)</v>
      </c>
      <c r="L64" s="16" t="str">
        <f t="shared" ca="1" si="205"/>
        <v>P.3 (2)</v>
      </c>
      <c r="M64" s="16"/>
      <c r="N64" s="16" t="str">
        <f t="shared" ca="1" si="206"/>
        <v>P.1 (2)</v>
      </c>
      <c r="O64" s="16" t="str">
        <f t="shared" ca="1" si="207"/>
        <v>P.3 (2)</v>
      </c>
      <c r="P64" s="16"/>
      <c r="Q64" s="16" t="str">
        <f t="shared" ca="1" si="208"/>
        <v>P.1 (2)</v>
      </c>
      <c r="R64" s="16" t="str">
        <f t="shared" ca="1" si="209"/>
        <v>P.3 (2)</v>
      </c>
      <c r="S64" s="16"/>
      <c r="T64" s="16" t="str">
        <f t="shared" ca="1" si="210"/>
        <v>P.1 (2)</v>
      </c>
      <c r="U64" s="16" t="str">
        <f t="shared" ca="1" si="211"/>
        <v>P.3 (2)</v>
      </c>
      <c r="V64" s="17"/>
      <c r="W64" s="648"/>
      <c r="X64" s="24">
        <f ca="1">Horarios!C64</f>
        <v>46200.083333333336</v>
      </c>
      <c r="Y64" s="25">
        <f ca="1">Horarios!C64</f>
        <v>46200.083333333336</v>
      </c>
      <c r="Z64" s="26" t="str">
        <f>$Z$8</f>
        <v>J3</v>
      </c>
      <c r="AA64" s="27" t="str">
        <f ca="1">A62</f>
        <v>Cabo Verde</v>
      </c>
      <c r="AB64" s="49" t="str" cm="1">
        <f t="array" aca="1" ref="AB64" ca="1">Ver_flag_local</f>
        <v/>
      </c>
      <c r="AC64" s="50">
        <v>3</v>
      </c>
      <c r="AD64" s="51">
        <v>1</v>
      </c>
      <c r="AE64" s="595" t="str" cm="1">
        <f t="array" aca="1" ref="AE64" ca="1">Ver_flag_visit</f>
        <v/>
      </c>
      <c r="AF64" s="32" t="str">
        <f ca="1">A63</f>
        <v>Arabia Saudita</v>
      </c>
      <c r="AG64" s="323">
        <f t="shared" si="212"/>
        <v>1</v>
      </c>
      <c r="AH64" s="195">
        <v>65</v>
      </c>
      <c r="AI64" s="181" t="str">
        <f t="shared" si="216"/>
        <v>3H</v>
      </c>
      <c r="AJ64" s="42">
        <v>3</v>
      </c>
      <c r="AK64" s="602" t="str" cm="1">
        <f t="array" aca="1" ref="AK64" ca="1">Ver_flag_visit</f>
        <v/>
      </c>
      <c r="AL64" s="37" t="str">
        <f ca="1">IFERROR(INDEX($BD$6:$BD$53,MATCH(AI64,$BN$6:$BN$53,0)),"")</f>
        <v>Arabia Saudita</v>
      </c>
      <c r="AM64" s="38">
        <f t="shared" ca="1" si="215"/>
        <v>1</v>
      </c>
      <c r="AN64" s="39">
        <f t="shared" ca="1" si="215"/>
        <v>3</v>
      </c>
      <c r="AO64" s="39">
        <f t="shared" ca="1" si="215"/>
        <v>0</v>
      </c>
      <c r="AP64" s="39">
        <f t="shared" ca="1" si="215"/>
        <v>1</v>
      </c>
      <c r="AQ64" s="39">
        <f t="shared" ca="1" si="215"/>
        <v>2</v>
      </c>
      <c r="AR64" s="39">
        <f t="shared" ca="1" si="215"/>
        <v>5</v>
      </c>
      <c r="AS64" s="39">
        <f t="shared" ca="1" si="215"/>
        <v>8</v>
      </c>
      <c r="AT64" s="43">
        <f t="shared" ca="1" si="215"/>
        <v>-3</v>
      </c>
      <c r="AU64" s="330">
        <f ca="1">INDEX($DL$6:$DL$53,MATCH(AI64,$DP$6:$DP$53,0))</f>
        <v>2</v>
      </c>
      <c r="AV64" s="182" t="str">
        <f ca="1">INDEX($BD$6:$BD$53,MATCH(AI64,$BM$6:$BM$53,0))</f>
        <v>Arabia Saudita</v>
      </c>
      <c r="AW64" s="210">
        <v>3</v>
      </c>
      <c r="AX64" s="171"/>
      <c r="AY64" s="201" t="str">
        <f ca="1">+A63</f>
        <v>Arabia Saudita</v>
      </c>
      <c r="AZ64" s="202"/>
      <c r="BA64" s="176"/>
      <c r="BB64" s="16" t="str">
        <f t="shared" si="187"/>
        <v>3G</v>
      </c>
      <c r="BC64" s="16" t="s">
        <v>6</v>
      </c>
      <c r="BD64" s="16" t="str">
        <f t="shared" ca="1" si="168"/>
        <v>Irán</v>
      </c>
      <c r="BE64" s="16">
        <f t="shared" ca="1" si="188"/>
        <v>1</v>
      </c>
      <c r="BF64" s="16">
        <f t="shared" ca="1" si="189"/>
        <v>3</v>
      </c>
      <c r="BG64" s="16">
        <f t="shared" ca="1" si="169"/>
        <v>0</v>
      </c>
      <c r="BH64" s="16">
        <f t="shared" ca="1" si="170"/>
        <v>1</v>
      </c>
      <c r="BI64" s="16">
        <f t="shared" ca="1" si="171"/>
        <v>2</v>
      </c>
      <c r="BJ64" s="16">
        <f t="shared" ca="1" si="172"/>
        <v>4</v>
      </c>
      <c r="BK64" s="16">
        <f t="shared" ca="1" si="173"/>
        <v>8</v>
      </c>
      <c r="BL64" s="16">
        <f t="shared" ca="1" si="190"/>
        <v>-4</v>
      </c>
      <c r="BM64" s="16">
        <f t="shared" ca="1" si="191"/>
        <v>12</v>
      </c>
      <c r="BN64" s="16">
        <f t="shared" ca="1" si="192"/>
        <v>12</v>
      </c>
      <c r="BO64" s="16" t="str">
        <f t="shared" si="174"/>
        <v>4G</v>
      </c>
      <c r="BP64" s="16"/>
      <c r="BQ64" s="16"/>
      <c r="BR64" s="16">
        <f t="shared" ca="1" si="175"/>
        <v>1</v>
      </c>
      <c r="BS64" s="16">
        <f t="shared" ca="1" si="193"/>
        <v>11</v>
      </c>
      <c r="BT64" s="16" t="str">
        <f t="shared" ca="1" si="194"/>
        <v>Pos. 11 (2)</v>
      </c>
      <c r="BU64" s="16">
        <f t="shared" ca="1" si="176"/>
        <v>-4</v>
      </c>
      <c r="BV64" s="16">
        <f t="shared" ca="1" si="177"/>
        <v>12</v>
      </c>
      <c r="BW64" s="16" t="str">
        <f t="shared" ca="1" si="178"/>
        <v>-</v>
      </c>
      <c r="BX64" s="16" t="str">
        <f t="shared" ca="1" si="179"/>
        <v>-</v>
      </c>
      <c r="BY64" s="16">
        <f t="shared" ca="1" si="180"/>
        <v>12</v>
      </c>
      <c r="BZ64" s="16" t="str">
        <f t="shared" ca="1" si="181"/>
        <v>-</v>
      </c>
      <c r="CA64" s="16" t="str">
        <f t="shared" ca="1" si="182"/>
        <v>-</v>
      </c>
      <c r="CB64" s="16">
        <f t="shared" ca="1" si="195"/>
        <v>12</v>
      </c>
      <c r="CC64" s="16"/>
      <c r="CD64" s="16">
        <f t="shared" ca="1" si="183"/>
        <v>12</v>
      </c>
      <c r="CE64" s="16" t="str">
        <f t="shared" ca="1" si="196"/>
        <v>-</v>
      </c>
      <c r="CF64" s="16">
        <f t="shared" ca="1" si="197"/>
        <v>12</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Túnez</v>
      </c>
    </row>
    <row r="65" spans="1:121" ht="15.95" customHeight="1" thickBot="1">
      <c r="A65" s="16"/>
      <c r="B65" s="16"/>
      <c r="C65" s="16"/>
      <c r="D65" s="16" t="str">
        <f t="shared" si="199"/>
        <v>Visitante</v>
      </c>
      <c r="E65" s="16" t="str">
        <f t="shared" ca="1" si="200"/>
        <v>P.3 (2)</v>
      </c>
      <c r="F65" s="16" t="str">
        <f t="shared" ca="1" si="201"/>
        <v>P.1 (2)</v>
      </c>
      <c r="G65" s="16"/>
      <c r="H65" s="16" t="str">
        <f t="shared" ca="1" si="202"/>
        <v>P.3 (2)</v>
      </c>
      <c r="I65" s="16" t="str">
        <f t="shared" ca="1" si="203"/>
        <v>P.1 (2)</v>
      </c>
      <c r="J65" s="16"/>
      <c r="K65" s="16" t="str">
        <f t="shared" ca="1" si="204"/>
        <v>P.3 (2)</v>
      </c>
      <c r="L65" s="16" t="str">
        <f t="shared" ca="1" si="205"/>
        <v>P.1 (2)</v>
      </c>
      <c r="M65" s="16"/>
      <c r="N65" s="16" t="str">
        <f t="shared" ca="1" si="206"/>
        <v>P.3 (2)</v>
      </c>
      <c r="O65" s="16" t="str">
        <f t="shared" ca="1" si="207"/>
        <v>P.1 (2)</v>
      </c>
      <c r="P65" s="16"/>
      <c r="Q65" s="16" t="str">
        <f t="shared" ca="1" si="208"/>
        <v>P.3 (2)</v>
      </c>
      <c r="R65" s="16" t="str">
        <f t="shared" ca="1" si="209"/>
        <v>P.1 (2)</v>
      </c>
      <c r="S65" s="16"/>
      <c r="T65" s="16" t="str">
        <f t="shared" ca="1" si="210"/>
        <v>P.3 (2)</v>
      </c>
      <c r="U65" s="16" t="str">
        <f t="shared" ca="1" si="211"/>
        <v>P.1 (2)</v>
      </c>
      <c r="V65" s="17"/>
      <c r="W65" s="649"/>
      <c r="X65" s="28">
        <f ca="1">Horarios!C65</f>
        <v>46200.083333333336</v>
      </c>
      <c r="Y65" s="29">
        <f ca="1">Horarios!C65</f>
        <v>46200.083333333336</v>
      </c>
      <c r="Z65" s="30" t="str">
        <f>$Z$8</f>
        <v>J3</v>
      </c>
      <c r="AA65" s="31" t="str">
        <f ca="1">A64</f>
        <v>Uruguay</v>
      </c>
      <c r="AB65" s="52" t="str" cm="1">
        <f t="array" aca="1" ref="AB65" ca="1">Ver_flag_local</f>
        <v/>
      </c>
      <c r="AC65" s="53">
        <v>1</v>
      </c>
      <c r="AD65" s="54">
        <v>3</v>
      </c>
      <c r="AE65" s="596" t="str" cm="1">
        <f t="array" aca="1" ref="AE65" ca="1">Ver_flag_visit</f>
        <v/>
      </c>
      <c r="AF65" s="33" t="str">
        <f ca="1">A61</f>
        <v>España</v>
      </c>
      <c r="AG65" s="323">
        <f t="shared" si="212"/>
        <v>1</v>
      </c>
      <c r="AH65" s="195">
        <v>66</v>
      </c>
      <c r="AI65" s="181" t="str">
        <f t="shared" si="216"/>
        <v>4H</v>
      </c>
      <c r="AJ65" s="44">
        <v>4</v>
      </c>
      <c r="AK65" s="604" t="str" cm="1">
        <f t="array" aca="1" ref="AK65" ca="1">Ver_flag_visit</f>
        <v/>
      </c>
      <c r="AL65" s="45" t="str">
        <f ca="1">IFERROR(INDEX($BD$6:$BD$53,MATCH(AI65,$BN$6:$BN$53,0)),"")</f>
        <v>Uruguay</v>
      </c>
      <c r="AM65" s="46">
        <f t="shared" ca="1" si="215"/>
        <v>1</v>
      </c>
      <c r="AN65" s="47">
        <f t="shared" ca="1" si="215"/>
        <v>3</v>
      </c>
      <c r="AO65" s="47">
        <f t="shared" ca="1" si="215"/>
        <v>0</v>
      </c>
      <c r="AP65" s="47">
        <f t="shared" ca="1" si="215"/>
        <v>1</v>
      </c>
      <c r="AQ65" s="47">
        <f t="shared" ca="1" si="215"/>
        <v>2</v>
      </c>
      <c r="AR65" s="47">
        <f t="shared" ca="1" si="215"/>
        <v>5</v>
      </c>
      <c r="AS65" s="47">
        <f t="shared" ca="1" si="215"/>
        <v>8</v>
      </c>
      <c r="AT65" s="48">
        <f t="shared" ca="1" si="215"/>
        <v>-3</v>
      </c>
      <c r="AU65" s="330">
        <f ca="1">INDEX($DL$6:$DL$53,MATCH(AI65,$DP$6:$DP$53,0))</f>
        <v>2</v>
      </c>
      <c r="AV65" s="182" t="str">
        <f ca="1">INDEX($BD$6:$BD$53,MATCH(AI65,$BM$6:$BM$53,0))</f>
        <v>Uruguay</v>
      </c>
      <c r="AW65" s="210">
        <v>4</v>
      </c>
      <c r="AX65" s="171"/>
      <c r="AY65" s="205" t="str">
        <f ca="1">+A64</f>
        <v>Uruguay</v>
      </c>
      <c r="AZ65" s="206"/>
      <c r="BA65" s="176"/>
      <c r="BB65" s="16" t="str">
        <f t="shared" si="187"/>
        <v>3H</v>
      </c>
      <c r="BC65" s="16" t="s">
        <v>447</v>
      </c>
      <c r="BD65" s="16" t="str">
        <f t="shared" ca="1" si="168"/>
        <v>Arabia Saudita</v>
      </c>
      <c r="BE65" s="16">
        <f t="shared" ca="1" si="188"/>
        <v>1</v>
      </c>
      <c r="BF65" s="16">
        <f t="shared" ca="1" si="189"/>
        <v>3</v>
      </c>
      <c r="BG65" s="16">
        <f t="shared" ca="1" si="169"/>
        <v>0</v>
      </c>
      <c r="BH65" s="16">
        <f t="shared" ca="1" si="170"/>
        <v>1</v>
      </c>
      <c r="BI65" s="16">
        <f t="shared" ca="1" si="171"/>
        <v>2</v>
      </c>
      <c r="BJ65" s="16">
        <f t="shared" ca="1" si="172"/>
        <v>5</v>
      </c>
      <c r="BK65" s="16">
        <f t="shared" ca="1" si="173"/>
        <v>8</v>
      </c>
      <c r="BL65" s="16">
        <f t="shared" ca="1" si="190"/>
        <v>-3</v>
      </c>
      <c r="BM65" s="16">
        <f t="shared" ca="1" si="191"/>
        <v>11</v>
      </c>
      <c r="BN65" s="16">
        <f t="shared" ca="1" si="192"/>
        <v>11</v>
      </c>
      <c r="BO65" s="16" t="str">
        <f t="shared" si="174"/>
        <v>4H</v>
      </c>
      <c r="BP65" s="16"/>
      <c r="BQ65" s="16"/>
      <c r="BR65" s="16">
        <f t="shared" ca="1" si="175"/>
        <v>1</v>
      </c>
      <c r="BS65" s="16">
        <f t="shared" ca="1" si="193"/>
        <v>11</v>
      </c>
      <c r="BT65" s="16" t="str">
        <f t="shared" ca="1" si="194"/>
        <v>Pos. 11 (2)</v>
      </c>
      <c r="BU65" s="16">
        <f t="shared" ca="1" si="176"/>
        <v>-3</v>
      </c>
      <c r="BV65" s="16">
        <f t="shared" ca="1" si="177"/>
        <v>11</v>
      </c>
      <c r="BW65" s="16" t="str">
        <f t="shared" ca="1" si="178"/>
        <v>-</v>
      </c>
      <c r="BX65" s="16" t="str">
        <f t="shared" ca="1" si="179"/>
        <v>-</v>
      </c>
      <c r="BY65" s="16">
        <f t="shared" ca="1" si="180"/>
        <v>11</v>
      </c>
      <c r="BZ65" s="16" t="str">
        <f t="shared" ca="1" si="181"/>
        <v>-</v>
      </c>
      <c r="CA65" s="16" t="str">
        <f t="shared" ca="1" si="182"/>
        <v>-</v>
      </c>
      <c r="CB65" s="16">
        <f t="shared" ca="1" si="195"/>
        <v>11</v>
      </c>
      <c r="CC65" s="16"/>
      <c r="CD65" s="16">
        <f t="shared" ca="1" si="183"/>
        <v>11</v>
      </c>
      <c r="CE65" s="16" t="str">
        <f t="shared" ca="1" si="196"/>
        <v>-</v>
      </c>
      <c r="CF65" s="16">
        <f t="shared" ca="1" si="197"/>
        <v>11</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Senegal</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2</v>
      </c>
      <c r="BF66" s="16">
        <f t="shared" ca="1" si="189"/>
        <v>3</v>
      </c>
      <c r="BG66" s="16">
        <f t="shared" ca="1" si="169"/>
        <v>0</v>
      </c>
      <c r="BH66" s="16">
        <f t="shared" ca="1" si="170"/>
        <v>2</v>
      </c>
      <c r="BI66" s="16">
        <f t="shared" ca="1" si="171"/>
        <v>1</v>
      </c>
      <c r="BJ66" s="16">
        <f t="shared" ca="1" si="172"/>
        <v>5</v>
      </c>
      <c r="BK66" s="16">
        <f t="shared" ca="1" si="173"/>
        <v>6</v>
      </c>
      <c r="BL66" s="16">
        <f t="shared" ca="1" si="190"/>
        <v>-1</v>
      </c>
      <c r="BM66" s="16">
        <f t="shared" ca="1" si="191"/>
        <v>8</v>
      </c>
      <c r="BN66" s="16">
        <f t="shared" ca="1" si="192"/>
        <v>8</v>
      </c>
      <c r="BO66" s="16" t="str">
        <f t="shared" si="174"/>
        <v>4I</v>
      </c>
      <c r="BP66" s="16"/>
      <c r="BQ66" s="16"/>
      <c r="BR66" s="16">
        <f t="shared" ca="1" si="175"/>
        <v>2</v>
      </c>
      <c r="BS66" s="16">
        <f t="shared" ca="1" si="193"/>
        <v>8</v>
      </c>
      <c r="BT66" s="16" t="str">
        <f t="shared" ca="1" si="194"/>
        <v>Pos. 8 (3)</v>
      </c>
      <c r="BU66" s="16">
        <f t="shared" ca="1" si="176"/>
        <v>-1</v>
      </c>
      <c r="BV66" s="16">
        <f t="shared" ca="1" si="177"/>
        <v>8</v>
      </c>
      <c r="BW66" s="16" t="str">
        <f t="shared" ca="1" si="178"/>
        <v>-</v>
      </c>
      <c r="BX66" s="16" t="str">
        <f t="shared" ca="1" si="179"/>
        <v>-</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Jordania</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Jordania</v>
      </c>
      <c r="BE67" s="16">
        <f t="shared" ca="1" si="188"/>
        <v>2</v>
      </c>
      <c r="BF67" s="16">
        <f t="shared" ca="1" si="189"/>
        <v>3</v>
      </c>
      <c r="BG67" s="16">
        <f t="shared" ca="1" si="169"/>
        <v>0</v>
      </c>
      <c r="BH67" s="16">
        <f t="shared" ca="1" si="170"/>
        <v>2</v>
      </c>
      <c r="BI67" s="16">
        <f t="shared" ca="1" si="171"/>
        <v>1</v>
      </c>
      <c r="BJ67" s="16">
        <f t="shared" ca="1" si="172"/>
        <v>2</v>
      </c>
      <c r="BK67" s="16">
        <f t="shared" ca="1" si="173"/>
        <v>5</v>
      </c>
      <c r="BL67" s="16">
        <f t="shared" ca="1" si="190"/>
        <v>-3</v>
      </c>
      <c r="BM67" s="16">
        <f t="shared" ca="1" si="191"/>
        <v>9</v>
      </c>
      <c r="BN67" s="16">
        <f t="shared" ca="1" si="192"/>
        <v>9</v>
      </c>
      <c r="BO67" s="16" t="str">
        <f t="shared" si="174"/>
        <v>4J</v>
      </c>
      <c r="BP67" s="16"/>
      <c r="BQ67" s="16"/>
      <c r="BR67" s="16">
        <f t="shared" ca="1" si="175"/>
        <v>2</v>
      </c>
      <c r="BS67" s="16">
        <f t="shared" ca="1" si="193"/>
        <v>8</v>
      </c>
      <c r="BT67" s="16" t="str">
        <f t="shared" ca="1" si="194"/>
        <v>Pos. 8 (3)</v>
      </c>
      <c r="BU67" s="16">
        <f t="shared" ca="1" si="176"/>
        <v>-3</v>
      </c>
      <c r="BV67" s="16">
        <f t="shared" ca="1" si="177"/>
        <v>9</v>
      </c>
      <c r="BW67" s="16" t="str">
        <f t="shared" ca="1" si="178"/>
        <v>-</v>
      </c>
      <c r="BX67" s="16" t="str">
        <f t="shared" ca="1" si="179"/>
        <v>-</v>
      </c>
      <c r="BY67" s="16">
        <f t="shared" ca="1" si="180"/>
        <v>9</v>
      </c>
      <c r="BZ67" s="16" t="str">
        <f t="shared" ca="1" si="181"/>
        <v>-</v>
      </c>
      <c r="CA67" s="16" t="str">
        <f t="shared" ca="1" si="182"/>
        <v>-</v>
      </c>
      <c r="CB67" s="16">
        <f t="shared" ca="1" si="195"/>
        <v>9</v>
      </c>
      <c r="CC67" s="16"/>
      <c r="CD67" s="16">
        <f t="shared" ca="1" si="183"/>
        <v>9</v>
      </c>
      <c r="CE67" s="16" t="str">
        <f t="shared" ca="1" si="196"/>
        <v>-</v>
      </c>
      <c r="CF67" s="16">
        <f t="shared" ca="1" si="197"/>
        <v>9</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Haití</v>
      </c>
    </row>
    <row r="68" spans="1:121" ht="15.95" customHeight="1" thickBot="1">
      <c r="A68" s="16" t="s">
        <v>32</v>
      </c>
      <c r="B68" s="16" t="s">
        <v>448</v>
      </c>
      <c r="C68" s="16">
        <f>COUNTIF(Equipos!$C$2:$C$49,WORLDCUP!B68)</f>
        <v>4</v>
      </c>
      <c r="D68" s="16" t="str">
        <f t="shared" ref="D68:D73" si="217">IF(OR(AC68="",AD68=""),"Pendiente",IF(AC68&gt;AD68,"Local",IF(AC68&lt;AD68,"Visitante","Empate")))</f>
        <v>Empate</v>
      </c>
      <c r="E68" s="16" t="str">
        <f t="shared" ref="E68:E73" ca="1" si="218">IF(D68="Pendiente","-",INDEX($BT$6:$BT$53,MATCH($AA68,$BD$6:$BD$53,0)))</f>
        <v>-</v>
      </c>
      <c r="F68" s="16" t="str">
        <f t="shared" ref="F68:F73" ca="1" si="219">IF(D68="Pendiente","-",INDEX($BT$6:$BT$53,MATCH($AF68,$BD$6:$BD$53,0)))</f>
        <v>P.3 (2)</v>
      </c>
      <c r="G68" s="16"/>
      <c r="H68" s="16" t="str">
        <f t="shared" ref="H68:H73" ca="1" si="220">IF(D68="Pendiente","-",INDEX($BZ$6:$BZ$53,MATCH($AA68,$BD$6:$BD$53,0)))</f>
        <v>-</v>
      </c>
      <c r="I68" s="16" t="str">
        <f t="shared" ref="I68:I73" ca="1" si="221">IF(D68="Pendiente","-",INDEX($BZ$6:$BZ$53,MATCH($AF68,$BD$6:$BD$53,0)))</f>
        <v>P.3 (2)</v>
      </c>
      <c r="J68" s="16"/>
      <c r="K68" s="16" t="str">
        <f t="shared" ref="K68:K73" ca="1" si="222">IF(D68="Pendiente","-",INDEX($CE$6:$CE$53,MATCH($AA68,$BD$6:$BD$53,0)))</f>
        <v>-</v>
      </c>
      <c r="L68" s="16" t="str">
        <f t="shared" ref="L68:L73" ca="1" si="223">IF(D68="Pendiente","-",INDEX($CE$6:$CE$53,MATCH($AF68,$BD$6:$BD$53,0)))</f>
        <v>P.3 (2)</v>
      </c>
      <c r="M68" s="16"/>
      <c r="N68" s="16" t="str">
        <f t="shared" ref="N68:N73" ca="1" si="224">IF(D68="Pendiente","-",INDEX($CH$6:$CH$53,MATCH($AA68,$BD$6:$BD$53,0)))</f>
        <v>-</v>
      </c>
      <c r="O68" s="16" t="str">
        <f t="shared" ref="O68:O73" ca="1" si="225">IF(D68="Pendiente","-",INDEX($CH$6:$CH$53,MATCH($AF68,$BD$6:$BD$53,0)))</f>
        <v>P.3 (2)</v>
      </c>
      <c r="P68" s="16"/>
      <c r="Q68" s="16" t="str">
        <f t="shared" ref="Q68:Q73" ca="1" si="226">IF(D68="Pendiente","-",INDEX($CN$6:$CN$53,MATCH($AA68,$BD$6:$BD$53,0)))</f>
        <v>-</v>
      </c>
      <c r="R68" s="16" t="str">
        <f t="shared" ref="R68:R73" ca="1" si="227">IF(D68="Pendiente","-",INDEX($CN$6:$CN$53,MATCH($AF68,$BD$6:$BD$53,0)))</f>
        <v>P.3 (2)</v>
      </c>
      <c r="S68" s="16"/>
      <c r="T68" s="16" t="str">
        <f t="shared" ref="T68:T73" ca="1" si="228">IF(D68="Pendiente","-",INDEX($CS$6:$CS$53,MATCH($AA68,$BD$6:$BD$53,0)))</f>
        <v>-</v>
      </c>
      <c r="U68" s="16" t="str">
        <f t="shared" ref="U68:U73" ca="1" si="229">IF(D68="Pendiente","-",INDEX($CS$6:$CS$53,MATCH($AF68,$BD$6:$BD$53,0)))</f>
        <v>P.3 (2)</v>
      </c>
      <c r="V68" s="17"/>
      <c r="W68" s="654" t="s">
        <v>448</v>
      </c>
      <c r="X68" s="24">
        <f ca="1">Horarios!C68</f>
        <v>46189.875</v>
      </c>
      <c r="Y68" s="25">
        <f ca="1">Horarios!C68</f>
        <v>46189.875</v>
      </c>
      <c r="Z68" s="26" t="str">
        <f>$Z$4</f>
        <v>J1</v>
      </c>
      <c r="AA68" s="27" t="str">
        <f ca="1">A69</f>
        <v>Francia</v>
      </c>
      <c r="AB68" s="49" t="str" cm="1">
        <f t="array" aca="1" ref="AB68" ca="1">Ver_flag_local</f>
        <v/>
      </c>
      <c r="AC68" s="50">
        <v>2</v>
      </c>
      <c r="AD68" s="51">
        <v>2</v>
      </c>
      <c r="AE68" s="595" t="str" cm="1">
        <f t="array" aca="1" ref="AE68" ca="1">Ver_flag_visit</f>
        <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6</v>
      </c>
      <c r="BK68" s="16">
        <f t="shared" ca="1" si="173"/>
        <v>7</v>
      </c>
      <c r="BL68" s="16">
        <f t="shared" ca="1" si="190"/>
        <v>-1</v>
      </c>
      <c r="BM68" s="16">
        <f t="shared" ca="1" si="191"/>
        <v>5</v>
      </c>
      <c r="BN68" s="16">
        <f t="shared" ca="1" si="192"/>
        <v>5</v>
      </c>
      <c r="BO68" s="16" t="str">
        <f t="shared" si="174"/>
        <v>4K</v>
      </c>
      <c r="BP68" s="16"/>
      <c r="BQ68" s="16"/>
      <c r="BR68" s="16">
        <f t="shared" ca="1" si="175"/>
        <v>3</v>
      </c>
      <c r="BS68" s="16">
        <f t="shared" ca="1" si="193"/>
        <v>3</v>
      </c>
      <c r="BT68" s="16" t="str">
        <f t="shared" ca="1" si="194"/>
        <v>Pos. 3 (5)</v>
      </c>
      <c r="BU68" s="16">
        <f t="shared" ca="1" si="176"/>
        <v>-1</v>
      </c>
      <c r="BV68" s="16">
        <f t="shared" ca="1" si="177"/>
        <v>5</v>
      </c>
      <c r="BW68" s="16" t="str">
        <f t="shared" ca="1" si="178"/>
        <v>-</v>
      </c>
      <c r="BX68" s="16" t="str">
        <f t="shared" ca="1" si="179"/>
        <v>-</v>
      </c>
      <c r="BY68" s="16">
        <f t="shared" ca="1" si="180"/>
        <v>5</v>
      </c>
      <c r="BZ68" s="16" t="str">
        <f t="shared" ca="1" si="181"/>
        <v>-</v>
      </c>
      <c r="CA68" s="16" t="str">
        <f t="shared" ca="1" si="182"/>
        <v>-</v>
      </c>
      <c r="CB68" s="16">
        <f t="shared" ca="1" si="195"/>
        <v>5</v>
      </c>
      <c r="CC68" s="16"/>
      <c r="CD68" s="16">
        <f t="shared" ca="1" si="183"/>
        <v>5</v>
      </c>
      <c r="CE68" s="16" t="str">
        <f t="shared" ca="1" si="196"/>
        <v>-</v>
      </c>
      <c r="CF68" s="16">
        <f t="shared" ca="1" si="197"/>
        <v>5</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Arabia Saudita</v>
      </c>
    </row>
    <row r="69" spans="1:121" ht="15.95" customHeight="1">
      <c r="A69" s="16" t="str">
        <f ca="1">+Equipos!B34</f>
        <v>Francia</v>
      </c>
      <c r="B69" s="16"/>
      <c r="C69" s="16"/>
      <c r="D69" s="16" t="str">
        <f t="shared" si="217"/>
        <v>Empate</v>
      </c>
      <c r="E69" s="16" t="str">
        <f t="shared" ca="1" si="218"/>
        <v>P.3 (2)</v>
      </c>
      <c r="F69" s="16" t="str">
        <f t="shared" ca="1" si="219"/>
        <v>-</v>
      </c>
      <c r="G69" s="16"/>
      <c r="H69" s="16" t="str">
        <f t="shared" ca="1" si="220"/>
        <v>P.3 (2)</v>
      </c>
      <c r="I69" s="16" t="str">
        <f t="shared" ca="1" si="221"/>
        <v>-</v>
      </c>
      <c r="J69" s="16"/>
      <c r="K69" s="16" t="str">
        <f t="shared" ca="1" si="222"/>
        <v>P.3 (2)</v>
      </c>
      <c r="L69" s="16" t="str">
        <f t="shared" ca="1" si="223"/>
        <v>-</v>
      </c>
      <c r="M69" s="16"/>
      <c r="N69" s="16" t="str">
        <f t="shared" ca="1" si="224"/>
        <v>P.3 (2)</v>
      </c>
      <c r="O69" s="16" t="str">
        <f t="shared" ca="1" si="225"/>
        <v>-</v>
      </c>
      <c r="P69" s="16"/>
      <c r="Q69" s="16" t="str">
        <f t="shared" ca="1" si="226"/>
        <v>P.3 (2)</v>
      </c>
      <c r="R69" s="16" t="str">
        <f t="shared" ca="1" si="227"/>
        <v>-</v>
      </c>
      <c r="S69" s="16"/>
      <c r="T69" s="16" t="str">
        <f t="shared" ca="1" si="228"/>
        <v>P.3 (2)</v>
      </c>
      <c r="U69" s="16" t="str">
        <f t="shared" ca="1" si="229"/>
        <v>-</v>
      </c>
      <c r="V69" s="17"/>
      <c r="W69" s="654"/>
      <c r="X69" s="24">
        <f ca="1">Horarios!C69</f>
        <v>46190</v>
      </c>
      <c r="Y69" s="25">
        <f ca="1">Horarios!C69</f>
        <v>46190</v>
      </c>
      <c r="Z69" s="26" t="str">
        <f>$Z$4</f>
        <v>J1</v>
      </c>
      <c r="AA69" s="27" t="str">
        <f ca="1">A71</f>
        <v>Irak</v>
      </c>
      <c r="AB69" s="49" t="str" cm="1">
        <f t="array" aca="1" ref="AB69" ca="1">Ver_flag_local</f>
        <v/>
      </c>
      <c r="AC69" s="50">
        <v>1</v>
      </c>
      <c r="AD69" s="51">
        <v>1</v>
      </c>
      <c r="AE69" s="595" t="str" cm="1">
        <f t="array" aca="1" ref="AE69" ca="1">Ver_flag_visit</f>
        <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5</v>
      </c>
      <c r="BK69" s="16">
        <f t="shared" ca="1" si="173"/>
        <v>4</v>
      </c>
      <c r="BL69" s="16">
        <f t="shared" ca="1" si="190"/>
        <v>1</v>
      </c>
      <c r="BM69" s="16">
        <f t="shared" ca="1" si="191"/>
        <v>4</v>
      </c>
      <c r="BN69" s="16">
        <f t="shared" ca="1" si="192"/>
        <v>4</v>
      </c>
      <c r="BO69" s="16" t="str">
        <f t="shared" si="174"/>
        <v>4L</v>
      </c>
      <c r="BP69" s="16"/>
      <c r="BQ69" s="16"/>
      <c r="BR69" s="16">
        <f t="shared" ca="1" si="175"/>
        <v>3</v>
      </c>
      <c r="BS69" s="16">
        <f t="shared" ca="1" si="193"/>
        <v>3</v>
      </c>
      <c r="BT69" s="16" t="str">
        <f t="shared" ca="1" si="194"/>
        <v>Pos. 3 (5)</v>
      </c>
      <c r="BU69" s="16">
        <f t="shared" ca="1" si="176"/>
        <v>1</v>
      </c>
      <c r="BV69" s="16">
        <f t="shared" ca="1" si="177"/>
        <v>3</v>
      </c>
      <c r="BW69" s="16" t="str">
        <f t="shared" ca="1" si="178"/>
        <v>Pos. 3 (2)</v>
      </c>
      <c r="BX69" s="16">
        <f t="shared" ca="1" si="179"/>
        <v>5</v>
      </c>
      <c r="BY69" s="16">
        <f t="shared" ca="1" si="180"/>
        <v>4</v>
      </c>
      <c r="BZ69" s="16" t="str">
        <f t="shared" ca="1" si="181"/>
        <v>-</v>
      </c>
      <c r="CA69" s="16" t="str">
        <f t="shared" ca="1" si="182"/>
        <v>-</v>
      </c>
      <c r="CB69" s="16">
        <f ca="1">BY69+COUNTIFS(BZ$58:BZ$69,BZ69,CA$58:CA$69,"&gt;"&amp;CA69)</f>
        <v>4</v>
      </c>
      <c r="CC69" s="16"/>
      <c r="CD69" s="16">
        <f t="shared" ca="1" si="183"/>
        <v>4</v>
      </c>
      <c r="CE69" s="16" t="str">
        <f t="shared" ca="1" si="196"/>
        <v>-</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Irán</v>
      </c>
    </row>
    <row r="70" spans="1:121" ht="15.95" customHeight="1">
      <c r="A70" s="16" t="str">
        <f ca="1">+Equipos!B35</f>
        <v>Senegal</v>
      </c>
      <c r="B70" s="16"/>
      <c r="C70" s="16"/>
      <c r="D70" s="16" t="str">
        <f t="shared" si="217"/>
        <v>Local</v>
      </c>
      <c r="E70" s="16" t="str">
        <f t="shared" ca="1" si="218"/>
        <v>-</v>
      </c>
      <c r="F70" s="16" t="str">
        <f t="shared" ca="1" si="219"/>
        <v>P.3 (2)</v>
      </c>
      <c r="G70" s="16"/>
      <c r="H70" s="16" t="str">
        <f t="shared" ca="1" si="220"/>
        <v>-</v>
      </c>
      <c r="I70" s="16" t="str">
        <f t="shared" ca="1" si="221"/>
        <v>P.3 (2)</v>
      </c>
      <c r="J70" s="16"/>
      <c r="K70" s="16" t="str">
        <f t="shared" ca="1" si="222"/>
        <v>-</v>
      </c>
      <c r="L70" s="16" t="str">
        <f t="shared" ca="1" si="223"/>
        <v>P.3 (2)</v>
      </c>
      <c r="M70" s="16"/>
      <c r="N70" s="16" t="str">
        <f t="shared" ca="1" si="224"/>
        <v>-</v>
      </c>
      <c r="O70" s="16" t="str">
        <f t="shared" ca="1" si="225"/>
        <v>P.3 (2)</v>
      </c>
      <c r="P70" s="16"/>
      <c r="Q70" s="16" t="str">
        <f t="shared" ca="1" si="226"/>
        <v>-</v>
      </c>
      <c r="R70" s="16" t="str">
        <f t="shared" ca="1" si="227"/>
        <v>P.3 (2)</v>
      </c>
      <c r="S70" s="16"/>
      <c r="T70" s="16" t="str">
        <f t="shared" ca="1" si="228"/>
        <v>-</v>
      </c>
      <c r="U70" s="16" t="str">
        <f t="shared" ca="1" si="229"/>
        <v>P.3 (2)</v>
      </c>
      <c r="V70" s="17"/>
      <c r="W70" s="654"/>
      <c r="X70" s="24">
        <f ca="1">Horarios!C70</f>
        <v>46195.958333333336</v>
      </c>
      <c r="Y70" s="25">
        <f ca="1">Horarios!C70</f>
        <v>46195.958333333336</v>
      </c>
      <c r="Z70" s="26" t="str">
        <f>$Z$6</f>
        <v>J2</v>
      </c>
      <c r="AA70" s="27" t="str">
        <f ca="1">A69</f>
        <v>Francia</v>
      </c>
      <c r="AB70" s="49" t="str" cm="1">
        <f t="array" aca="1" ref="AB70" ca="1">Ver_flag_local</f>
        <v/>
      </c>
      <c r="AC70" s="50">
        <v>4</v>
      </c>
      <c r="AD70" s="51">
        <v>1</v>
      </c>
      <c r="AE70" s="595" t="str" cm="1">
        <f t="array" aca="1" ref="AE70" ca="1">Ver_flag_visit</f>
        <v/>
      </c>
      <c r="AF70" s="32" t="str">
        <f ca="1">A71</f>
        <v>Irak</v>
      </c>
      <c r="AG70" s="323">
        <f t="shared" si="230"/>
        <v>1</v>
      </c>
      <c r="AH70" s="195">
        <v>42</v>
      </c>
      <c r="AI70" s="181" t="str">
        <f>AJ70&amp;$B$68</f>
        <v>1I</v>
      </c>
      <c r="AJ70" s="40">
        <v>1</v>
      </c>
      <c r="AK70" s="601" t="str" cm="1">
        <f t="array" aca="1" ref="AK70" ca="1">Ver_flag_visit</f>
        <v/>
      </c>
      <c r="AL70" s="34" t="str">
        <f ca="1">IFERROR(INDEX($BD$6:$BD$53,MATCH(AI70,$BN$6:$BN$53,0)),"")</f>
        <v>Francia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9</v>
      </c>
      <c r="AS70" s="36">
        <f t="shared" ca="1" si="233"/>
        <v>4</v>
      </c>
      <c r="AT70" s="41">
        <f t="shared" ca="1" si="233"/>
        <v>5</v>
      </c>
      <c r="AU70" s="330">
        <f ca="1">INDEX($DL$6:$DL$53,MATCH(AI70,$DP$6:$DP$53,0))</f>
        <v>1</v>
      </c>
      <c r="AV70" s="182" t="str">
        <f ca="1">INDEX($BD$6:$BD$53,MATCH(AI70,$BM$6:$BM$53,0))</f>
        <v>Francia</v>
      </c>
      <c r="AW70" s="210"/>
      <c r="AX70" s="171"/>
      <c r="AY70" s="201" t="str">
        <f ca="1">+A69</f>
        <v>Francia</v>
      </c>
      <c r="AZ70" s="202"/>
      <c r="BA70" s="176"/>
      <c r="DN70" s="16"/>
    </row>
    <row r="71" spans="1:121" ht="15.95" customHeight="1">
      <c r="A71" s="16" t="str">
        <f ca="1">+Equipos!B36</f>
        <v>Irak</v>
      </c>
      <c r="B71" s="16"/>
      <c r="C71" s="16"/>
      <c r="D71" s="16" t="str">
        <f t="shared" si="217"/>
        <v>Local</v>
      </c>
      <c r="E71" s="16" t="str">
        <f t="shared" ca="1" si="218"/>
        <v>-</v>
      </c>
      <c r="F71" s="16" t="str">
        <f t="shared" ca="1" si="219"/>
        <v>P.3 (2)</v>
      </c>
      <c r="G71" s="16"/>
      <c r="H71" s="16" t="str">
        <f t="shared" ca="1" si="220"/>
        <v>-</v>
      </c>
      <c r="I71" s="16" t="str">
        <f t="shared" ca="1" si="221"/>
        <v>P.3 (2)</v>
      </c>
      <c r="J71" s="16"/>
      <c r="K71" s="16" t="str">
        <f t="shared" ca="1" si="222"/>
        <v>-</v>
      </c>
      <c r="L71" s="16" t="str">
        <f t="shared" ca="1" si="223"/>
        <v>P.3 (2)</v>
      </c>
      <c r="M71" s="16"/>
      <c r="N71" s="16" t="str">
        <f t="shared" ca="1" si="224"/>
        <v>-</v>
      </c>
      <c r="O71" s="16" t="str">
        <f t="shared" ca="1" si="225"/>
        <v>P.3 (2)</v>
      </c>
      <c r="P71" s="16"/>
      <c r="Q71" s="16" t="str">
        <f t="shared" ca="1" si="226"/>
        <v>-</v>
      </c>
      <c r="R71" s="16" t="str">
        <f t="shared" ca="1" si="227"/>
        <v>P.3 (2)</v>
      </c>
      <c r="S71" s="16"/>
      <c r="T71" s="16" t="str">
        <f t="shared" ca="1" si="228"/>
        <v>-</v>
      </c>
      <c r="U71" s="16" t="str">
        <f t="shared" ca="1" si="229"/>
        <v>P.3 (2)</v>
      </c>
      <c r="V71" s="17"/>
      <c r="W71" s="654"/>
      <c r="X71" s="24">
        <f ca="1">Horarios!C71</f>
        <v>46196.083333333336</v>
      </c>
      <c r="Y71" s="25">
        <f ca="1">Horarios!C71</f>
        <v>46196.083333333336</v>
      </c>
      <c r="Z71" s="26" t="str">
        <f>$Z$6</f>
        <v>J2</v>
      </c>
      <c r="AA71" s="27" t="str">
        <f ca="1">A72</f>
        <v>Noruega</v>
      </c>
      <c r="AB71" s="49" t="str" cm="1">
        <f t="array" aca="1" ref="AB71" ca="1">Ver_flag_local</f>
        <v/>
      </c>
      <c r="AC71" s="50">
        <v>3</v>
      </c>
      <c r="AD71" s="51">
        <v>2</v>
      </c>
      <c r="AE71" s="595" t="str" cm="1">
        <f t="array" aca="1" ref="AE71" ca="1">Ver_flag_visit</f>
        <v/>
      </c>
      <c r="AF71" s="32" t="str">
        <f ca="1">A70</f>
        <v>Senegal</v>
      </c>
      <c r="AG71" s="323">
        <f t="shared" si="230"/>
        <v>1</v>
      </c>
      <c r="AH71" s="195">
        <v>41</v>
      </c>
      <c r="AI71" s="181" t="str">
        <f t="shared" ref="AI71:AI73" si="234">AJ71&amp;$B$68</f>
        <v>2I</v>
      </c>
      <c r="AJ71" s="42">
        <v>2</v>
      </c>
      <c r="AK71" s="602" t="str" cm="1">
        <f t="array" aca="1" ref="AK71" ca="1">Ver_flag_visit</f>
        <v/>
      </c>
      <c r="AL71" s="37" t="str">
        <f ca="1">IFERROR(INDEX($BD$6:$BD$53,MATCH(AI71,$BN$6:$BN$53,0)),"")</f>
        <v>Noruega</v>
      </c>
      <c r="AM71" s="38">
        <f t="shared" ca="1" si="233"/>
        <v>4</v>
      </c>
      <c r="AN71" s="39">
        <f t="shared" ca="1" si="233"/>
        <v>3</v>
      </c>
      <c r="AO71" s="39">
        <f t="shared" ca="1" si="233"/>
        <v>1</v>
      </c>
      <c r="AP71" s="39">
        <f t="shared" ca="1" si="233"/>
        <v>1</v>
      </c>
      <c r="AQ71" s="39">
        <f t="shared" ca="1" si="233"/>
        <v>1</v>
      </c>
      <c r="AR71" s="39">
        <f t="shared" ca="1" si="233"/>
        <v>5</v>
      </c>
      <c r="AS71" s="39">
        <f t="shared" ca="1" si="233"/>
        <v>6</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5.9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46199.875</v>
      </c>
      <c r="Y72" s="25">
        <f ca="1">Horarios!C72</f>
        <v>46199.875</v>
      </c>
      <c r="Z72" s="26" t="str">
        <f>$Z$8</f>
        <v>J3</v>
      </c>
      <c r="AA72" s="27" t="str">
        <f ca="1">A72</f>
        <v>Noruega</v>
      </c>
      <c r="AB72" s="49" t="str" cm="1">
        <f t="array" aca="1" ref="AB72" ca="1">Ver_flag_local</f>
        <v/>
      </c>
      <c r="AC72" s="50">
        <v>1</v>
      </c>
      <c r="AD72" s="51">
        <v>3</v>
      </c>
      <c r="AE72" s="595" t="str" cm="1">
        <f t="array" aca="1" ref="AE72" ca="1">Ver_flag_visit</f>
        <v/>
      </c>
      <c r="AF72" s="32" t="str">
        <f ca="1">A69</f>
        <v>Francia</v>
      </c>
      <c r="AG72" s="323">
        <f t="shared" si="230"/>
        <v>1</v>
      </c>
      <c r="AH72" s="195">
        <v>61</v>
      </c>
      <c r="AI72" s="181" t="str">
        <f t="shared" si="234"/>
        <v>3I</v>
      </c>
      <c r="AJ72" s="42">
        <v>3</v>
      </c>
      <c r="AK72" s="602" t="str" cm="1">
        <f t="array" aca="1" ref="AK72" ca="1">Ver_flag_visit</f>
        <v/>
      </c>
      <c r="AL72" s="37" t="str">
        <f ca="1">IFERROR(INDEX($BD$6:$BD$53,MATCH(AI72,$BN$6:$BN$53,0)),"")</f>
        <v>Senegal</v>
      </c>
      <c r="AM72" s="38">
        <f t="shared" ca="1" si="233"/>
        <v>2</v>
      </c>
      <c r="AN72" s="39">
        <f t="shared" ca="1" si="233"/>
        <v>3</v>
      </c>
      <c r="AO72" s="39">
        <f t="shared" ca="1" si="233"/>
        <v>0</v>
      </c>
      <c r="AP72" s="39">
        <f t="shared" ca="1" si="233"/>
        <v>2</v>
      </c>
      <c r="AQ72" s="39">
        <f t="shared" ca="1" si="233"/>
        <v>1</v>
      </c>
      <c r="AR72" s="39">
        <f t="shared" ca="1" si="233"/>
        <v>5</v>
      </c>
      <c r="AS72" s="39">
        <f t="shared" ca="1" si="233"/>
        <v>6</v>
      </c>
      <c r="AT72" s="43">
        <f t="shared" ca="1" si="233"/>
        <v>-1</v>
      </c>
      <c r="AU72" s="330">
        <f ca="1">INDEX($DL$6:$DL$53,MATCH(AI72,$DP$6:$DP$53,0))</f>
        <v>1</v>
      </c>
      <c r="AV72" s="182" t="str">
        <f ca="1">INDEX($BD$6:$BD$53,MATCH(AI72,$BM$6:$BM$53,0))</f>
        <v>Senegal</v>
      </c>
      <c r="AW72" s="210"/>
      <c r="AX72" s="171"/>
      <c r="AY72" s="201" t="str">
        <f ca="1">+A71</f>
        <v>Irak</v>
      </c>
      <c r="AZ72" s="202"/>
      <c r="BA72" s="176"/>
      <c r="DN72" s="16"/>
    </row>
    <row r="73" spans="1:121" ht="15.95" customHeight="1" thickBot="1">
      <c r="A73" s="16"/>
      <c r="B73" s="16"/>
      <c r="C73" s="16"/>
      <c r="D73" s="16" t="str">
        <f t="shared" si="217"/>
        <v>Empate</v>
      </c>
      <c r="E73" s="16" t="str">
        <f t="shared" ca="1" si="218"/>
        <v>P.3 (2)</v>
      </c>
      <c r="F73" s="16" t="str">
        <f t="shared" ca="1" si="219"/>
        <v>P.3 (2)</v>
      </c>
      <c r="G73" s="16"/>
      <c r="H73" s="16" t="str">
        <f t="shared" ca="1" si="220"/>
        <v>P.3 (2)</v>
      </c>
      <c r="I73" s="16" t="str">
        <f t="shared" ca="1" si="221"/>
        <v>P.3 (2)</v>
      </c>
      <c r="J73" s="16"/>
      <c r="K73" s="16" t="str">
        <f t="shared" ca="1" si="222"/>
        <v>P.3 (2)</v>
      </c>
      <c r="L73" s="16" t="str">
        <f t="shared" ca="1" si="223"/>
        <v>P.3 (2)</v>
      </c>
      <c r="M73" s="16"/>
      <c r="N73" s="16" t="str">
        <f t="shared" ca="1" si="224"/>
        <v>P.3 (2)</v>
      </c>
      <c r="O73" s="16" t="str">
        <f t="shared" ca="1" si="225"/>
        <v>P.3 (2)</v>
      </c>
      <c r="P73" s="16"/>
      <c r="Q73" s="16" t="str">
        <f t="shared" ca="1" si="226"/>
        <v>P.3 (2)</v>
      </c>
      <c r="R73" s="16" t="str">
        <f t="shared" ca="1" si="227"/>
        <v>P.3 (2)</v>
      </c>
      <c r="S73" s="16"/>
      <c r="T73" s="16" t="str">
        <f t="shared" ca="1" si="228"/>
        <v>P.3 (2)</v>
      </c>
      <c r="U73" s="16" t="str">
        <f t="shared" ca="1" si="229"/>
        <v>P.3 (2)</v>
      </c>
      <c r="V73" s="17"/>
      <c r="W73" s="655"/>
      <c r="X73" s="28">
        <f ca="1">Horarios!C73</f>
        <v>46199.875</v>
      </c>
      <c r="Y73" s="29">
        <f ca="1">Horarios!C73</f>
        <v>46199.875</v>
      </c>
      <c r="Z73" s="30" t="str">
        <f>$Z$8</f>
        <v>J3</v>
      </c>
      <c r="AA73" s="31" t="str">
        <f ca="1">A70</f>
        <v>Senegal</v>
      </c>
      <c r="AB73" s="52" t="str" cm="1">
        <f t="array" aca="1" ref="AB73" ca="1">Ver_flag_local</f>
        <v/>
      </c>
      <c r="AC73" s="53">
        <v>1</v>
      </c>
      <c r="AD73" s="54">
        <v>1</v>
      </c>
      <c r="AE73" s="596" t="str" cm="1">
        <f t="array" aca="1" ref="AE73" ca="1">Ver_flag_visit</f>
        <v/>
      </c>
      <c r="AF73" s="33" t="str">
        <f ca="1">A71</f>
        <v>Irak</v>
      </c>
      <c r="AG73" s="323">
        <f t="shared" si="230"/>
        <v>1</v>
      </c>
      <c r="AH73" s="195">
        <v>62</v>
      </c>
      <c r="AI73" s="181" t="str">
        <f t="shared" si="234"/>
        <v>4I</v>
      </c>
      <c r="AJ73" s="44">
        <v>4</v>
      </c>
      <c r="AK73" s="604" t="str" cm="1">
        <f t="array" aca="1" ref="AK73" ca="1">Ver_flag_visit</f>
        <v/>
      </c>
      <c r="AL73" s="45" t="str">
        <f ca="1">IFERROR(INDEX($BD$6:$BD$53,MATCH(AI73,$BN$6:$BN$53,0)),"")</f>
        <v>Irak</v>
      </c>
      <c r="AM73" s="46">
        <f t="shared" ca="1" si="233"/>
        <v>2</v>
      </c>
      <c r="AN73" s="47">
        <f t="shared" ca="1" si="233"/>
        <v>3</v>
      </c>
      <c r="AO73" s="47">
        <f t="shared" ca="1" si="233"/>
        <v>0</v>
      </c>
      <c r="AP73" s="47">
        <f t="shared" ca="1" si="233"/>
        <v>2</v>
      </c>
      <c r="AQ73" s="47">
        <f t="shared" ca="1" si="233"/>
        <v>1</v>
      </c>
      <c r="AR73" s="47">
        <f t="shared" ca="1" si="233"/>
        <v>3</v>
      </c>
      <c r="AS73" s="47">
        <f t="shared" ca="1" si="233"/>
        <v>6</v>
      </c>
      <c r="AT73" s="48">
        <f t="shared" ca="1" si="233"/>
        <v>-3</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50" t="s">
        <v>5</v>
      </c>
      <c r="X76" s="24">
        <f ca="1">Horarios!C76</f>
        <v>46190.125</v>
      </c>
      <c r="Y76" s="25">
        <f ca="1">Horarios!C76</f>
        <v>46190.125</v>
      </c>
      <c r="Z76" s="26" t="str">
        <f>$Z$4</f>
        <v>J1</v>
      </c>
      <c r="AA76" s="27" t="str">
        <f ca="1">A77</f>
        <v>Argentina</v>
      </c>
      <c r="AB76" s="49" t="str" cm="1">
        <f t="array" aca="1" ref="AB76" ca="1">Ver_flag_local</f>
        <v/>
      </c>
      <c r="AC76" s="50">
        <v>6</v>
      </c>
      <c r="AD76" s="51">
        <v>0</v>
      </c>
      <c r="AE76" s="595" t="str" cm="1">
        <f t="array" aca="1" ref="AE76" ca="1">Ver_flag_visit</f>
        <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Empate</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50"/>
      <c r="X77" s="24">
        <f ca="1">Horarios!C77</f>
        <v>46190.25</v>
      </c>
      <c r="Y77" s="25">
        <f ca="1">Horarios!C77</f>
        <v>46190.25</v>
      </c>
      <c r="Z77" s="26" t="str">
        <f>$Z$4</f>
        <v>J1</v>
      </c>
      <c r="AA77" s="27" t="str">
        <f ca="1">A79</f>
        <v>Austria</v>
      </c>
      <c r="AB77" s="49" t="str" cm="1">
        <f t="array" aca="1" ref="AB77" ca="1">Ver_flag_local</f>
        <v/>
      </c>
      <c r="AC77" s="50">
        <v>0</v>
      </c>
      <c r="AD77" s="51">
        <v>0</v>
      </c>
      <c r="AE77" s="595" t="str" cm="1">
        <f t="array" aca="1" ref="AE77" ca="1">Ver_flag_visit</f>
        <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50"/>
      <c r="X78" s="24">
        <f ca="1">Horarios!C78</f>
        <v>46195.791666666664</v>
      </c>
      <c r="Y78" s="25">
        <f ca="1">Horarios!C78</f>
        <v>46195.791666666664</v>
      </c>
      <c r="Z78" s="26" t="str">
        <f>$Z$6</f>
        <v>J2</v>
      </c>
      <c r="AA78" s="27" t="str">
        <f ca="1">A77</f>
        <v>Argentina</v>
      </c>
      <c r="AB78" s="49" t="str" cm="1">
        <f t="array" aca="1" ref="AB78" ca="1">Ver_flag_local</f>
        <v/>
      </c>
      <c r="AC78" s="50">
        <v>3</v>
      </c>
      <c r="AD78" s="51">
        <v>1</v>
      </c>
      <c r="AE78" s="595" t="str" cm="1">
        <f t="array" aca="1" ref="AE78" ca="1">Ver_flag_visit</f>
        <v/>
      </c>
      <c r="AF78" s="32" t="str">
        <f ca="1">A79</f>
        <v>Austria</v>
      </c>
      <c r="AG78" s="323">
        <f t="shared" si="248"/>
        <v>1</v>
      </c>
      <c r="AH78" s="195">
        <v>43</v>
      </c>
      <c r="AI78" s="181" t="str">
        <f>AJ78&amp;$B$76</f>
        <v>1J</v>
      </c>
      <c r="AJ78" s="40">
        <v>1</v>
      </c>
      <c r="AK78" s="601" t="str" cm="1">
        <f t="array" aca="1" ref="AK78" ca="1">Ver_flag_visit</f>
        <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13</v>
      </c>
      <c r="AS78" s="36">
        <f t="shared" ca="1" si="251"/>
        <v>2</v>
      </c>
      <c r="AT78" s="41">
        <f t="shared" ca="1" si="251"/>
        <v>11</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Empate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50"/>
      <c r="X79" s="24">
        <f ca="1">Horarios!C79</f>
        <v>46196.208333333336</v>
      </c>
      <c r="Y79" s="25">
        <f ca="1">Horarios!C79</f>
        <v>46196.208333333336</v>
      </c>
      <c r="Z79" s="26" t="str">
        <f>$Z$6</f>
        <v>J2</v>
      </c>
      <c r="AA79" s="27" t="str">
        <f ca="1">A80</f>
        <v>Jordania</v>
      </c>
      <c r="AB79" s="49" t="str" cm="1">
        <f t="array" aca="1" ref="AB79" ca="1">Ver_flag_local</f>
        <v/>
      </c>
      <c r="AC79" s="50">
        <v>1</v>
      </c>
      <c r="AD79" s="51">
        <v>1</v>
      </c>
      <c r="AE79" s="595" t="str" cm="1">
        <f t="array" aca="1" ref="AE79" ca="1">Ver_flag_visit</f>
        <v/>
      </c>
      <c r="AF79" s="32" t="str">
        <f ca="1">A78</f>
        <v>Argelia</v>
      </c>
      <c r="AG79" s="323">
        <f t="shared" si="248"/>
        <v>1</v>
      </c>
      <c r="AH79" s="195">
        <v>44</v>
      </c>
      <c r="AI79" s="181" t="str">
        <f t="shared" ref="AI79:AI81" si="252">AJ79&amp;$B$76</f>
        <v>2J</v>
      </c>
      <c r="AJ79" s="42">
        <v>2</v>
      </c>
      <c r="AK79" s="602" t="str" cm="1">
        <f t="array" aca="1" ref="AK79" ca="1">Ver_flag_visit</f>
        <v/>
      </c>
      <c r="AL79" s="37" t="str">
        <f ca="1">IFERROR(INDEX($BD$6:$BD$53,MATCH(AI79,$BN$6:$BN$53,0)),"")</f>
        <v>Argelia</v>
      </c>
      <c r="AM79" s="38">
        <f t="shared" ca="1" si="251"/>
        <v>4</v>
      </c>
      <c r="AN79" s="39">
        <f t="shared" ca="1" si="251"/>
        <v>3</v>
      </c>
      <c r="AO79" s="39">
        <f t="shared" ca="1" si="251"/>
        <v>1</v>
      </c>
      <c r="AP79" s="39">
        <f t="shared" ca="1" si="251"/>
        <v>1</v>
      </c>
      <c r="AQ79" s="39">
        <f t="shared" ca="1" si="251"/>
        <v>1</v>
      </c>
      <c r="AR79" s="39">
        <f t="shared" ca="1" si="251"/>
        <v>3</v>
      </c>
      <c r="AS79" s="39">
        <f t="shared" ca="1" si="251"/>
        <v>8</v>
      </c>
      <c r="AT79" s="43">
        <f t="shared" ca="1" si="251"/>
        <v>-5</v>
      </c>
      <c r="AU79" s="330">
        <f ca="1">INDEX($DL$6:$DL$53,MATCH(AI79,$DP$6:$DP$53,0))</f>
        <v>1</v>
      </c>
      <c r="AV79" s="182" t="str">
        <f ca="1">INDEX($BD$6:$BD$53,MATCH(AI79,$BM$6:$BM$53,0))</f>
        <v>Argelia</v>
      </c>
      <c r="AW79" s="210"/>
      <c r="AX79" s="171"/>
      <c r="AY79" s="203" t="str">
        <f ca="1">+A78</f>
        <v>Argelia</v>
      </c>
      <c r="AZ79" s="204"/>
      <c r="BA79" s="176"/>
      <c r="DN79" s="16"/>
    </row>
    <row r="80" spans="1:121" ht="15.95" customHeight="1">
      <c r="A80" s="16" t="str">
        <f ca="1">+Equipos!B41</f>
        <v>Jordania</v>
      </c>
      <c r="B80" s="16"/>
      <c r="C80" s="16"/>
      <c r="D80" s="16" t="str">
        <f t="shared" si="235"/>
        <v>Local</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50"/>
      <c r="X80" s="24">
        <f ca="1">Horarios!C80</f>
        <v>46201.166666666664</v>
      </c>
      <c r="Y80" s="25">
        <f ca="1">Horarios!C80</f>
        <v>46201.166666666664</v>
      </c>
      <c r="Z80" s="26" t="str">
        <f>$Z$8</f>
        <v>J3</v>
      </c>
      <c r="AA80" s="27" t="str">
        <f ca="1">A78</f>
        <v>Argelia</v>
      </c>
      <c r="AB80" s="49" t="str" cm="1">
        <f t="array" aca="1" ref="AB80" ca="1">Ver_flag_local</f>
        <v/>
      </c>
      <c r="AC80" s="50">
        <v>2</v>
      </c>
      <c r="AD80" s="51">
        <v>1</v>
      </c>
      <c r="AE80" s="595" t="str" cm="1">
        <f t="array" aca="1" ref="AE80" ca="1">Ver_flag_visit</f>
        <v/>
      </c>
      <c r="AF80" s="32" t="str">
        <f ca="1">A79</f>
        <v>Austria</v>
      </c>
      <c r="AG80" s="323">
        <f t="shared" si="248"/>
        <v>1</v>
      </c>
      <c r="AH80" s="195">
        <v>69</v>
      </c>
      <c r="AI80" s="181" t="str">
        <f t="shared" si="252"/>
        <v>3J</v>
      </c>
      <c r="AJ80" s="42">
        <v>3</v>
      </c>
      <c r="AK80" s="602" t="str" cm="1">
        <f t="array" aca="1" ref="AK80" ca="1">Ver_flag_visit</f>
        <v/>
      </c>
      <c r="AL80" s="37" t="str">
        <f ca="1">IFERROR(INDEX($BD$6:$BD$53,MATCH(AI80,$BN$6:$BN$53,0)),"")</f>
        <v>Jordania</v>
      </c>
      <c r="AM80" s="38">
        <f t="shared" ca="1" si="251"/>
        <v>2</v>
      </c>
      <c r="AN80" s="39">
        <f t="shared" ca="1" si="251"/>
        <v>3</v>
      </c>
      <c r="AO80" s="39">
        <f t="shared" ca="1" si="251"/>
        <v>0</v>
      </c>
      <c r="AP80" s="39">
        <f t="shared" ca="1" si="251"/>
        <v>2</v>
      </c>
      <c r="AQ80" s="39">
        <f t="shared" ca="1" si="251"/>
        <v>1</v>
      </c>
      <c r="AR80" s="39">
        <f t="shared" ca="1" si="251"/>
        <v>2</v>
      </c>
      <c r="AS80" s="39">
        <f t="shared" ca="1" si="251"/>
        <v>5</v>
      </c>
      <c r="AT80" s="43">
        <f t="shared" ca="1" si="251"/>
        <v>-3</v>
      </c>
      <c r="AU80" s="330">
        <f ca="1">INDEX($DL$6:$DL$53,MATCH(AI80,$DP$6:$DP$53,0))</f>
        <v>1</v>
      </c>
      <c r="AV80" s="182" t="str">
        <f ca="1">INDEX($BD$6:$BD$53,MATCH(AI80,$BM$6:$BM$53,0))</f>
        <v>Jordania</v>
      </c>
      <c r="AW80" s="210"/>
      <c r="AX80" s="171"/>
      <c r="AY80" s="201" t="str">
        <f ca="1">+A79</f>
        <v>Austria</v>
      </c>
      <c r="AZ80" s="202"/>
      <c r="BA80" s="176"/>
      <c r="DN80" s="16"/>
    </row>
    <row r="81" spans="1:118" ht="15.9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46201.166666666664</v>
      </c>
      <c r="Y81" s="29">
        <f ca="1">Horarios!C81</f>
        <v>46201.166666666664</v>
      </c>
      <c r="Z81" s="30" t="str">
        <f>$Z$8</f>
        <v>J3</v>
      </c>
      <c r="AA81" s="31" t="str">
        <f ca="1">A80</f>
        <v>Jordania</v>
      </c>
      <c r="AB81" s="52" t="str" cm="1">
        <f t="array" aca="1" ref="AB81" ca="1">Ver_flag_local</f>
        <v/>
      </c>
      <c r="AC81" s="53">
        <v>1</v>
      </c>
      <c r="AD81" s="54">
        <v>4</v>
      </c>
      <c r="AE81" s="596" t="str" cm="1">
        <f t="array" aca="1" ref="AE81" ca="1">Ver_flag_visit</f>
        <v/>
      </c>
      <c r="AF81" s="33" t="str">
        <f ca="1">A77</f>
        <v>Argentina</v>
      </c>
      <c r="AG81" s="323">
        <f t="shared" si="248"/>
        <v>1</v>
      </c>
      <c r="AH81" s="195">
        <v>70</v>
      </c>
      <c r="AI81" s="181" t="str">
        <f t="shared" si="252"/>
        <v>4J</v>
      </c>
      <c r="AJ81" s="44">
        <v>4</v>
      </c>
      <c r="AK81" s="604" t="str" cm="1">
        <f t="array" aca="1" ref="AK81" ca="1">Ver_flag_visit</f>
        <v/>
      </c>
      <c r="AL81" s="45" t="str">
        <f ca="1">IFERROR(INDEX($BD$6:$BD$53,MATCH(AI81,$BN$6:$BN$53,0)),"")</f>
        <v>Austria</v>
      </c>
      <c r="AM81" s="46">
        <f t="shared" ca="1" si="251"/>
        <v>1</v>
      </c>
      <c r="AN81" s="47">
        <f t="shared" ca="1" si="251"/>
        <v>3</v>
      </c>
      <c r="AO81" s="47">
        <f t="shared" ca="1" si="251"/>
        <v>0</v>
      </c>
      <c r="AP81" s="47">
        <f t="shared" ca="1" si="251"/>
        <v>1</v>
      </c>
      <c r="AQ81" s="47">
        <f t="shared" ca="1" si="251"/>
        <v>2</v>
      </c>
      <c r="AR81" s="47">
        <f t="shared" ca="1" si="251"/>
        <v>2</v>
      </c>
      <c r="AS81" s="47">
        <f t="shared" ca="1" si="251"/>
        <v>5</v>
      </c>
      <c r="AT81" s="48">
        <f t="shared" ca="1" si="251"/>
        <v>-3</v>
      </c>
      <c r="AU81" s="330">
        <f ca="1">INDEX($DL$6:$DL$53,MATCH(AI81,$DP$6:$DP$53,0))</f>
        <v>1</v>
      </c>
      <c r="AV81" s="182" t="str">
        <f ca="1">INDEX($BD$6:$BD$53,MATCH(AI81,$BM$6:$BM$53,0))</f>
        <v>Austria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str" cm="1">
        <f t="array" aca="1" ref="AB84" ca="1">Ver_flag_local</f>
        <v/>
      </c>
      <c r="AC84" s="50">
        <v>3</v>
      </c>
      <c r="AD84" s="51">
        <v>2</v>
      </c>
      <c r="AE84" s="595" t="str" cm="1">
        <f t="array" aca="1" ref="AE84" ca="1">Ver_flag_visit</f>
        <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56"/>
      <c r="X85" s="24">
        <f ca="1">Horarios!C85</f>
        <v>46191.166666666664</v>
      </c>
      <c r="Y85" s="25">
        <f ca="1">Horarios!C85</f>
        <v>46191.166666666664</v>
      </c>
      <c r="Z85" s="26" t="str">
        <f>$Z$4</f>
        <v>J1</v>
      </c>
      <c r="AA85" s="27" t="str">
        <f ca="1">A87</f>
        <v>Uzbekistán</v>
      </c>
      <c r="AB85" s="49" t="str" cm="1">
        <f t="array" aca="1" ref="AB85" ca="1">Ver_flag_local</f>
        <v/>
      </c>
      <c r="AC85" s="50">
        <v>2</v>
      </c>
      <c r="AD85" s="51">
        <v>3</v>
      </c>
      <c r="AE85" s="595" t="str" cm="1">
        <f t="array" aca="1" ref="AE85" ca="1">Ver_flag_visit</f>
        <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46196.791666666664</v>
      </c>
      <c r="Y86" s="25">
        <f ca="1">Horarios!C86</f>
        <v>46196.791666666664</v>
      </c>
      <c r="Z86" s="26" t="str">
        <f>$Z$6</f>
        <v>J2</v>
      </c>
      <c r="AA86" s="27" t="str">
        <f ca="1">A85</f>
        <v>Portugal</v>
      </c>
      <c r="AB86" s="49" t="str" cm="1">
        <f t="array" aca="1" ref="AB86" ca="1">Ver_flag_local</f>
        <v/>
      </c>
      <c r="AC86" s="50">
        <v>3</v>
      </c>
      <c r="AD86" s="51">
        <v>0</v>
      </c>
      <c r="AE86" s="595" t="str" cm="1">
        <f t="array" aca="1" ref="AE86" ca="1">Ver_flag_visit</f>
        <v/>
      </c>
      <c r="AF86" s="32" t="str">
        <f ca="1">A87</f>
        <v>Uzbekistán</v>
      </c>
      <c r="AG86" s="323">
        <f t="shared" si="266"/>
        <v>1</v>
      </c>
      <c r="AH86" s="195">
        <v>47</v>
      </c>
      <c r="AI86" s="181" t="str">
        <f>AJ86&amp;$B$84</f>
        <v>1K</v>
      </c>
      <c r="AJ86" s="40">
        <v>1</v>
      </c>
      <c r="AK86" s="601" t="str" cm="1">
        <f t="array" aca="1" ref="AK86" ca="1">Ver_flag_visit</f>
        <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8</v>
      </c>
      <c r="AS86" s="36">
        <f t="shared" ca="1" si="269"/>
        <v>3</v>
      </c>
      <c r="AT86" s="41">
        <f t="shared" ca="1" si="269"/>
        <v>5</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56"/>
      <c r="X87" s="24">
        <f ca="1">Horarios!C87</f>
        <v>46197.166666666664</v>
      </c>
      <c r="Y87" s="25">
        <f ca="1">Horarios!C87</f>
        <v>46197.166666666664</v>
      </c>
      <c r="Z87" s="26" t="str">
        <f>$Z$6</f>
        <v>J2</v>
      </c>
      <c r="AA87" s="27" t="str">
        <f ca="1">A88</f>
        <v>Colombia</v>
      </c>
      <c r="AB87" s="49" t="str" cm="1">
        <f t="array" aca="1" ref="AB87" ca="1">Ver_flag_local</f>
        <v/>
      </c>
      <c r="AC87" s="50">
        <v>4</v>
      </c>
      <c r="AD87" s="51">
        <v>3</v>
      </c>
      <c r="AE87" s="595" t="str" cm="1">
        <f t="array" aca="1" ref="AE87" ca="1">Ver_flag_visit</f>
        <v/>
      </c>
      <c r="AF87" s="32" t="str">
        <f ca="1">A86</f>
        <v>RD Congo</v>
      </c>
      <c r="AG87" s="323">
        <f t="shared" si="266"/>
        <v>1</v>
      </c>
      <c r="AH87" s="195">
        <v>48</v>
      </c>
      <c r="AI87" s="181" t="str">
        <f t="shared" ref="AI87:AI89" si="270">AJ87&amp;$B$84</f>
        <v>2K</v>
      </c>
      <c r="AJ87" s="42">
        <v>2</v>
      </c>
      <c r="AK87" s="602" t="str" cm="1">
        <f t="array" aca="1" ref="AK87" ca="1">Ver_flag_visit</f>
        <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8</v>
      </c>
      <c r="AS87" s="39">
        <f t="shared" ca="1" si="269"/>
        <v>7</v>
      </c>
      <c r="AT87" s="43">
        <f t="shared" ca="1" si="269"/>
        <v>1</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str" cm="1">
        <f t="array" aca="1" ref="AB88" ca="1">Ver_flag_local</f>
        <v/>
      </c>
      <c r="AC88" s="50">
        <v>1</v>
      </c>
      <c r="AD88" s="51">
        <v>2</v>
      </c>
      <c r="AE88" s="595" t="str" cm="1">
        <f t="array" aca="1" ref="AE88" ca="1">Ver_flag_visit</f>
        <v/>
      </c>
      <c r="AF88" s="32" t="str">
        <f ca="1">A85</f>
        <v>Portugal</v>
      </c>
      <c r="AG88" s="323">
        <f t="shared" si="266"/>
        <v>1</v>
      </c>
      <c r="AH88" s="195">
        <v>71</v>
      </c>
      <c r="AI88" s="181" t="str">
        <f t="shared" si="270"/>
        <v>3K</v>
      </c>
      <c r="AJ88" s="42">
        <v>3</v>
      </c>
      <c r="AK88" s="602" t="str" cm="1">
        <f t="array" aca="1" ref="AK88" ca="1">Ver_flag_visit</f>
        <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6</v>
      </c>
      <c r="AS88" s="39">
        <f t="shared" ca="1" si="269"/>
        <v>7</v>
      </c>
      <c r="AT88" s="43">
        <f t="shared" ca="1" si="269"/>
        <v>-1</v>
      </c>
      <c r="AU88" s="330">
        <f ca="1">INDEX($DL$6:$DL$53,MATCH(AI88,$DP$6:$DP$53,0))</f>
        <v>1</v>
      </c>
      <c r="AV88" s="182" t="str">
        <f ca="1">INDEX($BD$6:$BD$53,MATCH(AI88,$BM$6:$BM$53,0))</f>
        <v>RD Congo</v>
      </c>
      <c r="AW88" s="210"/>
      <c r="AX88" s="171"/>
      <c r="AY88" s="201" t="str">
        <f ca="1">+A87</f>
        <v>Uzbekistán</v>
      </c>
      <c r="AZ88" s="202"/>
      <c r="BA88" s="176"/>
    </row>
    <row r="89" spans="1:118" ht="15.95"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str" cm="1">
        <f t="array" aca="1" ref="AB89" ca="1">Ver_flag_local</f>
        <v/>
      </c>
      <c r="AC89" s="53">
        <v>1</v>
      </c>
      <c r="AD89" s="54">
        <v>0</v>
      </c>
      <c r="AE89" s="596" t="str" cm="1">
        <f t="array" aca="1" ref="AE89" ca="1">Ver_flag_visit</f>
        <v/>
      </c>
      <c r="AF89" s="33" t="str">
        <f ca="1">A87</f>
        <v>Uzbekistán</v>
      </c>
      <c r="AG89" s="323">
        <f t="shared" si="266"/>
        <v>1</v>
      </c>
      <c r="AH89" s="195">
        <v>72</v>
      </c>
      <c r="AI89" s="181" t="str">
        <f t="shared" si="270"/>
        <v>4K</v>
      </c>
      <c r="AJ89" s="44">
        <v>4</v>
      </c>
      <c r="AK89" s="604" t="str" cm="1">
        <f t="array" aca="1" ref="AK89" ca="1">Ver_flag_visit</f>
        <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7</v>
      </c>
      <c r="AT89" s="48">
        <f t="shared" ca="1" si="269"/>
        <v>-5</v>
      </c>
      <c r="AU89" s="330">
        <f ca="1">INDEX($DL$6:$DL$53,MATCH(AI89,$DP$6:$DP$53,0))</f>
        <v>1</v>
      </c>
      <c r="AV89" s="182" t="str">
        <f ca="1">INDEX($BD$6:$BD$53,MATCH(AI89,$BM$6:$BM$53,0))</f>
        <v>Uzbekistán</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32</v>
      </c>
      <c r="B92" s="16" t="s">
        <v>247</v>
      </c>
      <c r="C92" s="16">
        <f>COUNTIF(Equipos!$C$2:$C$49,WORLDCUP!B92)</f>
        <v>4</v>
      </c>
      <c r="D92" s="16" t="str">
        <f t="shared" ref="D92:D97" si="271">IF(OR(AC92="",AD92=""),"Pendiente",IF(AC92&gt;AD92,"Local",IF(AC92&lt;AD92,"Visitante","Empate")))</f>
        <v>Empate</v>
      </c>
      <c r="E92" s="16" t="str">
        <f t="shared" ref="E92:E97" ca="1" si="272">IF(D92="Pendiente","-",INDEX($BT$6:$BT$53,MATCH($AA92,$BD$6:$BD$53,0)))</f>
        <v>P.1 (2)</v>
      </c>
      <c r="F92" s="16" t="str">
        <f t="shared" ref="F92:F97" ca="1" si="273">IF(D92="Pendiente","-",INDEX($BT$6:$BT$53,MATCH($AF92,$BD$6:$BD$53,0)))</f>
        <v>P.1 (2)</v>
      </c>
      <c r="G92" s="16"/>
      <c r="H92" s="16" t="str">
        <f t="shared" ref="H92:H97" ca="1" si="274">IF(D92="Pendiente","-",INDEX($BZ$6:$BZ$53,MATCH($AA92,$BD$6:$BD$53,0)))</f>
        <v>P.1 (2)</v>
      </c>
      <c r="I92" s="16" t="str">
        <f t="shared" ref="I92:I97" ca="1" si="275">IF(D92="Pendiente","-",INDEX($BZ$6:$BZ$53,MATCH($AF92,$BD$6:$BD$53,0)))</f>
        <v>P.1 (2)</v>
      </c>
      <c r="J92" s="16"/>
      <c r="K92" s="16" t="str">
        <f t="shared" ref="K92:K97" ca="1" si="276">IF(D92="Pendiente","-",INDEX($CE$6:$CE$53,MATCH($AA92,$BD$6:$BD$53,0)))</f>
        <v>P.1 (2)</v>
      </c>
      <c r="L92" s="16" t="str">
        <f t="shared" ref="L92:L97" ca="1" si="277">IF(D92="Pendiente","-",INDEX($CE$6:$CE$53,MATCH($AF92,$BD$6:$BD$53,0)))</f>
        <v>P.1 (2)</v>
      </c>
      <c r="M92" s="16"/>
      <c r="N92" s="16" t="str">
        <f t="shared" ref="N92:N97" ca="1" si="278">IF(D92="Pendiente","-",INDEX($CH$6:$CH$53,MATCH($AA92,$BD$6:$BD$53,0)))</f>
        <v>P.1 (2)</v>
      </c>
      <c r="O92" s="16" t="str">
        <f t="shared" ref="O92:O97" ca="1" si="279">IF(D92="Pendiente","-",INDEX($CH$6:$CH$53,MATCH($AF92,$BD$6:$BD$53,0)))</f>
        <v>P.1 (2)</v>
      </c>
      <c r="P92" s="16"/>
      <c r="Q92" s="16" t="str">
        <f t="shared" ref="Q92:Q97" ca="1" si="280">IF(D92="Pendiente","-",INDEX($CN$6:$CN$53,MATCH($AA92,$BD$6:$BD$53,0)))</f>
        <v>P.1 (2)</v>
      </c>
      <c r="R92" s="16" t="str">
        <f t="shared" ref="R92:R97" ca="1" si="281">IF(D92="Pendiente","-",INDEX($CN$6:$CN$53,MATCH($AF92,$BD$6:$BD$53,0)))</f>
        <v>P.1 (2)</v>
      </c>
      <c r="S92" s="16"/>
      <c r="T92" s="16" t="str">
        <f t="shared" ref="T92:T97" ca="1" si="282">IF(D92="Pendiente","-",INDEX($CS$6:$CS$53,MATCH($AA92,$BD$6:$BD$53,0)))</f>
        <v>P.1 (2)</v>
      </c>
      <c r="U92" s="16" t="str">
        <f t="shared" ref="U92:U97" ca="1" si="283">IF(D92="Pendiente","-",INDEX($CS$6:$CS$53,MATCH($AF92,$BD$6:$BD$53,0)))</f>
        <v>P.1 (2)</v>
      </c>
      <c r="V92" s="17"/>
      <c r="W92" s="652" t="s">
        <v>247</v>
      </c>
      <c r="X92" s="24">
        <f ca="1">Horarios!C92</f>
        <v>46190.916666666664</v>
      </c>
      <c r="Y92" s="25">
        <f ca="1">Horarios!C92</f>
        <v>46190.916666666664</v>
      </c>
      <c r="Z92" s="26" t="str">
        <f>$Z$4</f>
        <v>J1</v>
      </c>
      <c r="AA92" s="27" t="str">
        <f ca="1">A93</f>
        <v>Inglaterra</v>
      </c>
      <c r="AB92" s="49" t="str" cm="1">
        <f t="array" aca="1" ref="AB92" ca="1">Ver_flag_local</f>
        <v/>
      </c>
      <c r="AC92" s="50">
        <v>2</v>
      </c>
      <c r="AD92" s="51">
        <v>2</v>
      </c>
      <c r="AE92" s="595" t="str" cm="1">
        <f t="array" aca="1" ref="AE92" ca="1">Ver_flag_visit</f>
        <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str" cm="1">
        <f t="array" aca="1" ref="AB93" ca="1">Ver_flag_local</f>
        <v/>
      </c>
      <c r="AC93" s="50">
        <v>3</v>
      </c>
      <c r="AD93" s="51">
        <v>0</v>
      </c>
      <c r="AE93" s="595" t="str" cm="1">
        <f t="array" aca="1" ref="AE93" ca="1">Ver_flag_visit</f>
        <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Local</v>
      </c>
      <c r="E94" s="16" t="str">
        <f t="shared" ca="1" si="272"/>
        <v>P.1 (2)</v>
      </c>
      <c r="F94" s="16" t="str">
        <f t="shared" ca="1" si="273"/>
        <v>-</v>
      </c>
      <c r="G94" s="16"/>
      <c r="H94" s="16" t="str">
        <f t="shared" ca="1" si="274"/>
        <v>P.1 (2)</v>
      </c>
      <c r="I94" s="16" t="str">
        <f t="shared" ca="1" si="275"/>
        <v>-</v>
      </c>
      <c r="J94" s="16"/>
      <c r="K94" s="16" t="str">
        <f t="shared" ca="1" si="276"/>
        <v>P.1 (2)</v>
      </c>
      <c r="L94" s="16" t="str">
        <f t="shared" ca="1" si="277"/>
        <v>-</v>
      </c>
      <c r="M94" s="16"/>
      <c r="N94" s="16" t="str">
        <f t="shared" ca="1" si="278"/>
        <v>P.1 (2)</v>
      </c>
      <c r="O94" s="16" t="str">
        <f t="shared" ca="1" si="279"/>
        <v>-</v>
      </c>
      <c r="P94" s="16"/>
      <c r="Q94" s="16" t="str">
        <f t="shared" ca="1" si="280"/>
        <v>P.1 (2)</v>
      </c>
      <c r="R94" s="16" t="str">
        <f t="shared" ca="1" si="281"/>
        <v>-</v>
      </c>
      <c r="S94" s="16"/>
      <c r="T94" s="16" t="str">
        <f t="shared" ca="1" si="282"/>
        <v>P.1 (2)</v>
      </c>
      <c r="U94" s="16" t="str">
        <f t="shared" ca="1" si="283"/>
        <v>-</v>
      </c>
      <c r="V94" s="17"/>
      <c r="W94" s="652"/>
      <c r="X94" s="24">
        <f ca="1">Horarios!C94</f>
        <v>46196.916666666664</v>
      </c>
      <c r="Y94" s="25">
        <f ca="1">Horarios!C94</f>
        <v>46196.916666666664</v>
      </c>
      <c r="Z94" s="26" t="str">
        <f>$Z$6</f>
        <v>J2</v>
      </c>
      <c r="AA94" s="27" t="str">
        <f ca="1">A93</f>
        <v>Inglaterra</v>
      </c>
      <c r="AB94" s="49" t="str" cm="1">
        <f t="array" aca="1" ref="AB94" ca="1">Ver_flag_local</f>
        <v/>
      </c>
      <c r="AC94" s="50">
        <v>3</v>
      </c>
      <c r="AD94" s="51">
        <v>2</v>
      </c>
      <c r="AE94" s="595" t="str" cm="1">
        <f t="array" aca="1" ref="AE94" ca="1">Ver_flag_visit</f>
        <v/>
      </c>
      <c r="AF94" s="32" t="str">
        <f ca="1">A95</f>
        <v>Ghana</v>
      </c>
      <c r="AG94" s="323">
        <f t="shared" si="284"/>
        <v>1</v>
      </c>
      <c r="AH94" s="195">
        <v>45</v>
      </c>
      <c r="AI94" s="181" t="str">
        <f>AJ94&amp;$B$92</f>
        <v>1L</v>
      </c>
      <c r="AJ94" s="40">
        <v>1</v>
      </c>
      <c r="AK94" s="601" t="str" cm="1">
        <f t="array" aca="1" ref="AK94" ca="1">Ver_flag_visit</f>
        <v/>
      </c>
      <c r="AL94" s="34" t="str">
        <f ca="1">IFERROR(INDEX($BD$6:$BD$53,MATCH(AI94,$BN$6:$BN$53,0)),"")</f>
        <v>Croacia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9</v>
      </c>
      <c r="AS94" s="36">
        <f t="shared" ca="1" si="287"/>
        <v>3</v>
      </c>
      <c r="AT94" s="41">
        <f t="shared" ca="1" si="287"/>
        <v>6</v>
      </c>
      <c r="AU94" s="330">
        <f ca="1">INDEX($DL$6:$DL$53,MATCH(AI94,$DP$6:$DP$53,0))</f>
        <v>1</v>
      </c>
      <c r="AV94" s="182" t="str">
        <f ca="1">INDEX($BD$6:$BD$53,MATCH(AI94,$BM$6:$BM$53,0))</f>
        <v>Croacia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P.1 (2)</v>
      </c>
      <c r="G95" s="16"/>
      <c r="H95" s="16" t="str">
        <f t="shared" ca="1" si="274"/>
        <v>-</v>
      </c>
      <c r="I95" s="16" t="str">
        <f t="shared" ca="1" si="275"/>
        <v>P.1 (2)</v>
      </c>
      <c r="J95" s="16"/>
      <c r="K95" s="16" t="str">
        <f t="shared" ca="1" si="276"/>
        <v>-</v>
      </c>
      <c r="L95" s="16" t="str">
        <f t="shared" ca="1" si="277"/>
        <v>P.1 (2)</v>
      </c>
      <c r="M95" s="16"/>
      <c r="N95" s="16" t="str">
        <f t="shared" ca="1" si="278"/>
        <v>-</v>
      </c>
      <c r="O95" s="16" t="str">
        <f t="shared" ca="1" si="279"/>
        <v>P.1 (2)</v>
      </c>
      <c r="P95" s="16"/>
      <c r="Q95" s="16" t="str">
        <f t="shared" ca="1" si="280"/>
        <v>-</v>
      </c>
      <c r="R95" s="16" t="str">
        <f t="shared" ca="1" si="281"/>
        <v>P.1 (2)</v>
      </c>
      <c r="S95" s="16"/>
      <c r="T95" s="16" t="str">
        <f t="shared" ca="1" si="282"/>
        <v>-</v>
      </c>
      <c r="U95" s="16" t="str">
        <f t="shared" ca="1" si="283"/>
        <v>P.1 (2)</v>
      </c>
      <c r="V95" s="17"/>
      <c r="W95" s="652"/>
      <c r="X95" s="24">
        <f ca="1">Horarios!C95</f>
        <v>46197.041666666664</v>
      </c>
      <c r="Y95" s="25">
        <f ca="1">Horarios!C95</f>
        <v>46197.041666666664</v>
      </c>
      <c r="Z95" s="26" t="str">
        <f>$Z$6</f>
        <v>J2</v>
      </c>
      <c r="AA95" s="27" t="str">
        <f ca="1">A96</f>
        <v>Panamá</v>
      </c>
      <c r="AB95" s="49" t="str" cm="1">
        <f t="array" aca="1" ref="AB95" ca="1">Ver_flag_local</f>
        <v/>
      </c>
      <c r="AC95" s="50">
        <v>1</v>
      </c>
      <c r="AD95" s="51">
        <v>6</v>
      </c>
      <c r="AE95" s="595" t="str" cm="1">
        <f t="array" aca="1" ref="AE95" ca="1">Ver_flag_visit</f>
        <v/>
      </c>
      <c r="AF95" s="32" t="str">
        <f ca="1">A94</f>
        <v>Croacia</v>
      </c>
      <c r="AG95" s="323">
        <f t="shared" si="284"/>
        <v>1</v>
      </c>
      <c r="AH95" s="195">
        <v>46</v>
      </c>
      <c r="AI95" s="181" t="str">
        <f t="shared" ref="AI95:AI97" si="288">AJ95&amp;$B$92</f>
        <v>2L</v>
      </c>
      <c r="AJ95" s="42">
        <v>2</v>
      </c>
      <c r="AK95" s="602" t="str" cm="1">
        <f t="array" aca="1" ref="AK95" ca="1">Ver_flag_visit</f>
        <v/>
      </c>
      <c r="AL95" s="37" t="str">
        <f ca="1">IFERROR(INDEX($BD$6:$BD$53,MATCH(AI95,$BN$6:$BN$53,0)),"")</f>
        <v>Inglaterra</v>
      </c>
      <c r="AM95" s="38">
        <f t="shared" ca="1" si="287"/>
        <v>7</v>
      </c>
      <c r="AN95" s="39">
        <f t="shared" ca="1" si="287"/>
        <v>3</v>
      </c>
      <c r="AO95" s="39">
        <f t="shared" ca="1" si="287"/>
        <v>2</v>
      </c>
      <c r="AP95" s="39">
        <f t="shared" ca="1" si="287"/>
        <v>1</v>
      </c>
      <c r="AQ95" s="39">
        <f t="shared" ca="1" si="287"/>
        <v>0</v>
      </c>
      <c r="AR95" s="39">
        <f t="shared" ca="1" si="287"/>
        <v>8</v>
      </c>
      <c r="AS95" s="39">
        <f t="shared" ca="1" si="287"/>
        <v>6</v>
      </c>
      <c r="AT95" s="43">
        <f t="shared" ca="1" si="287"/>
        <v>2</v>
      </c>
      <c r="AU95" s="330">
        <f ca="1">INDEX($DL$6:$DL$53,MATCH(AI95,$DP$6:$DP$53,0))</f>
        <v>1</v>
      </c>
      <c r="AV95" s="182" t="str">
        <f ca="1">INDEX($BD$6:$BD$53,MATCH(AI95,$BM$6:$BM$53,0))</f>
        <v>Inglaterra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P.1 (2)</v>
      </c>
      <c r="G96" s="16"/>
      <c r="H96" s="16" t="str">
        <f t="shared" ca="1" si="274"/>
        <v>-</v>
      </c>
      <c r="I96" s="16" t="str">
        <f t="shared" ca="1" si="275"/>
        <v>P.1 (2)</v>
      </c>
      <c r="J96" s="16"/>
      <c r="K96" s="16" t="str">
        <f t="shared" ca="1" si="276"/>
        <v>-</v>
      </c>
      <c r="L96" s="16" t="str">
        <f t="shared" ca="1" si="277"/>
        <v>P.1 (2)</v>
      </c>
      <c r="M96" s="16"/>
      <c r="N96" s="16" t="str">
        <f t="shared" ca="1" si="278"/>
        <v>-</v>
      </c>
      <c r="O96" s="16" t="str">
        <f t="shared" ca="1" si="279"/>
        <v>P.1 (2)</v>
      </c>
      <c r="P96" s="16"/>
      <c r="Q96" s="16" t="str">
        <f t="shared" ca="1" si="280"/>
        <v>-</v>
      </c>
      <c r="R96" s="16" t="str">
        <f t="shared" ca="1" si="281"/>
        <v>P.1 (2)</v>
      </c>
      <c r="S96" s="16"/>
      <c r="T96" s="16" t="str">
        <f t="shared" ca="1" si="282"/>
        <v>-</v>
      </c>
      <c r="U96" s="16" t="str">
        <f t="shared" ca="1" si="283"/>
        <v>P.1 (2)</v>
      </c>
      <c r="V96" s="17"/>
      <c r="W96" s="652"/>
      <c r="X96" s="24">
        <f ca="1">Horarios!C96</f>
        <v>46200.958333333336</v>
      </c>
      <c r="Y96" s="25">
        <f ca="1">Horarios!C96</f>
        <v>46200.958333333336</v>
      </c>
      <c r="Z96" s="26" t="str">
        <f>$Z$8</f>
        <v>J3</v>
      </c>
      <c r="AA96" s="27" t="str">
        <f ca="1">A96</f>
        <v>Panamá</v>
      </c>
      <c r="AB96" s="49" t="str" cm="1">
        <f t="array" aca="1" ref="AB96" ca="1">Ver_flag_local</f>
        <v/>
      </c>
      <c r="AC96" s="50">
        <v>2</v>
      </c>
      <c r="AD96" s="51">
        <v>3</v>
      </c>
      <c r="AE96" s="595" t="str" cm="1">
        <f t="array" aca="1" ref="AE96" ca="1">Ver_flag_visit</f>
        <v/>
      </c>
      <c r="AF96" s="32" t="str">
        <f ca="1">A93</f>
        <v>Inglaterra</v>
      </c>
      <c r="AG96" s="323">
        <f t="shared" si="284"/>
        <v>1</v>
      </c>
      <c r="AH96" s="195">
        <v>67</v>
      </c>
      <c r="AI96" s="181" t="str">
        <f t="shared" si="288"/>
        <v>3L</v>
      </c>
      <c r="AJ96" s="42">
        <v>3</v>
      </c>
      <c r="AK96" s="602" t="str" cm="1">
        <f t="array" aca="1" ref="AK96" ca="1">Ver_flag_visit</f>
        <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5</v>
      </c>
      <c r="AS96" s="39">
        <f t="shared" ca="1" si="287"/>
        <v>4</v>
      </c>
      <c r="AT96" s="43">
        <f t="shared" ca="1" si="287"/>
        <v>1</v>
      </c>
      <c r="AU96" s="330">
        <f ca="1">INDEX($DL$6:$DL$53,MATCH(AI96,$DP$6:$DP$53,0))</f>
        <v>1</v>
      </c>
      <c r="AV96" s="182" t="str">
        <f ca="1">INDEX($BD$6:$BD$53,MATCH(AI96,$BM$6:$BM$53,0))</f>
        <v>Ghana</v>
      </c>
      <c r="AW96" s="210"/>
      <c r="AX96" s="171"/>
      <c r="AY96" s="201" t="str">
        <f ca="1">+A95</f>
        <v>Ghana</v>
      </c>
      <c r="AZ96" s="202"/>
      <c r="BA96" s="176"/>
    </row>
    <row r="97" spans="1:62" ht="15.95" customHeight="1" thickBot="1">
      <c r="A97" s="16"/>
      <c r="B97" s="16"/>
      <c r="C97" s="16"/>
      <c r="D97" s="16" t="str">
        <f t="shared" si="271"/>
        <v>Local</v>
      </c>
      <c r="E97" s="16" t="str">
        <f t="shared" ca="1" si="272"/>
        <v>P.1 (2)</v>
      </c>
      <c r="F97" s="16" t="str">
        <f t="shared" ca="1" si="273"/>
        <v>-</v>
      </c>
      <c r="G97" s="16"/>
      <c r="H97" s="16" t="str">
        <f t="shared" ca="1" si="274"/>
        <v>P.1 (2)</v>
      </c>
      <c r="I97" s="16" t="str">
        <f t="shared" ca="1" si="275"/>
        <v>-</v>
      </c>
      <c r="J97" s="16"/>
      <c r="K97" s="16" t="str">
        <f t="shared" ca="1" si="276"/>
        <v>P.1 (2)</v>
      </c>
      <c r="L97" s="16" t="str">
        <f t="shared" ca="1" si="277"/>
        <v>-</v>
      </c>
      <c r="M97" s="16"/>
      <c r="N97" s="16" t="str">
        <f t="shared" ca="1" si="278"/>
        <v>P.1 (2)</v>
      </c>
      <c r="O97" s="16" t="str">
        <f t="shared" ca="1" si="279"/>
        <v>-</v>
      </c>
      <c r="P97" s="16"/>
      <c r="Q97" s="16" t="str">
        <f t="shared" ca="1" si="280"/>
        <v>P.1 (2)</v>
      </c>
      <c r="R97" s="16" t="str">
        <f t="shared" ca="1" si="281"/>
        <v>-</v>
      </c>
      <c r="S97" s="16"/>
      <c r="T97" s="16" t="str">
        <f t="shared" ca="1" si="282"/>
        <v>P.1 (2)</v>
      </c>
      <c r="U97" s="16" t="str">
        <f t="shared" ca="1" si="283"/>
        <v>-</v>
      </c>
      <c r="V97" s="17"/>
      <c r="W97" s="653"/>
      <c r="X97" s="28">
        <f ca="1">Horarios!C97</f>
        <v>46200.958333333336</v>
      </c>
      <c r="Y97" s="29">
        <f ca="1">Horarios!C97</f>
        <v>46200.958333333336</v>
      </c>
      <c r="Z97" s="30" t="str">
        <f>$Z$8</f>
        <v>J3</v>
      </c>
      <c r="AA97" s="31" t="str">
        <f ca="1">A94</f>
        <v>Croacia</v>
      </c>
      <c r="AB97" s="52" t="str" cm="1">
        <f t="array" aca="1" ref="AB97" ca="1">Ver_flag_local</f>
        <v/>
      </c>
      <c r="AC97" s="53">
        <v>1</v>
      </c>
      <c r="AD97" s="54">
        <v>0</v>
      </c>
      <c r="AE97" s="596" t="str" cm="1">
        <f t="array" aca="1" ref="AE97" ca="1">Ver_flag_visit</f>
        <v/>
      </c>
      <c r="AF97" s="33" t="str">
        <f ca="1">A95</f>
        <v>Ghana</v>
      </c>
      <c r="AG97" s="323">
        <f t="shared" si="284"/>
        <v>1</v>
      </c>
      <c r="AH97" s="195">
        <v>68</v>
      </c>
      <c r="AI97" s="181" t="str">
        <f t="shared" si="288"/>
        <v>4L</v>
      </c>
      <c r="AJ97" s="44">
        <v>4</v>
      </c>
      <c r="AK97" s="604" t="str" cm="1">
        <f t="array" aca="1" ref="AK97" ca="1">Ver_flag_visit</f>
        <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3</v>
      </c>
      <c r="AS97" s="47">
        <f t="shared" ca="1" si="287"/>
        <v>12</v>
      </c>
      <c r="AT97" s="48">
        <f t="shared" ca="1" si="287"/>
        <v>-9</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
      </c>
      <c r="AW100" s="151"/>
      <c r="AX100" s="151"/>
      <c r="AY100" s="154"/>
      <c r="AZ100" s="155"/>
      <c r="BA100" s="176"/>
    </row>
    <row r="101" spans="1:62" ht="15.9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Corea del Sur</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Corea del Sur</v>
      </c>
      <c r="AB101" s="89">
        <v>4</v>
      </c>
      <c r="AC101" s="51">
        <v>3</v>
      </c>
      <c r="AD101" s="51">
        <v>3</v>
      </c>
      <c r="AE101" s="90">
        <v>2</v>
      </c>
      <c r="AF101" s="91" t="str">
        <f t="shared" ref="AF101:AF116" ca="1" si="293">+INDEX($N$101:$N$147,MATCH(AH101,$J$101:$J$147,0))</f>
        <v>Suiza</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0</v>
      </c>
      <c r="AV101" s="188"/>
      <c r="AW101" s="214"/>
      <c r="AX101" s="214"/>
      <c r="AY101" s="335" t="str">
        <f ca="1">+IF(OR($H$113&gt;=48,$AJ$99=144),Idiomas!D68,"")</f>
        <v xml:space="preserve">Grupos mejores 3ºs: </v>
      </c>
      <c r="AZ101" s="336" t="str">
        <f ca="1">+IF(OR($H$113&gt;=48,$AJ$99=144),BI112,"")</f>
        <v>ABDEFIKL</v>
      </c>
      <c r="BA101" s="176"/>
    </row>
    <row r="102" spans="1:62" ht="15.9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Australia</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4</v>
      </c>
      <c r="AD102" s="92">
        <v>1</v>
      </c>
      <c r="AE102" s="89"/>
      <c r="AF102" s="91" t="str">
        <f t="shared" ca="1" si="293"/>
        <v>Suecia</v>
      </c>
      <c r="AG102" s="327">
        <f t="shared" ca="1" si="294"/>
        <v>1</v>
      </c>
      <c r="AH102" s="195">
        <v>76</v>
      </c>
      <c r="AI102" s="182">
        <v>1</v>
      </c>
      <c r="AJ102" s="80">
        <v>1</v>
      </c>
      <c r="AK102" s="605" t="str" cm="1">
        <f t="array" aca="1" ref="AK102" ca="1">Ver_flag_visit</f>
        <v/>
      </c>
      <c r="AL102" s="81" t="str">
        <f t="shared" ref="AL102:AL113" ca="1" si="297">+IF($H$113&gt;=48,INDEX($BD$58:$BD$69,MATCH(AI102,$BN$58:$BN$69,0)),BB58)</f>
        <v>Canadá</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9</v>
      </c>
      <c r="AS102" s="83">
        <f t="shared" ca="1" si="298"/>
        <v>8</v>
      </c>
      <c r="AT102" s="84">
        <f t="shared" ca="1" si="298"/>
        <v>1</v>
      </c>
      <c r="AU102" s="330">
        <f t="shared" ref="AU102:AU113" ca="1" si="299">IF($H$113=144,INDEX($DL$58:$DL$69,MATCH(AI102,$DP$58:$DP$69,0)),"")</f>
        <v>1</v>
      </c>
      <c r="AV102" s="182" t="str">
        <f t="shared" ref="AV102:AV113" ca="1" si="300">INDEX($BD$58:$BD$69,MATCH(AI102,$BM$58:$BM$69,0))</f>
        <v>Canadá</v>
      </c>
      <c r="AW102" s="215"/>
      <c r="AX102" s="170"/>
      <c r="AY102" s="154"/>
      <c r="AZ102" s="155"/>
      <c r="BA102" s="176"/>
      <c r="BE102" t="s">
        <v>454</v>
      </c>
      <c r="BF102" t="s">
        <v>730</v>
      </c>
      <c r="BG102" t="s">
        <v>775</v>
      </c>
      <c r="BI102" t="s">
        <v>86</v>
      </c>
    </row>
    <row r="103" spans="1:62" ht="15.9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Japón</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Escocia</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4</v>
      </c>
      <c r="AD103" s="92">
        <v>1</v>
      </c>
      <c r="AE103" s="89"/>
      <c r="AF103" s="91" t="str">
        <f t="shared" ca="1" si="293"/>
        <v>Australia</v>
      </c>
      <c r="AG103" s="327">
        <f t="shared" ca="1" si="294"/>
        <v>1</v>
      </c>
      <c r="AH103" s="195">
        <v>74</v>
      </c>
      <c r="AI103" s="182">
        <v>2</v>
      </c>
      <c r="AJ103" s="42">
        <v>2</v>
      </c>
      <c r="AK103" s="602" t="str" cm="1">
        <f t="array" aca="1" ref="AK103" ca="1">Ver_flag_visit</f>
        <v/>
      </c>
      <c r="AL103" s="85" t="str">
        <f t="shared" ca="1" si="297"/>
        <v>México</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9</v>
      </c>
      <c r="AS103" s="86">
        <f t="shared" ca="1" si="302"/>
        <v>9</v>
      </c>
      <c r="AT103" s="87">
        <f t="shared" ca="1" si="302"/>
        <v>0</v>
      </c>
      <c r="AU103" s="330">
        <f t="shared" ca="1" si="299"/>
        <v>1</v>
      </c>
      <c r="AV103" s="182" t="str">
        <f t="shared" ca="1" si="300"/>
        <v>México</v>
      </c>
      <c r="AW103" s="215"/>
      <c r="AX103" s="170"/>
      <c r="AY103" s="276"/>
      <c r="AZ103" s="279" t="str">
        <f t="shared" ref="AZ103:AZ110" ca="1" si="303">+IF(OR($H$113&gt;=48,$AJ$99=144),BF117&amp;" - "&amp;BG117,"")</f>
        <v>1A - 3E</v>
      </c>
      <c r="BA103" s="176"/>
      <c r="BF103" t="str">
        <f t="shared" ref="BF103:BF110" ca="1" si="304">IFERROR(INDEX($BC$6:$BC$53,MATCH(AL102,$BD$6:$BD$53,0)),"")</f>
        <v>B</v>
      </c>
      <c r="BG103">
        <f t="shared" ref="BG103:BG110" ca="1" si="305">COUNTIF($BF$103:$BF$110,"&lt;="&amp;BF103)</f>
        <v>2</v>
      </c>
      <c r="BI103">
        <v>1</v>
      </c>
      <c r="BJ103" t="str">
        <f t="shared" ref="BJ103:BJ110" ca="1" si="306">IFERROR(INDEX($BF$103:$BF$110,MATCH(BI103,$BG$103:$BG$110,0)),"Grupo")</f>
        <v>A</v>
      </c>
    </row>
    <row r="104" spans="1:62" ht="15.95" customHeight="1">
      <c r="A104" s="16" t="s">
        <v>662</v>
      </c>
      <c r="B104" s="16" t="s">
        <v>676</v>
      </c>
      <c r="C104" s="16"/>
      <c r="D104" s="16" t="str">
        <f t="shared" ca="1" si="289"/>
        <v>Japón</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58"/>
      <c r="X104" s="24">
        <f ca="1">Horarios!C104</f>
        <v>46203.125</v>
      </c>
      <c r="Y104" s="25">
        <f ca="1">Horarios!C104</f>
        <v>46203.125</v>
      </c>
      <c r="Z104" s="280">
        <f t="shared" si="296"/>
        <v>75</v>
      </c>
      <c r="AA104" s="88" t="str">
        <f t="shared" ca="1" si="292"/>
        <v>Japón</v>
      </c>
      <c r="AB104" s="89"/>
      <c r="AC104" s="92">
        <v>3</v>
      </c>
      <c r="AD104" s="92">
        <v>1</v>
      </c>
      <c r="AE104" s="89"/>
      <c r="AF104" s="91" t="str">
        <f t="shared" ca="1" si="293"/>
        <v>Escocia</v>
      </c>
      <c r="AG104" s="327">
        <f t="shared" ca="1" si="294"/>
        <v>1</v>
      </c>
      <c r="AH104" s="195">
        <v>75</v>
      </c>
      <c r="AI104" s="182">
        <v>3</v>
      </c>
      <c r="AJ104" s="42">
        <v>3</v>
      </c>
      <c r="AK104" s="602" t="str" cm="1">
        <f t="array" aca="1" ref="AK104" ca="1">Ver_flag_visit</f>
        <v/>
      </c>
      <c r="AL104" s="85" t="str">
        <f t="shared" ca="1" si="297"/>
        <v>Australia</v>
      </c>
      <c r="AM104" s="589">
        <f t="shared" ca="1" si="301"/>
        <v>3</v>
      </c>
      <c r="AN104" s="86">
        <f t="shared" ref="AN104:AT104" ca="1" si="307">+IF($H$113&gt;=48,INDEX($BE$58:$BN$69,MATCH($AL104,$BD$58:$BD$69,0),MATCH(AN$5,$BE$57:$BN$57,0)),$BB60)</f>
        <v>3</v>
      </c>
      <c r="AO104" s="86">
        <f t="shared" ca="1" si="307"/>
        <v>1</v>
      </c>
      <c r="AP104" s="86">
        <f t="shared" ca="1" si="307"/>
        <v>0</v>
      </c>
      <c r="AQ104" s="86">
        <f t="shared" ca="1" si="307"/>
        <v>2</v>
      </c>
      <c r="AR104" s="86">
        <f t="shared" ca="1" si="307"/>
        <v>8</v>
      </c>
      <c r="AS104" s="86">
        <f t="shared" ca="1" si="307"/>
        <v>7</v>
      </c>
      <c r="AT104" s="87">
        <f t="shared" ca="1" si="307"/>
        <v>1</v>
      </c>
      <c r="AU104" s="330">
        <f t="shared" ca="1" si="299"/>
        <v>1</v>
      </c>
      <c r="AV104" s="182" t="str">
        <f t="shared" ca="1" si="300"/>
        <v>Australia</v>
      </c>
      <c r="AW104" s="215"/>
      <c r="AX104" s="170"/>
      <c r="AY104" s="276"/>
      <c r="AZ104" s="279" t="str">
        <f t="shared" ca="1" si="303"/>
        <v>1B - 3I</v>
      </c>
      <c r="BA104" s="176"/>
      <c r="BF104" t="str">
        <f t="shared" ca="1" si="304"/>
        <v>A</v>
      </c>
      <c r="BG104">
        <f t="shared" ca="1" si="305"/>
        <v>1</v>
      </c>
      <c r="BI104">
        <v>2</v>
      </c>
      <c r="BJ104" t="str">
        <f t="shared" ca="1" si="306"/>
        <v>B</v>
      </c>
    </row>
    <row r="105" spans="1:62" ht="15.95"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Túnez</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Ecuador</v>
      </c>
      <c r="AB105" s="89"/>
      <c r="AC105" s="92">
        <v>1</v>
      </c>
      <c r="AD105" s="92">
        <v>2</v>
      </c>
      <c r="AE105" s="89"/>
      <c r="AF105" s="91" t="str">
        <f t="shared" ca="1" si="293"/>
        <v>Noruega</v>
      </c>
      <c r="AG105" s="327">
        <f t="shared" ca="1" si="294"/>
        <v>1</v>
      </c>
      <c r="AH105" s="195">
        <v>78</v>
      </c>
      <c r="AI105" s="182">
        <v>4</v>
      </c>
      <c r="AJ105" s="42">
        <v>4</v>
      </c>
      <c r="AK105" s="602" t="str" cm="1">
        <f t="array" aca="1" ref="AK105" ca="1">Ver_flag_visit</f>
        <v/>
      </c>
      <c r="AL105" s="85" t="str">
        <f t="shared" ca="1" si="297"/>
        <v>Ghana</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5</v>
      </c>
      <c r="AS105" s="86">
        <f t="shared" ca="1" si="308"/>
        <v>4</v>
      </c>
      <c r="AT105" s="87">
        <f t="shared" ca="1" si="308"/>
        <v>1</v>
      </c>
      <c r="AU105" s="330">
        <f t="shared" ca="1" si="299"/>
        <v>1</v>
      </c>
      <c r="AV105" s="182" t="str">
        <f t="shared" ca="1" si="300"/>
        <v>Ghana</v>
      </c>
      <c r="AW105" s="215"/>
      <c r="AX105" s="170"/>
      <c r="AY105" s="276"/>
      <c r="AZ105" s="279" t="str">
        <f t="shared" ca="1" si="303"/>
        <v>1D - 3B</v>
      </c>
      <c r="BA105" s="176"/>
      <c r="BF105" t="str">
        <f t="shared" ca="1" si="304"/>
        <v>D</v>
      </c>
      <c r="BG105">
        <f t="shared" ca="1" si="305"/>
        <v>3</v>
      </c>
      <c r="BI105">
        <v>3</v>
      </c>
      <c r="BJ105" t="str">
        <f t="shared" ca="1" si="306"/>
        <v>D</v>
      </c>
    </row>
    <row r="106" spans="1:62" ht="15.9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3</v>
      </c>
      <c r="AD106" s="92">
        <v>0</v>
      </c>
      <c r="AE106" s="89"/>
      <c r="AF106" s="91" t="str">
        <f t="shared" ca="1" si="293"/>
        <v>Túnez</v>
      </c>
      <c r="AG106" s="327">
        <f t="shared" ca="1" si="294"/>
        <v>1</v>
      </c>
      <c r="AH106" s="195">
        <v>77</v>
      </c>
      <c r="AI106" s="182">
        <v>5</v>
      </c>
      <c r="AJ106" s="42">
        <v>5</v>
      </c>
      <c r="AK106" s="602" t="str" cm="1">
        <f t="array" aca="1" ref="AK106" ca="1">Ver_flag_visit</f>
        <v/>
      </c>
      <c r="AL106" s="85" t="str">
        <f t="shared" ca="1" si="297"/>
        <v>RD Congo</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6</v>
      </c>
      <c r="AS106" s="86">
        <f t="shared" ca="1" si="309"/>
        <v>7</v>
      </c>
      <c r="AT106" s="87">
        <f t="shared" ca="1" si="309"/>
        <v>-1</v>
      </c>
      <c r="AU106" s="330">
        <f t="shared" ca="1" si="299"/>
        <v>1</v>
      </c>
      <c r="AV106" s="182" t="str">
        <f t="shared" ca="1" si="300"/>
        <v>RD Congo</v>
      </c>
      <c r="AW106" s="215"/>
      <c r="AX106" s="170"/>
      <c r="AY106" s="276"/>
      <c r="AZ106" s="279" t="str">
        <f t="shared" ca="1" si="303"/>
        <v>1E - 3D</v>
      </c>
      <c r="BA106" s="176"/>
      <c r="BF106" t="str">
        <f t="shared" ca="1" si="304"/>
        <v>L</v>
      </c>
      <c r="BG106">
        <f t="shared" ca="1" si="305"/>
        <v>8</v>
      </c>
      <c r="BI106">
        <v>4</v>
      </c>
      <c r="BJ106" t="str">
        <f t="shared" ca="1" si="306"/>
        <v>E</v>
      </c>
    </row>
    <row r="107" spans="1:62" ht="15.95" customHeight="1">
      <c r="A107" s="16" t="s">
        <v>656</v>
      </c>
      <c r="B107" s="16" t="s">
        <v>735</v>
      </c>
      <c r="C107" s="16"/>
      <c r="D107" s="16" t="str">
        <f t="shared" ca="1" si="289"/>
        <v>Costa de Marfil</v>
      </c>
      <c r="E107" s="16" t="s">
        <v>0</v>
      </c>
      <c r="F107" s="16" t="s">
        <v>732</v>
      </c>
      <c r="G107" s="16" t="s">
        <v>6</v>
      </c>
      <c r="H107" s="16">
        <f t="shared" ca="1" si="290"/>
        <v>12</v>
      </c>
      <c r="I107" s="16"/>
      <c r="J107" s="16">
        <v>79</v>
      </c>
      <c r="K107" s="16">
        <v>46203.75</v>
      </c>
      <c r="L107" s="16" t="s">
        <v>702</v>
      </c>
      <c r="M107" s="16" t="str">
        <f t="shared" ca="1" si="291"/>
        <v>Sudáfrica</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58"/>
      <c r="X107" s="24">
        <f ca="1">Horarios!C107</f>
        <v>46204.125</v>
      </c>
      <c r="Y107" s="25">
        <f ca="1">Horarios!C107</f>
        <v>46204.125</v>
      </c>
      <c r="Z107" s="280">
        <f t="shared" si="296"/>
        <v>79</v>
      </c>
      <c r="AA107" s="88" t="str">
        <f t="shared" ca="1" si="292"/>
        <v>Sudáfrica</v>
      </c>
      <c r="AB107" s="89">
        <v>3</v>
      </c>
      <c r="AC107" s="92">
        <v>3</v>
      </c>
      <c r="AD107" s="92">
        <v>3</v>
      </c>
      <c r="AE107" s="89">
        <v>5</v>
      </c>
      <c r="AF107" s="91" t="str">
        <f t="shared" ca="1" si="293"/>
        <v>Costa de Marfil</v>
      </c>
      <c r="AG107" s="327">
        <f t="shared" ca="1" si="294"/>
        <v>1</v>
      </c>
      <c r="AH107" s="195">
        <v>79</v>
      </c>
      <c r="AI107" s="182">
        <v>6</v>
      </c>
      <c r="AJ107" s="42">
        <v>6</v>
      </c>
      <c r="AK107" s="602" t="str" cm="1">
        <f t="array" aca="1" ref="AK107" ca="1">Ver_flag_visit</f>
        <v/>
      </c>
      <c r="AL107" s="85" t="str">
        <f t="shared" ca="1" si="297"/>
        <v>Costa de Marfil</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8</v>
      </c>
      <c r="AS107" s="86">
        <f t="shared" ca="1" si="310"/>
        <v>10</v>
      </c>
      <c r="AT107" s="87">
        <f t="shared" ca="1" si="310"/>
        <v>-2</v>
      </c>
      <c r="AU107" s="330">
        <f t="shared" ca="1" si="299"/>
        <v>1</v>
      </c>
      <c r="AV107" s="182" t="str">
        <f ca="1">INDEX($BD$58:$BD$69,MATCH(AI107,$BM$58:$BM$69,0))</f>
        <v>Costa de Marfil</v>
      </c>
      <c r="AW107" s="215"/>
      <c r="AX107" s="170"/>
      <c r="AY107" s="276"/>
      <c r="AZ107" s="279" t="str">
        <f t="shared" ca="1" si="303"/>
        <v>1G - 3A</v>
      </c>
      <c r="BA107" s="176"/>
      <c r="BF107" t="str">
        <f t="shared" ca="1" si="304"/>
        <v>K</v>
      </c>
      <c r="BG107">
        <f t="shared" ca="1" si="305"/>
        <v>7</v>
      </c>
      <c r="BI107">
        <v>5</v>
      </c>
      <c r="BJ107" t="str">
        <f t="shared" ca="1" si="306"/>
        <v>F</v>
      </c>
    </row>
    <row r="108" spans="1:62" ht="15.95" customHeight="1">
      <c r="A108" s="16" t="s">
        <v>693</v>
      </c>
      <c r="B108" s="16" t="s">
        <v>736</v>
      </c>
      <c r="C108" s="16"/>
      <c r="D108" s="16" t="str">
        <f t="shared" ca="1" si="289"/>
        <v>Croacia</v>
      </c>
      <c r="E108" s="16" t="s">
        <v>247</v>
      </c>
      <c r="F108" s="16" t="s">
        <v>732</v>
      </c>
      <c r="G108" s="16" t="s">
        <v>447</v>
      </c>
      <c r="H108" s="16">
        <f t="shared" ca="1" si="290"/>
        <v>12</v>
      </c>
      <c r="I108" s="16"/>
      <c r="J108" s="16">
        <v>80</v>
      </c>
      <c r="K108" s="16">
        <v>46204.75</v>
      </c>
      <c r="L108" s="16" t="s">
        <v>703</v>
      </c>
      <c r="M108" s="16" t="str">
        <f t="shared" ca="1" si="291"/>
        <v>Croacia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58"/>
      <c r="X108" s="24">
        <f ca="1">Horarios!C108</f>
        <v>46204.75</v>
      </c>
      <c r="Y108" s="25">
        <f ca="1">Horarios!C108</f>
        <v>46204.75</v>
      </c>
      <c r="Z108" s="280">
        <f t="shared" si="296"/>
        <v>80</v>
      </c>
      <c r="AA108" s="88" t="str">
        <f t="shared" ca="1" si="292"/>
        <v>Croacia</v>
      </c>
      <c r="AB108" s="89"/>
      <c r="AC108" s="92">
        <v>5</v>
      </c>
      <c r="AD108" s="92">
        <v>1</v>
      </c>
      <c r="AE108" s="89"/>
      <c r="AF108" s="91" t="str">
        <f t="shared" ca="1" si="293"/>
        <v>RD Congo</v>
      </c>
      <c r="AG108" s="327">
        <f t="shared" ca="1" si="294"/>
        <v>1</v>
      </c>
      <c r="AH108" s="195">
        <v>80</v>
      </c>
      <c r="AI108" s="182">
        <v>7</v>
      </c>
      <c r="AJ108" s="42">
        <v>7</v>
      </c>
      <c r="AK108" s="602" t="str" cm="1">
        <f t="array" aca="1" ref="AK108" ca="1">Ver_flag_visit</f>
        <v/>
      </c>
      <c r="AL108" s="85" t="str">
        <f t="shared" ca="1" si="297"/>
        <v>Túnez</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6</v>
      </c>
      <c r="AS108" s="86">
        <f t="shared" ca="1" si="311"/>
        <v>9</v>
      </c>
      <c r="AT108" s="87">
        <f t="shared" ca="1" si="311"/>
        <v>-3</v>
      </c>
      <c r="AU108" s="330">
        <f t="shared" ca="1" si="299"/>
        <v>1</v>
      </c>
      <c r="AV108" s="182" t="str">
        <f t="shared" ca="1" si="300"/>
        <v>Túnez</v>
      </c>
      <c r="AW108" s="215"/>
      <c r="AX108" s="170"/>
      <c r="AY108" s="276"/>
      <c r="AZ108" s="279" t="str">
        <f t="shared" ca="1" si="303"/>
        <v>1I - 3F</v>
      </c>
      <c r="BA108" s="176"/>
      <c r="BF108" t="str">
        <f t="shared" ca="1" si="304"/>
        <v>E</v>
      </c>
      <c r="BG108">
        <f t="shared" ca="1" si="305"/>
        <v>4</v>
      </c>
      <c r="BI108">
        <v>6</v>
      </c>
      <c r="BJ108" t="str">
        <f t="shared" ca="1" si="306"/>
        <v>I</v>
      </c>
    </row>
    <row r="109" spans="1:62" ht="15.95" customHeight="1">
      <c r="A109" s="16" t="s">
        <v>669</v>
      </c>
      <c r="B109" s="16" t="s">
        <v>737</v>
      </c>
      <c r="C109" s="16"/>
      <c r="D109" s="16" t="str">
        <f t="shared" ca="1" si="289"/>
        <v>México</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Canadá</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Nueva Zelanda</v>
      </c>
      <c r="AB109" s="89"/>
      <c r="AC109" s="92">
        <v>2</v>
      </c>
      <c r="AD109" s="92">
        <v>3</v>
      </c>
      <c r="AE109" s="89"/>
      <c r="AF109" s="91" t="str">
        <f t="shared" ca="1" si="293"/>
        <v>México</v>
      </c>
      <c r="AG109" s="327">
        <f t="shared" ca="1" si="294"/>
        <v>1</v>
      </c>
      <c r="AH109" s="195">
        <v>82</v>
      </c>
      <c r="AI109" s="182">
        <v>8</v>
      </c>
      <c r="AJ109" s="42">
        <v>8</v>
      </c>
      <c r="AK109" s="602" t="str" cm="1">
        <f t="array" aca="1" ref="AK109" ca="1">Ver_flag_visit</f>
        <v/>
      </c>
      <c r="AL109" s="85" t="str">
        <f t="shared" ca="1" si="297"/>
        <v>Senegal</v>
      </c>
      <c r="AM109" s="589">
        <f t="shared" ca="1" si="301"/>
        <v>2</v>
      </c>
      <c r="AN109" s="86">
        <f t="shared" ref="AN109:AT109" ca="1" si="312">+IF($H$113&gt;=48,INDEX($BE$58:$BN$69,MATCH($AL109,$BD$58:$BD$69,0),MATCH(AN$5,$BE$57:$BN$57,0)),$BB65)</f>
        <v>3</v>
      </c>
      <c r="AO109" s="86">
        <f t="shared" ca="1" si="312"/>
        <v>0</v>
      </c>
      <c r="AP109" s="86">
        <f t="shared" ca="1" si="312"/>
        <v>2</v>
      </c>
      <c r="AQ109" s="86">
        <f t="shared" ca="1" si="312"/>
        <v>1</v>
      </c>
      <c r="AR109" s="86">
        <f t="shared" ca="1" si="312"/>
        <v>5</v>
      </c>
      <c r="AS109" s="86">
        <f t="shared" ca="1" si="312"/>
        <v>6</v>
      </c>
      <c r="AT109" s="87">
        <f t="shared" ca="1" si="312"/>
        <v>-1</v>
      </c>
      <c r="AU109" s="330">
        <f t="shared" ca="1" si="299"/>
        <v>1</v>
      </c>
      <c r="AV109" s="182" t="str">
        <f t="shared" ca="1" si="300"/>
        <v>Senegal</v>
      </c>
      <c r="AW109" s="215"/>
      <c r="AX109" s="170"/>
      <c r="AY109" s="276"/>
      <c r="AZ109" s="279" t="str">
        <f t="shared" ca="1" si="303"/>
        <v>1K - 3L</v>
      </c>
      <c r="BA109" s="176"/>
      <c r="BF109" t="str">
        <f t="shared" ca="1" si="304"/>
        <v>F</v>
      </c>
      <c r="BG109">
        <f t="shared" ca="1" si="305"/>
        <v>5</v>
      </c>
      <c r="BI109">
        <v>7</v>
      </c>
      <c r="BJ109" t="str">
        <f t="shared" ca="1" si="306"/>
        <v>K</v>
      </c>
    </row>
    <row r="110" spans="1:62" ht="15.95" customHeight="1">
      <c r="A110" s="16" t="s">
        <v>678</v>
      </c>
      <c r="B110" s="16" t="s">
        <v>738</v>
      </c>
      <c r="C110" s="16"/>
      <c r="D110" s="16" t="str">
        <f t="shared" ca="1" si="289"/>
        <v>Canadá</v>
      </c>
      <c r="E110" s="16" t="s">
        <v>6</v>
      </c>
      <c r="F110" s="16" t="s">
        <v>732</v>
      </c>
      <c r="G110" s="16" t="s">
        <v>5</v>
      </c>
      <c r="H110" s="16">
        <f t="shared" ca="1" si="290"/>
        <v>12</v>
      </c>
      <c r="I110" s="16"/>
      <c r="J110" s="16">
        <v>82</v>
      </c>
      <c r="K110" s="16">
        <v>46204.75</v>
      </c>
      <c r="L110" s="16" t="s">
        <v>705</v>
      </c>
      <c r="M110" s="16" t="str">
        <f t="shared" ca="1" si="291"/>
        <v>Nueva Zelanda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México</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Estados Unidos</v>
      </c>
      <c r="AB110" s="89">
        <v>2</v>
      </c>
      <c r="AC110" s="92">
        <v>1</v>
      </c>
      <c r="AD110" s="92">
        <v>1</v>
      </c>
      <c r="AE110" s="89">
        <v>4</v>
      </c>
      <c r="AF110" s="91" t="str">
        <f t="shared" ca="1" si="293"/>
        <v>Canadá</v>
      </c>
      <c r="AG110" s="327">
        <f t="shared" ca="1" si="294"/>
        <v>1</v>
      </c>
      <c r="AH110" s="195">
        <v>81</v>
      </c>
      <c r="AI110" s="182">
        <v>9</v>
      </c>
      <c r="AJ110" s="42">
        <v>9</v>
      </c>
      <c r="AK110" s="602" t="str" cm="1">
        <f t="array" aca="1" ref="AK110" ca="1">Ver_flag_visit</f>
        <v/>
      </c>
      <c r="AL110" s="85" t="str">
        <f t="shared" ca="1" si="297"/>
        <v>Jordania</v>
      </c>
      <c r="AM110" s="589">
        <f t="shared" ca="1" si="301"/>
        <v>2</v>
      </c>
      <c r="AN110" s="86">
        <f t="shared" ref="AN110:AT110" ca="1" si="313">+IF($H$113&gt;=48,INDEX($BE$58:$BN$69,MATCH($AL110,$BD$58:$BD$69,0),MATCH(AN$5,$BE$57:$BN$57,0)),$BB66)</f>
        <v>3</v>
      </c>
      <c r="AO110" s="86">
        <f t="shared" ca="1" si="313"/>
        <v>0</v>
      </c>
      <c r="AP110" s="86">
        <f t="shared" ca="1" si="313"/>
        <v>2</v>
      </c>
      <c r="AQ110" s="86">
        <f t="shared" ca="1" si="313"/>
        <v>1</v>
      </c>
      <c r="AR110" s="86">
        <f t="shared" ca="1" si="313"/>
        <v>2</v>
      </c>
      <c r="AS110" s="86">
        <f t="shared" ca="1" si="313"/>
        <v>5</v>
      </c>
      <c r="AT110" s="87">
        <f t="shared" ca="1" si="313"/>
        <v>-3</v>
      </c>
      <c r="AU110" s="330">
        <f t="shared" ca="1" si="299"/>
        <v>1</v>
      </c>
      <c r="AV110" s="182" t="str">
        <f t="shared" ca="1" si="300"/>
        <v>Jordania</v>
      </c>
      <c r="AW110" s="215"/>
      <c r="AX110" s="170"/>
      <c r="AY110" s="276"/>
      <c r="AZ110" s="279" t="str">
        <f t="shared" ca="1" si="303"/>
        <v>1L - 3K</v>
      </c>
      <c r="BA110" s="176"/>
      <c r="BF110" t="str">
        <f t="shared" ca="1" si="304"/>
        <v>I</v>
      </c>
      <c r="BG110">
        <f t="shared" ca="1" si="305"/>
        <v>6</v>
      </c>
      <c r="BI110">
        <v>8</v>
      </c>
      <c r="BJ110" t="str">
        <f t="shared" ca="1" si="306"/>
        <v>L</v>
      </c>
    </row>
    <row r="111" spans="1:62" ht="15.9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Inglaterra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2</v>
      </c>
      <c r="AD111" s="92">
        <v>1</v>
      </c>
      <c r="AE111" s="89"/>
      <c r="AF111" s="91" t="str">
        <f t="shared" ca="1" si="293"/>
        <v>Argelia</v>
      </c>
      <c r="AG111" s="327">
        <f t="shared" ca="1" si="294"/>
        <v>1</v>
      </c>
      <c r="AH111" s="195">
        <v>84</v>
      </c>
      <c r="AI111" s="182">
        <v>10</v>
      </c>
      <c r="AJ111" s="42">
        <v>10</v>
      </c>
      <c r="AK111" s="602" t="str" cm="1">
        <f t="array" aca="1" ref="AK111" ca="1">Ver_flag_visit</f>
        <v/>
      </c>
      <c r="AL111" s="85" t="str">
        <f t="shared" ca="1" si="297"/>
        <v>Haití</v>
      </c>
      <c r="AM111" s="589">
        <f t="shared" ca="1" si="301"/>
        <v>2</v>
      </c>
      <c r="AN111" s="86">
        <f t="shared" ref="AN111:AT111" ca="1" si="314">+IF($H$113&gt;=48,INDEX($BE$58:$BN$69,MATCH($AL111,$BD$58:$BD$69,0),MATCH(AN$5,$BE$57:$BN$57,0)),$BB67)</f>
        <v>3</v>
      </c>
      <c r="AO111" s="86">
        <f t="shared" ca="1" si="314"/>
        <v>0</v>
      </c>
      <c r="AP111" s="86">
        <f t="shared" ca="1" si="314"/>
        <v>2</v>
      </c>
      <c r="AQ111" s="86">
        <f t="shared" ca="1" si="314"/>
        <v>1</v>
      </c>
      <c r="AR111" s="86">
        <f t="shared" ca="1" si="314"/>
        <v>1</v>
      </c>
      <c r="AS111" s="86">
        <f t="shared" ca="1" si="314"/>
        <v>8</v>
      </c>
      <c r="AT111" s="87">
        <f t="shared" ca="1" si="314"/>
        <v>-7</v>
      </c>
      <c r="AU111" s="330">
        <f t="shared" ca="1" si="299"/>
        <v>1</v>
      </c>
      <c r="AV111" s="182" t="str">
        <f t="shared" ca="1" si="300"/>
        <v>Haití</v>
      </c>
      <c r="AW111" s="215"/>
      <c r="AX111" s="170"/>
      <c r="AY111" s="275"/>
      <c r="AZ111" s="275"/>
      <c r="BA111" s="176"/>
      <c r="BI111" t="s">
        <v>87</v>
      </c>
    </row>
    <row r="112" spans="1:62" ht="15.95" customHeight="1">
      <c r="A112" s="16" t="s">
        <v>681</v>
      </c>
      <c r="B112" s="16" t="s">
        <v>688</v>
      </c>
      <c r="C112" s="16"/>
      <c r="D112" s="16" t="str">
        <f t="shared" ca="1" si="289"/>
        <v>Inglaterra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v>2</v>
      </c>
      <c r="AC112" s="92">
        <v>4</v>
      </c>
      <c r="AD112" s="92">
        <v>4</v>
      </c>
      <c r="AE112" s="89">
        <v>4</v>
      </c>
      <c r="AF112" s="91" t="str">
        <f t="shared" ca="1" si="293"/>
        <v>Inglaterra</v>
      </c>
      <c r="AG112" s="327">
        <f t="shared" ca="1" si="294"/>
        <v>1</v>
      </c>
      <c r="AH112" s="195">
        <v>83</v>
      </c>
      <c r="AI112" s="182">
        <v>11</v>
      </c>
      <c r="AJ112" s="42">
        <v>11</v>
      </c>
      <c r="AK112" s="602" t="str" cm="1">
        <f t="array" aca="1" ref="AK112" ca="1">Ver_flag_visit</f>
        <v/>
      </c>
      <c r="AL112" s="85" t="str">
        <f t="shared" ca="1" si="297"/>
        <v>Arabia Saudita</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5</v>
      </c>
      <c r="AS112" s="86">
        <f t="shared" ca="1" si="315"/>
        <v>8</v>
      </c>
      <c r="AT112" s="87">
        <f t="shared" ca="1" si="315"/>
        <v>-3</v>
      </c>
      <c r="AU112" s="330">
        <f t="shared" ca="1" si="299"/>
        <v>1</v>
      </c>
      <c r="AV112" s="182" t="str">
        <f t="shared" ca="1" si="300"/>
        <v>Arabia Saudita</v>
      </c>
      <c r="AW112" s="215"/>
      <c r="AX112" s="170"/>
      <c r="AY112" s="275"/>
      <c r="AZ112" s="275"/>
      <c r="BA112" s="176"/>
      <c r="BI112" t="str">
        <f ca="1">IFERROR(CONCATENATE(BJ103,BJ104,BJ105,BJ106,BJ107,BJ108,BJ109,BJ110),"¿A/B/C/D/E/F/G/H/I/J/K/L?")</f>
        <v>ABDEFIKL</v>
      </c>
    </row>
    <row r="113" spans="1:59" ht="15.95" customHeight="1" thickBot="1">
      <c r="A113" s="16" t="s">
        <v>659</v>
      </c>
      <c r="B113" s="16" t="s">
        <v>739</v>
      </c>
      <c r="C113" s="16"/>
      <c r="D113" s="16" t="str">
        <f t="shared" ca="1" si="289"/>
        <v>Senegal</v>
      </c>
      <c r="E113" s="16" t="s">
        <v>1</v>
      </c>
      <c r="F113" s="16" t="s">
        <v>732</v>
      </c>
      <c r="G113" s="16" t="s">
        <v>732</v>
      </c>
      <c r="H113" s="16">
        <f ca="1">+IF($AJ$99&lt;&gt;144,SUM(H101:H112),$AJ$99)</f>
        <v>144</v>
      </c>
      <c r="I113" s="16"/>
      <c r="J113" s="16">
        <v>85</v>
      </c>
      <c r="K113" s="16">
        <v>46205.75</v>
      </c>
      <c r="L113" s="16" t="s">
        <v>708</v>
      </c>
      <c r="M113" s="16" t="str">
        <f t="shared" ca="1" si="291"/>
        <v>Catar</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Senegal</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Catar</v>
      </c>
      <c r="AB113" s="89">
        <v>3</v>
      </c>
      <c r="AC113" s="92">
        <v>1</v>
      </c>
      <c r="AD113" s="92">
        <v>1</v>
      </c>
      <c r="AE113" s="90">
        <v>5</v>
      </c>
      <c r="AF113" s="91" t="str">
        <f t="shared" ca="1" si="293"/>
        <v>Senegal</v>
      </c>
      <c r="AG113" s="327">
        <f t="shared" ca="1" si="294"/>
        <v>1</v>
      </c>
      <c r="AH113" s="195">
        <v>85</v>
      </c>
      <c r="AI113" s="182">
        <v>12</v>
      </c>
      <c r="AJ113" s="44">
        <v>12</v>
      </c>
      <c r="AK113" s="604" t="str" cm="1">
        <f t="array" aca="1" ref="AK113" ca="1">Ver_flag_visit</f>
        <v/>
      </c>
      <c r="AL113" s="45" t="str">
        <f t="shared" ca="1" si="297"/>
        <v>Irán</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4</v>
      </c>
      <c r="AS113" s="47">
        <f t="shared" ca="1" si="316"/>
        <v>8</v>
      </c>
      <c r="AT113" s="48">
        <f t="shared" ca="1" si="316"/>
        <v>-4</v>
      </c>
      <c r="AU113" s="330">
        <f t="shared" ca="1" si="299"/>
        <v>1</v>
      </c>
      <c r="AV113" s="182" t="str">
        <f t="shared" ca="1" si="300"/>
        <v>Irán</v>
      </c>
      <c r="AW113" s="215"/>
      <c r="AX113" s="170"/>
      <c r="AY113" s="154"/>
      <c r="AZ113" s="155"/>
      <c r="BA113" s="176"/>
    </row>
    <row r="114" spans="1:59" ht="15.95" customHeight="1">
      <c r="A114" s="16" t="s">
        <v>687</v>
      </c>
      <c r="B114" s="16" t="s">
        <v>682</v>
      </c>
      <c r="C114" s="16"/>
      <c r="D114" s="16" t="str">
        <f t="shared" ca="1" si="289"/>
        <v>Bélgica</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Turquía</v>
      </c>
      <c r="AB114" s="89"/>
      <c r="AC114" s="92">
        <v>2</v>
      </c>
      <c r="AD114" s="92">
        <v>3</v>
      </c>
      <c r="AE114" s="89"/>
      <c r="AF114" s="91" t="str">
        <f t="shared" ca="1" si="293"/>
        <v>Bélgica</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6</v>
      </c>
      <c r="AD115" s="92">
        <v>2</v>
      </c>
      <c r="AE115" s="89"/>
      <c r="AF115" s="91" t="str">
        <f t="shared" ca="1" si="293"/>
        <v>Cabo Verde</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Bélgica</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5</v>
      </c>
      <c r="AD116" s="277">
        <v>2</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3I</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5.9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Japón</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Corea del Sur</v>
      </c>
      <c r="AB120" s="89"/>
      <c r="AC120" s="96">
        <v>2</v>
      </c>
      <c r="AD120" s="96">
        <v>4</v>
      </c>
      <c r="AE120" s="89"/>
      <c r="AF120" s="91" t="str">
        <f t="shared" ref="AF120:AF127" ca="1" si="321">+INDEX($N$101:$N$147,MATCH(AH120,$J$101:$J$147,0))</f>
        <v>Japón</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5.95" customHeight="1">
      <c r="A121" s="16" t="s">
        <v>743</v>
      </c>
      <c r="B121" s="16" t="s">
        <v>744</v>
      </c>
      <c r="C121" s="16"/>
      <c r="D121" s="16" t="str">
        <f t="shared" ca="1" si="317"/>
        <v>Alemania</v>
      </c>
      <c r="E121" s="16">
        <v>73</v>
      </c>
      <c r="F121" s="16">
        <v>75</v>
      </c>
      <c r="G121" s="16"/>
      <c r="H121" s="16"/>
      <c r="I121" s="16"/>
      <c r="J121" s="16">
        <v>90</v>
      </c>
      <c r="K121" s="16">
        <v>46207.875</v>
      </c>
      <c r="L121" s="16" t="s">
        <v>713</v>
      </c>
      <c r="M121" s="16" t="str">
        <f t="shared" ca="1" si="318"/>
        <v>Corea del Sur</v>
      </c>
      <c r="N121" s="16" t="str">
        <f t="shared" ca="1" si="318"/>
        <v>Japón</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2</v>
      </c>
      <c r="AD121" s="97">
        <v>1</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5.9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3</v>
      </c>
      <c r="AD122" s="97">
        <v>1</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5.95" customHeight="1">
      <c r="A123" s="16" t="s">
        <v>747</v>
      </c>
      <c r="B123" s="16" t="s">
        <v>748</v>
      </c>
      <c r="C123" s="16"/>
      <c r="D123" s="16" t="str">
        <f t="shared" ca="1" si="317"/>
        <v>Croacia</v>
      </c>
      <c r="E123" s="16">
        <v>79</v>
      </c>
      <c r="F123" s="16">
        <v>80</v>
      </c>
      <c r="G123" s="16"/>
      <c r="H123" s="16"/>
      <c r="I123" s="16"/>
      <c r="J123" s="16">
        <v>92</v>
      </c>
      <c r="K123" s="16">
        <v>46208.875</v>
      </c>
      <c r="L123" s="16" t="s">
        <v>715</v>
      </c>
      <c r="M123" s="16" t="str">
        <f t="shared" ca="1" si="318"/>
        <v>Costa de Marfil</v>
      </c>
      <c r="N123" s="16" t="str">
        <f t="shared" ca="1" si="318"/>
        <v>Croacia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Costa de Marfil</v>
      </c>
      <c r="AB123" s="89"/>
      <c r="AC123" s="97">
        <v>1</v>
      </c>
      <c r="AD123" s="97">
        <v>2</v>
      </c>
      <c r="AE123" s="89"/>
      <c r="AF123" s="91" t="str">
        <f t="shared" ca="1" si="321"/>
        <v>Croacia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5.9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Inglaterra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Inglaterra</v>
      </c>
      <c r="AB124" s="98">
        <v>3</v>
      </c>
      <c r="AC124" s="97">
        <v>3</v>
      </c>
      <c r="AD124" s="97">
        <v>3</v>
      </c>
      <c r="AE124" s="90">
        <v>4</v>
      </c>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5.95" customHeight="1">
      <c r="A125" s="16" t="s">
        <v>751</v>
      </c>
      <c r="B125" s="16" t="s">
        <v>752</v>
      </c>
      <c r="C125" s="16"/>
      <c r="D125" s="16" t="str">
        <f t="shared" ca="1" si="317"/>
        <v>México</v>
      </c>
      <c r="E125" s="16">
        <v>81</v>
      </c>
      <c r="F125" s="16">
        <v>82</v>
      </c>
      <c r="G125" s="16"/>
      <c r="H125" s="16"/>
      <c r="I125" s="16"/>
      <c r="J125" s="16">
        <v>94</v>
      </c>
      <c r="K125" s="16">
        <v>46209.875</v>
      </c>
      <c r="L125" s="16" t="s">
        <v>717</v>
      </c>
      <c r="M125" s="16" t="str">
        <f t="shared" ca="1" si="318"/>
        <v>Canadá</v>
      </c>
      <c r="N125" s="16" t="str">
        <f t="shared" ca="1" si="318"/>
        <v>México</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Canadá</v>
      </c>
      <c r="AB125" s="89">
        <v>3</v>
      </c>
      <c r="AC125" s="99">
        <v>2</v>
      </c>
      <c r="AD125" s="99">
        <v>2</v>
      </c>
      <c r="AE125" s="89">
        <v>4</v>
      </c>
      <c r="AF125" s="91" t="str">
        <f t="shared" ca="1" si="321"/>
        <v>México</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Bélgica</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v>4</v>
      </c>
      <c r="AC126" s="99">
        <v>2</v>
      </c>
      <c r="AD126" s="99">
        <v>2</v>
      </c>
      <c r="AE126" s="89">
        <v>3</v>
      </c>
      <c r="AF126" s="91" t="str">
        <f t="shared" ca="1" si="321"/>
        <v>Bélgica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Senegal</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Senegal</v>
      </c>
      <c r="AB127" s="94"/>
      <c r="AC127" s="100">
        <v>1</v>
      </c>
      <c r="AD127" s="100">
        <v>2</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757</v>
      </c>
      <c r="B131" s="16" t="s">
        <v>758</v>
      </c>
      <c r="C131" s="16"/>
      <c r="D131" s="16" t="str">
        <f ca="1">IF(AND(OR(AC131="",AD131="")),"W"&amp;AH131,IF(AC131&gt;AD131,AA131,IF(AC131&lt;AD131,AF131,IF(AND(AC131=AD131,AB131=AE131),"W"&amp;AH131,IF(AND(AC131=AD131,OR(AB131="",AE131="")),"W"&amp;AH131,IF(AND(AC131=AD131,AB131&gt;AE131),AA131,AF131))))))</f>
        <v>Alemania</v>
      </c>
      <c r="E131" s="16">
        <v>89</v>
      </c>
      <c r="F131" s="16">
        <v>90</v>
      </c>
      <c r="G131" s="16"/>
      <c r="H131" s="16"/>
      <c r="I131" s="16"/>
      <c r="J131" s="16">
        <v>97</v>
      </c>
      <c r="K131" s="16">
        <v>46212.75</v>
      </c>
      <c r="L131" s="16" t="s">
        <v>720</v>
      </c>
      <c r="M131" s="16" t="str">
        <f t="shared" ref="M131:N134" ca="1" si="323">+INDEX($D$101:$D$147,MATCH(E131,$AH$101:$AH$147,0))</f>
        <v>Alemania</v>
      </c>
      <c r="N131" s="16" t="str">
        <f t="shared" ca="1" si="323"/>
        <v>Japón</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Alemania</v>
      </c>
      <c r="AB131" s="98"/>
      <c r="AC131" s="96">
        <v>3</v>
      </c>
      <c r="AD131" s="96">
        <v>2</v>
      </c>
      <c r="AE131" s="90"/>
      <c r="AF131" s="116" t="str">
        <f ca="1">+INDEX($N$101:$N$147,MATCH(AH131,$J$101:$J$147,0))</f>
        <v>Japón</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México</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4</v>
      </c>
      <c r="AD132" s="99">
        <v>2</v>
      </c>
      <c r="AE132" s="89"/>
      <c r="AF132" s="116" t="str">
        <f ca="1">+INDEX($N$101:$N$147,MATCH(AH132,$J$101:$J$147,0))</f>
        <v>México</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761</v>
      </c>
      <c r="B133" s="16" t="s">
        <v>762</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722</v>
      </c>
      <c r="M133" s="16" t="str">
        <f t="shared" ca="1" si="323"/>
        <v>Brasil</v>
      </c>
      <c r="N133" s="16" t="str">
        <f t="shared" ca="1" si="323"/>
        <v>Croacia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v>5</v>
      </c>
      <c r="AC133" s="99">
        <v>2</v>
      </c>
      <c r="AD133" s="99">
        <v>2</v>
      </c>
      <c r="AE133" s="89">
        <v>3</v>
      </c>
      <c r="AF133" s="116" t="str">
        <f ca="1">+INDEX($N$101:$N$147,MATCH(AH133,$J$101:$J$147,0))</f>
        <v>Croacia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3</v>
      </c>
      <c r="AD134" s="100">
        <v>2</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765</v>
      </c>
      <c r="B138" s="16" t="s">
        <v>766</v>
      </c>
      <c r="C138" s="16"/>
      <c r="D138" s="16" t="str">
        <f ca="1">IF(AND(OR(AC138="",AD138="")),"W"&amp;AH138,IF(AC138&gt;AD138,AA138,IF(AC138&lt;AD138,AF138,IF(AND(AC138=AD138,AB138=AE138),"W"&amp;AH138,IF(AND(AC138=AD138,OR(AB138="",AE138="")),"W"&amp;AH138,IF(AND(AC138=AD138,AB138&gt;AE138),AA138,AF138))))))</f>
        <v>Alemania</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724</v>
      </c>
      <c r="M138" s="16" t="str">
        <f ca="1">+INDEX($D$101:$D$147,MATCH(E138,$AH$101:$AH$147,0))</f>
        <v>Alemania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Alemania</v>
      </c>
      <c r="AB138" s="89"/>
      <c r="AC138" s="101">
        <v>2</v>
      </c>
      <c r="AD138" s="101">
        <v>1</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Brasil</v>
      </c>
      <c r="E139" s="16">
        <v>99</v>
      </c>
      <c r="F139" s="16">
        <v>100</v>
      </c>
      <c r="G139" s="16"/>
      <c r="H139" s="16" t="str">
        <f ca="1">IF(AND(OR(AC139="",AD139="")),"L102",IF(AC139&gt;AD139,AF139,IF(AC139&lt;AD139,AA139,IF(AND(AC139=AD139,AB139=AE139),"W102",IF(AND(AC139=AD139,OR(AB139="",AE139="")),"L102",IF(AND(AC139=AD139,AB139&gt;AE139),AF139,AA139))))))</f>
        <v>Argentina</v>
      </c>
      <c r="I139" s="16"/>
      <c r="J139" s="16">
        <v>102</v>
      </c>
      <c r="K139" s="16">
        <v>46218.875</v>
      </c>
      <c r="L139" s="16" t="s">
        <v>725</v>
      </c>
      <c r="M139" s="16" t="str">
        <f ca="1">+INDEX($D$101:$D$147,MATCH(E139,$AH$101:$AH$147,0))</f>
        <v>Brasil</v>
      </c>
      <c r="N139" s="16" t="str">
        <f ca="1">+INDEX($D$101:$D$147,MATCH(F139,$AH$101:$AH$147,0))</f>
        <v>Argentina</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Brasil</v>
      </c>
      <c r="AB139" s="140">
        <v>4</v>
      </c>
      <c r="AC139" s="100">
        <v>3</v>
      </c>
      <c r="AD139" s="100">
        <v>3</v>
      </c>
      <c r="AE139" s="140">
        <v>3</v>
      </c>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Argentina</v>
      </c>
      <c r="E143" s="16">
        <v>101</v>
      </c>
      <c r="F143" s="16">
        <v>102</v>
      </c>
      <c r="G143" s="16"/>
      <c r="H143" s="16"/>
      <c r="I143" s="16"/>
      <c r="J143" s="16">
        <v>103</v>
      </c>
      <c r="K143" s="16">
        <v>46221.875</v>
      </c>
      <c r="L143" s="16" t="s">
        <v>726</v>
      </c>
      <c r="M143" s="16" t="str">
        <f ca="1">+INDEX($D$101:$D$147,MATCH(E143,$AH$101:$AH$147,0))</f>
        <v>Alemania</v>
      </c>
      <c r="N143" s="16" t="str">
        <f ca="1">+INDEX($D$101:$D$147,MATCH(F143,$AH$101:$AH$147,0))</f>
        <v>Brasil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España</v>
      </c>
      <c r="AB143" s="216"/>
      <c r="AC143" s="105">
        <v>2</v>
      </c>
      <c r="AD143" s="105">
        <v>4</v>
      </c>
      <c r="AE143" s="216"/>
      <c r="AF143" s="106" t="str">
        <f ca="1">IF(AND(OR(AC139="",AD139="")),"L102",IF(AC139&gt;AD139,AF139,IF(AC139&lt;AD139,AA139,IF(AND(AC139=AD139,AB139=AE139),"L102",IF(AND(AC139=AD139,OR(AB139="",AE139="")),"L102",IF(AND(AC139=AD139,AB139&gt;AE139),AF139,AA139))))))</f>
        <v>Argentina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Alemania</v>
      </c>
      <c r="E147" s="16">
        <v>101</v>
      </c>
      <c r="F147" s="16">
        <v>102</v>
      </c>
      <c r="G147" s="16"/>
      <c r="H147" s="16" t="str">
        <f ca="1">IF(AND(OR(AC147="",AD147="")),"LF",IF(AC147&gt;AD147,AF147,IF(AC147&lt;AD147,AA147,IF(AND(AC147=AD147,AB147=AE147),"LF",IF(AND(AC147=AD147,OR(AB147="",AE147="")),"LF",IF(AND(AC147=AD147,AB147&gt;AE147),AF147,AA147))))))</f>
        <v>Brasil</v>
      </c>
      <c r="I147" s="16"/>
      <c r="J147" s="16">
        <v>104</v>
      </c>
      <c r="K147" s="16">
        <v>46222.875</v>
      </c>
      <c r="L147" s="16" t="s">
        <v>727</v>
      </c>
      <c r="M147" s="16" t="str">
        <f ca="1">+INDEX($D$101:$D$147,MATCH(E147,$AH$101:$AH$147,0))</f>
        <v>Alemania</v>
      </c>
      <c r="N147" s="16" t="str">
        <f ca="1">+INDEX($D$101:$D$147,MATCH(F147,$AH$101:$AH$147,0))</f>
        <v>Brasil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Alemania</v>
      </c>
      <c r="AB147" s="216"/>
      <c r="AC147" s="105">
        <v>3</v>
      </c>
      <c r="AD147" s="105">
        <v>2</v>
      </c>
      <c r="AE147" s="216"/>
      <c r="AF147" s="106" t="str">
        <f ca="1">IF(AND(OR(AC139="",AD139="")),"W"&amp;AH139,IF(AC139&gt;AD139,AA139,IF(AC139&lt;AD139,AF139,IF(AND(AC139=AD139,AB139=AE139),"W"&amp;AH139,IF(AND(AC139=AD139,OR(AB139="",AE139="")),"W"&amp;AH139,IF(AND(AC139=AD139,AB139&gt;AE139),AA139,AF139))))))</f>
        <v>Brasil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Alemania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Brasil</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Argentina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1516</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1519</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1517</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1520</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1519</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1518</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formula1>0</formula1>
      <formula2>500</formula2>
    </dataValidation>
  </dataValidations>
  <hyperlinks>
    <hyperlink ref="AL162" r:id="rId1" display="© Miguel Angel Tejero. 2025"/>
    <hyperlink ref="AO162" r:id="rId2" display="https://www.paypal.com/donate?business=PJ2B6ZBH7ZHR4&amp;currency_code=EUR"/>
    <hyperlink ref="AV1" r:id="rId3"/>
    <hyperlink ref="AF162" location="Fixture!A1" display="Fixture"/>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14:formula1>
            <xm:f>Equipos!$F$2:$F$13</xm:f>
          </x14:formula1>
          <xm:sqref>B4 B12 B20 B28 B36 B44 B52 B60 B68 B76 B84 B92</xm:sqref>
        </x14:dataValidation>
        <x14:dataValidation type="list" allowBlank="1" showInputMessage="1" showErrorMessage="1">
          <x14:formula1>
            <xm:f>OFFSET(Horarios!$P$3,DJ50-1,0,DL50,1)</xm:f>
          </x14:formula1>
          <xm:sqref>AW102:AW113 AW94:AW97</xm:sqref>
        </x14:dataValidation>
        <x14:dataValidation type="list" allowBlank="1" showInputMessage="1" showErrorMessage="1" error="Introduce un puesto que corresponda_x000a_">
          <x14:formula1>
            <xm:f>OFFSET(Horarios!$P$3,DJ6-1,0,DL6,1)</xm:f>
          </x14:formula1>
          <xm:sqref>AW6:AW9</xm:sqref>
        </x14:dataValidation>
        <x14:dataValidation type="list" allowBlank="1" showInputMessage="1" showErrorMessage="1" error="Introduce un puesto que corresponda_x000a_">
          <x14:formula1>
            <xm:f>OFFSET(Horarios!$P$3,DJ10-1,0,DL10,1)</xm:f>
          </x14:formula1>
          <xm:sqref>AW14:AW17</xm:sqref>
        </x14:dataValidation>
        <x14:dataValidation type="list" allowBlank="1" showInputMessage="1" showErrorMessage="1" error="Introduce un puesto que corresponda_x000a_">
          <x14:formula1>
            <xm:f>OFFSET(Horarios!$P$3,DJ14-1,0,DL14,1)</xm:f>
          </x14:formula1>
          <xm:sqref>AW22:AW25</xm:sqref>
        </x14:dataValidation>
        <x14:dataValidation type="list" allowBlank="1" showInputMessage="1" showErrorMessage="1">
          <x14:formula1>
            <xm:f>OFFSET(Horarios!$P$3,DJ18-1,0,DL18,1)</xm:f>
          </x14:formula1>
          <xm:sqref>AW30:AW33</xm:sqref>
        </x14:dataValidation>
        <x14:dataValidation type="list" allowBlank="1" showInputMessage="1" showErrorMessage="1">
          <x14:formula1>
            <xm:f>OFFSET(Horarios!$P$3,DJ22-1,0,DL22,1)</xm:f>
          </x14:formula1>
          <xm:sqref>AW38:AW41</xm:sqref>
        </x14:dataValidation>
        <x14:dataValidation type="list" allowBlank="1" showInputMessage="1" showErrorMessage="1">
          <x14:formula1>
            <xm:f>OFFSET(Horarios!$P$3,DJ26-1,0,DL26,1)</xm:f>
          </x14:formula1>
          <xm:sqref>AW46:AW49</xm:sqref>
        </x14:dataValidation>
        <x14:dataValidation type="list" allowBlank="1" showInputMessage="1" showErrorMessage="1">
          <x14:formula1>
            <xm:f>OFFSET(Horarios!$P$3,DJ30-1,0,DL30,1)</xm:f>
          </x14:formula1>
          <xm:sqref>AW54:AW57</xm:sqref>
        </x14:dataValidation>
        <x14:dataValidation type="list" allowBlank="1" showInputMessage="1" showErrorMessage="1">
          <x14:formula1>
            <xm:f>OFFSET(Horarios!$P$3,DJ34-1,0,DL34,1)</xm:f>
          </x14:formula1>
          <xm:sqref>AW62:AW65</xm:sqref>
        </x14:dataValidation>
        <x14:dataValidation type="list" allowBlank="1" showInputMessage="1" showErrorMessage="1">
          <x14:formula1>
            <xm:f>OFFSET(Horarios!$P$3,DJ38-1,0,DL38,1)</xm:f>
          </x14:formula1>
          <xm:sqref>AW70:AW73</xm:sqref>
        </x14:dataValidation>
        <x14:dataValidation type="list" allowBlank="1" showInputMessage="1" showErrorMessage="1">
          <x14:formula1>
            <xm:f>OFFSET(Horarios!$P$3,DJ42-1,0,DL42,1)</xm:f>
          </x14:formula1>
          <xm:sqref>AW78:AW81</xm:sqref>
        </x14:dataValidation>
        <x14:dataValidation type="list" allowBlank="1" showInputMessage="1" showErrorMessage="1">
          <x14:formula1>
            <xm:f>OFFSET(Horarios!$P$3,DJ46-1,0,DL46,1)</xm:f>
          </x14:formula1>
          <xm:sqref>AW86:AW89</xm:sqref>
        </x14:dataValidation>
        <x14:dataValidation type="list" allowBlank="1" showInputMessage="1" showErrorMessage="1">
          <x14:formula1>
            <xm:f>Idiomas!$D$70:$D$71</xm:f>
          </x14:formula1>
          <xm:sqref>AZ3</xm:sqref>
        </x14:dataValidation>
        <x14:dataValidation type="list" allowBlank="1" showInputMessage="1" showErrorMessage="1">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P258"/>
  <sheetViews>
    <sheetView showGridLines="0" zoomScaleNormal="100" workbookViewId="0">
      <selection activeCell="C5" sqref="C5:C258"/>
    </sheetView>
  </sheetViews>
  <sheetFormatPr baseColWidth="10"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100000000000001" customHeight="1" thickBot="1">
      <c r="A2" s="290"/>
      <c r="B2" s="291"/>
      <c r="C2" s="291"/>
      <c r="D2" s="368"/>
      <c r="E2" s="701"/>
      <c r="F2" s="701"/>
      <c r="G2" s="701"/>
      <c r="H2" s="701"/>
      <c r="I2" s="701"/>
      <c r="J2" s="701"/>
      <c r="K2" s="701"/>
      <c r="L2" s="701"/>
      <c r="M2" s="701"/>
      <c r="N2" s="701"/>
    </row>
    <row r="3" spans="1:14" ht="35.1"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8.95" customHeight="1">
      <c r="A5" s="353"/>
      <c r="B5" s="354" t="str">
        <f>Idiomas!D125</f>
        <v>FASE DE GRUPOS</v>
      </c>
      <c r="C5" s="346" t="str">
        <f>Home!C10</f>
        <v>ALEJANDRA</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2|2-4</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1|3-1</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1|3-1</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1|5-2</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1|6-1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X|0-0</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1|2-1</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2|3-4</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1|7-1</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2|2-3</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2|0-1</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1|4-3</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1|2-1</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2|2-3</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X|3-3</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X|3-3</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X|2-2</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X|1-1</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1|6-0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X|0-0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1|3-2</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2|2-3</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X|2-2</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1|3-0</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X|2-2</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X|3-3</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1|4-2</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X|3-3</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1|2-1</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1|7-0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1|3-2</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1|5-1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1|6-3</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1|2-0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X|2-2</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2|0-3</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1|3-0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1|4-1</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1|2-1</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2|1-2</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1|4-1</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1|3-2</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1|3-1</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X|1-1</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1|3-0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1|4-3</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1|3-2</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2|1-6</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2|2-4</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1|5-3</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1|4-3</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2|2-3</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2|0-5</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X|1-1</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2|3-4</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2|0-3</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2|1-3</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2|0-4</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1|3-1</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1|3-2</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X|2-2</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X|0-0</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1|3-1</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2|1-3</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2|1-3</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X|1-1</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1|2-1</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2|1-4</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2|1-2</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1|1-0</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2|2-3</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1|1-0</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8.9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Sudáfrica</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Corea del Sur</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México</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República Checa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Catar</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Suiza</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Canadá</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Bosnia y Herzegovina</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Escocia</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Haití</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Marruecos</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Turquía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Australia</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Paraguay</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Japón</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Suecia</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Túnez</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Países Bajos</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Nueva Zelanda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Bélgica</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Egipto</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Cabo Verde</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Uruguay</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Argelia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Jordania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Austria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Croacia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Inglaterra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8.9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Corea del Sur</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Japón</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Ecuador</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Sudáfrica</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Croacia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Nueva Zelanda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Catar</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Turquía</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Suiza</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Suecia</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Australia</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Escocia</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Túnez</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Costa de Marfil</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RD Congo</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México</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Canadá</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Argelia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Inglaterra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Senegal</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Bélgica</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Cabo Verde</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20.100000000000001"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1"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Corea del Sur-Suiza</v>
      </c>
      <c r="C164" s="349" t="str">
        <f ca="1">CONCATENATE(WORLDCUP!AA101,"-",WORLDCUP!AF101,"·",IF(WORLDCUP!AC101&gt;WORLDCUP!AD101,1,IF(WORLDCUP!AC101&lt;WORLDCUP!AD101,2,IF(AND(WORLDCUP!AC101=WORLDCUP!AD101,WORLDCUP!AC101&lt;&gt;"",WORLDCUP!AD101&lt;&gt;""),"X",0))),"|",WORLDCUP!AC101,"-",WORLDCUP!AD101)</f>
        <v>Corea del Sur-Suiza·X|3-3</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Brasil-Suecia</v>
      </c>
      <c r="C165" s="349" t="str">
        <f ca="1">CONCATENATE(WORLDCUP!AA102,"-",WORLDCUP!AF102,"·",IF(WORLDCUP!AC102&gt;WORLDCUP!AD102,1,IF(WORLDCUP!AC102&lt;WORLDCUP!AD102,2,IF(AND(WORLDCUP!AC102=WORLDCUP!AD102,WORLDCUP!AC102&lt;&gt;"",WORLDCUP!AD102&lt;&gt;""),"X",0))),"|",WORLDCUP!AC102,"-",WORLDCUP!AD102)</f>
        <v>Brasil-Suecia·1|4-1</v>
      </c>
      <c r="D165" s="692"/>
      <c r="E165" s="711"/>
      <c r="F165" s="711"/>
      <c r="G165" s="711"/>
      <c r="H165" s="711"/>
      <c r="I165" s="352"/>
      <c r="J165" s="370"/>
      <c r="K165" s="370"/>
      <c r="L165" s="370"/>
      <c r="M165" s="386"/>
      <c r="N165" s="377"/>
    </row>
    <row r="166" spans="1:14" ht="15" customHeight="1">
      <c r="A166" s="690"/>
      <c r="B166" s="360" t="str">
        <f ca="1">CONCATENATE(WORLDCUP!AA103,"-",WORLDCUP!AF103)</f>
        <v>Alemania-Australia</v>
      </c>
      <c r="C166" s="349" t="str">
        <f ca="1">CONCATENATE(WORLDCUP!AA103,"-",WORLDCUP!AF103,"·",IF(WORLDCUP!AC103&gt;WORLDCUP!AD103,1,IF(WORLDCUP!AC103&lt;WORLDCUP!AD103,2,IF(AND(WORLDCUP!AC103=WORLDCUP!AD103,WORLDCUP!AC103&lt;&gt;"",WORLDCUP!AD103&lt;&gt;""),"X",0))),"|",WORLDCUP!AC103,"-",WORLDCUP!AD103)</f>
        <v>Alemania-Australia·1|4-1</v>
      </c>
      <c r="D166" s="692"/>
      <c r="E166" s="711"/>
      <c r="F166" s="711"/>
      <c r="G166" s="711"/>
      <c r="H166" s="711"/>
      <c r="I166" s="352"/>
      <c r="J166" s="370"/>
      <c r="K166" s="370"/>
      <c r="L166" s="370"/>
      <c r="M166" s="386"/>
      <c r="N166" s="377"/>
    </row>
    <row r="167" spans="1:14" ht="15" customHeight="1">
      <c r="A167" s="690"/>
      <c r="B167" s="360" t="str">
        <f ca="1">CONCATENATE(WORLDCUP!AA104,"-",WORLDCUP!AF104)</f>
        <v>Japón-Escocia</v>
      </c>
      <c r="C167" s="349" t="str">
        <f ca="1">CONCATENATE(WORLDCUP!AA104,"-",WORLDCUP!AF104,"·",IF(WORLDCUP!AC104&gt;WORLDCUP!AD104,1,IF(WORLDCUP!AC104&lt;WORLDCUP!AD104,2,IF(AND(WORLDCUP!AC104=WORLDCUP!AD104,WORLDCUP!AC104&lt;&gt;"",WORLDCUP!AD104&lt;&gt;""),"X",0))),"|",WORLDCUP!AC104,"-",WORLDCUP!AD104)</f>
        <v>Japón-Escocia·1|3-1</v>
      </c>
      <c r="D167" s="692"/>
      <c r="E167" s="711"/>
      <c r="F167" s="711"/>
      <c r="G167" s="711"/>
      <c r="H167" s="711"/>
      <c r="I167" s="352"/>
      <c r="J167" s="370"/>
      <c r="K167" s="370"/>
      <c r="L167" s="370"/>
      <c r="M167" s="386"/>
      <c r="N167" s="377"/>
    </row>
    <row r="168" spans="1:14" ht="15" customHeight="1">
      <c r="A168" s="690"/>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Ecuador-Noruega·2|1-2</v>
      </c>
      <c r="D168" s="692"/>
      <c r="E168" s="370"/>
      <c r="F168" s="370"/>
      <c r="G168" s="370"/>
      <c r="H168" s="370"/>
      <c r="I168" s="352"/>
      <c r="J168" s="370"/>
      <c r="K168" s="370"/>
      <c r="L168" s="370"/>
      <c r="M168" s="386"/>
      <c r="N168" s="377"/>
    </row>
    <row r="169" spans="1:14" ht="15" customHeight="1">
      <c r="A169" s="690"/>
      <c r="B169" s="360" t="str">
        <f ca="1">CONCATENATE(WORLDCUP!AA106,"-",WORLDCUP!AF106)</f>
        <v>Francia-Túnez</v>
      </c>
      <c r="C169" s="349" t="str">
        <f ca="1">CONCATENATE(WORLDCUP!AA106,"-",WORLDCUP!AF106,"·",IF(WORLDCUP!AC106&gt;WORLDCUP!AD106,1,IF(WORLDCUP!AC106&lt;WORLDCUP!AD106,2,IF(AND(WORLDCUP!AC106=WORLDCUP!AD106,WORLDCUP!AC106&lt;&gt;"",WORLDCUP!AD106&lt;&gt;""),"X",0))),"|",WORLDCUP!AC106,"-",WORLDCUP!AD106)</f>
        <v>Francia-Túnez·1|3-0</v>
      </c>
      <c r="D169" s="692"/>
      <c r="E169" s="370"/>
      <c r="F169" s="370"/>
      <c r="G169" s="370"/>
      <c r="H169" s="370"/>
      <c r="I169" s="352"/>
      <c r="J169" s="370"/>
      <c r="K169" s="370"/>
      <c r="L169" s="370"/>
      <c r="M169" s="386"/>
      <c r="N169" s="377"/>
    </row>
    <row r="170" spans="1:14" ht="15" customHeight="1">
      <c r="A170" s="690"/>
      <c r="B170" s="360" t="str">
        <f ca="1">CONCATENATE(WORLDCUP!AA107,"-",WORLDCUP!AF107)</f>
        <v>Sudáfrica-Costa de Marfil</v>
      </c>
      <c r="C170" s="349" t="str">
        <f ca="1">CONCATENATE(WORLDCUP!AA107,"-",WORLDCUP!AF107,"·",IF(WORLDCUP!AC107&gt;WORLDCUP!AD107,1,IF(WORLDCUP!AC107&lt;WORLDCUP!AD107,2,IF(AND(WORLDCUP!AC107=WORLDCUP!AD107,WORLDCUP!AC107&lt;&gt;"",WORLDCUP!AD107&lt;&gt;""),"X",0))),"|",WORLDCUP!AC107,"-",WORLDCUP!AD107)</f>
        <v>Sudáfrica-Costa de Marfil·X|3-3</v>
      </c>
      <c r="D170" s="692"/>
      <c r="E170" s="370"/>
      <c r="F170" s="370"/>
      <c r="G170" s="370"/>
      <c r="H170" s="370"/>
      <c r="I170" s="352"/>
      <c r="J170" s="370"/>
      <c r="K170" s="370"/>
      <c r="L170" s="370"/>
      <c r="M170" s="386"/>
      <c r="N170" s="377"/>
    </row>
    <row r="171" spans="1:14" ht="15" customHeight="1">
      <c r="A171" s="690"/>
      <c r="B171" s="360" t="str">
        <f ca="1">CONCATENATE(WORLDCUP!AA108,"-",WORLDCUP!AF108)</f>
        <v>Croacia-RD Congo</v>
      </c>
      <c r="C171" s="349" t="str">
        <f ca="1">CONCATENATE(WORLDCUP!AA108,"-",WORLDCUP!AF108,"·",IF(WORLDCUP!AC108&gt;WORLDCUP!AD108,1,IF(WORLDCUP!AC108&lt;WORLDCUP!AD108,2,IF(AND(WORLDCUP!AC108=WORLDCUP!AD108,WORLDCUP!AC108&lt;&gt;"",WORLDCUP!AD108&lt;&gt;""),"X",0))),"|",WORLDCUP!AC108,"-",WORLDCUP!AD108)</f>
        <v>Croacia-RD Congo·1|5-1</v>
      </c>
      <c r="D171" s="692"/>
      <c r="E171" s="370"/>
      <c r="F171" s="370"/>
      <c r="G171" s="370"/>
      <c r="H171" s="370"/>
      <c r="I171" s="352"/>
      <c r="J171" s="370"/>
      <c r="K171" s="370"/>
      <c r="L171" s="370"/>
      <c r="M171" s="386"/>
      <c r="N171" s="377"/>
    </row>
    <row r="172" spans="1:14" ht="15" customHeight="1">
      <c r="A172" s="690"/>
      <c r="B172" s="360" t="str">
        <f ca="1">CONCATENATE(WORLDCUP!AA109,"-",WORLDCUP!AF109)</f>
        <v>Nueva Zelanda-México</v>
      </c>
      <c r="C172" s="349" t="str">
        <f ca="1">CONCATENATE(WORLDCUP!AA109,"-",WORLDCUP!AF109,"·",IF(WORLDCUP!AC109&gt;WORLDCUP!AD109,1,IF(WORLDCUP!AC109&lt;WORLDCUP!AD109,2,IF(AND(WORLDCUP!AC109=WORLDCUP!AD109,WORLDCUP!AC109&lt;&gt;"",WORLDCUP!AD109&lt;&gt;""),"X",0))),"|",WORLDCUP!AC109,"-",WORLDCUP!AD109)</f>
        <v>Nueva Zelanda-México·2|2-3</v>
      </c>
      <c r="D172" s="692"/>
      <c r="E172" s="370"/>
      <c r="F172" s="370"/>
      <c r="G172" s="370"/>
      <c r="H172" s="370"/>
      <c r="I172" s="352"/>
      <c r="J172" s="370"/>
      <c r="K172" s="370"/>
      <c r="L172" s="370"/>
      <c r="M172" s="386"/>
      <c r="N172" s="377"/>
    </row>
    <row r="173" spans="1:14" ht="15" customHeight="1">
      <c r="A173" s="690"/>
      <c r="B173" s="360" t="str">
        <f ca="1">CONCATENATE(WORLDCUP!AA110,"-",WORLDCUP!AF110)</f>
        <v>Estados Unidos-Canadá</v>
      </c>
      <c r="C173" s="349" t="str">
        <f ca="1">CONCATENATE(WORLDCUP!AA110,"-",WORLDCUP!AF110,"·",IF(WORLDCUP!AC110&gt;WORLDCUP!AD110,1,IF(WORLDCUP!AC110&lt;WORLDCUP!AD110,2,IF(AND(WORLDCUP!AC110=WORLDCUP!AD110,WORLDCUP!AC110&lt;&gt;"",WORLDCUP!AD110&lt;&gt;""),"X",0))),"|",WORLDCUP!AC110,"-",WORLDCUP!AD110)</f>
        <v>Estados Unidos-Canadá·X|1-1</v>
      </c>
      <c r="D173" s="692"/>
      <c r="E173" s="370"/>
      <c r="F173" s="370"/>
      <c r="G173" s="370"/>
      <c r="H173" s="370"/>
      <c r="I173" s="352"/>
      <c r="J173" s="370"/>
      <c r="K173" s="370"/>
      <c r="L173" s="370"/>
      <c r="M173" s="386"/>
      <c r="N173" s="377"/>
    </row>
    <row r="174" spans="1:14" ht="15" customHeight="1">
      <c r="A174" s="690"/>
      <c r="B174" s="360" t="str">
        <f ca="1">CONCATENATE(WORLDCUP!AA111,"-",WORLDCUP!AF111)</f>
        <v>España-Argelia</v>
      </c>
      <c r="C174" s="349" t="str">
        <f ca="1">CONCATENATE(WORLDCUP!AA111,"-",WORLDCUP!AF111,"·",IF(WORLDCUP!AC111&gt;WORLDCUP!AD111,1,IF(WORLDCUP!AC111&lt;WORLDCUP!AD111,2,IF(AND(WORLDCUP!AC111=WORLDCUP!AD111,WORLDCUP!AC111&lt;&gt;"",WORLDCUP!AD111&lt;&gt;""),"X",0))),"|",WORLDCUP!AC111,"-",WORLDCUP!AD111)</f>
        <v>España-Argelia·1|2-1</v>
      </c>
      <c r="D174" s="692"/>
      <c r="E174" s="370"/>
      <c r="F174" s="370"/>
      <c r="G174" s="370"/>
      <c r="H174" s="370"/>
      <c r="I174" s="352"/>
      <c r="J174" s="370"/>
      <c r="K174" s="370"/>
      <c r="L174" s="370"/>
      <c r="M174" s="386"/>
      <c r="N174" s="377"/>
    </row>
    <row r="175" spans="1:14" ht="15" customHeight="1">
      <c r="A175" s="690"/>
      <c r="B175" s="360" t="str">
        <f ca="1">CONCATENATE(WORLDCUP!AA112,"-",WORLDCUP!AF112)</f>
        <v>Colombia-Inglaterra</v>
      </c>
      <c r="C175" s="349" t="str">
        <f ca="1">CONCATENATE(WORLDCUP!AA112,"-",WORLDCUP!AF112,"·",IF(WORLDCUP!AC112&gt;WORLDCUP!AD112,1,IF(WORLDCUP!AC112&lt;WORLDCUP!AD112,2,IF(AND(WORLDCUP!AC112=WORLDCUP!AD112,WORLDCUP!AC112&lt;&gt;"",WORLDCUP!AD112&lt;&gt;""),"X",0))),"|",WORLDCUP!AC112,"-",WORLDCUP!AD112)</f>
        <v>Colombia-Inglaterra·X|4-4</v>
      </c>
      <c r="D175" s="692"/>
      <c r="E175" s="370"/>
      <c r="F175" s="370"/>
      <c r="G175" s="370"/>
      <c r="H175" s="370"/>
      <c r="I175" s="352"/>
      <c r="J175" s="370"/>
      <c r="K175" s="370"/>
      <c r="L175" s="370"/>
      <c r="M175" s="386"/>
      <c r="N175" s="377"/>
    </row>
    <row r="176" spans="1:14" ht="15" customHeight="1">
      <c r="A176" s="690"/>
      <c r="B176" s="360" t="str">
        <f ca="1">CONCATENATE(WORLDCUP!AA113,"-",WORLDCUP!AF113)</f>
        <v>Catar-Senegal</v>
      </c>
      <c r="C176" s="349" t="str">
        <f ca="1">CONCATENATE(WORLDCUP!AA113,"-",WORLDCUP!AF113,"·",IF(WORLDCUP!AC113&gt;WORLDCUP!AD113,1,IF(WORLDCUP!AC113&lt;WORLDCUP!AD113,2,IF(AND(WORLDCUP!AC113=WORLDCUP!AD113,WORLDCUP!AC113&lt;&gt;"",WORLDCUP!AD113&lt;&gt;""),"X",0))),"|",WORLDCUP!AC113,"-",WORLDCUP!AD113)</f>
        <v>Catar-Senegal·X|1-1</v>
      </c>
      <c r="D176" s="692"/>
      <c r="E176" s="370"/>
      <c r="F176" s="370"/>
      <c r="G176" s="370"/>
      <c r="H176" s="370"/>
      <c r="I176" s="352"/>
      <c r="J176" s="370"/>
      <c r="K176" s="370"/>
      <c r="L176" s="370"/>
      <c r="M176" s="386"/>
      <c r="N176" s="377"/>
    </row>
    <row r="177" spans="1:14" ht="15" customHeight="1">
      <c r="A177" s="690"/>
      <c r="B177" s="360" t="str">
        <f ca="1">CONCATENATE(WORLDCUP!AA114,"-",WORLDCUP!AF114)</f>
        <v>Turquía-Bélgica</v>
      </c>
      <c r="C177" s="349" t="str">
        <f ca="1">CONCATENATE(WORLDCUP!AA114,"-",WORLDCUP!AF114,"·",IF(WORLDCUP!AC114&gt;WORLDCUP!AD114,1,IF(WORLDCUP!AC114&lt;WORLDCUP!AD114,2,IF(AND(WORLDCUP!AC114=WORLDCUP!AD114,WORLDCUP!AC114&lt;&gt;"",WORLDCUP!AD114&lt;&gt;""),"X",0))),"|",WORLDCUP!AC114,"-",WORLDCUP!AD114)</f>
        <v>Turquía-Bélgica·2|2-3</v>
      </c>
      <c r="D177" s="692"/>
      <c r="E177" s="370"/>
      <c r="F177" s="370"/>
      <c r="G177" s="370"/>
      <c r="H177" s="370"/>
      <c r="I177" s="352"/>
      <c r="J177" s="370"/>
      <c r="K177" s="370"/>
      <c r="L177" s="370"/>
      <c r="M177" s="386"/>
      <c r="N177" s="377"/>
    </row>
    <row r="178" spans="1:14" ht="15" customHeight="1">
      <c r="A178" s="690"/>
      <c r="B178" s="360" t="str">
        <f ca="1">CONCATENATE(WORLDCUP!AA115,"-",WORLDCUP!AF115)</f>
        <v>Argentina-Cabo Verde</v>
      </c>
      <c r="C178" s="349" t="str">
        <f ca="1">CONCATENATE(WORLDCUP!AA115,"-",WORLDCUP!AF115,"·",IF(WORLDCUP!AC115&gt;WORLDCUP!AD115,1,IF(WORLDCUP!AC115&lt;WORLDCUP!AD115,2,IF(AND(WORLDCUP!AC115=WORLDCUP!AD115,WORLDCUP!AC115&lt;&gt;"",WORLDCUP!AD115&lt;&gt;""),"X",0))),"|",WORLDCUP!AC115,"-",WORLDCUP!AD115)</f>
        <v>Argentina-Cabo Verde·1|6-2</v>
      </c>
      <c r="D178" s="692"/>
      <c r="E178" s="370"/>
      <c r="F178" s="370"/>
      <c r="G178" s="370"/>
      <c r="H178" s="370"/>
      <c r="I178" s="352"/>
      <c r="J178" s="370"/>
      <c r="K178" s="370"/>
      <c r="L178" s="370"/>
      <c r="M178" s="386"/>
      <c r="N178" s="377"/>
    </row>
    <row r="179" spans="1:14" ht="15" customHeight="1">
      <c r="A179" s="690"/>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Portugal-Ghana·1|5-2</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8.9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Corea del Sur</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Costa de Marfil</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Inglaterra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Canadá</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Senegal</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Japón</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Noruega</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Croacia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México</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Bélgica</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Corea del Sur-Japón</v>
      </c>
      <c r="C200" s="351" t="str">
        <f ca="1">CONCATENATE(WORLDCUP!AA120,"-",WORLDCUP!AF120,"·",IF(WORLDCUP!AC120&gt;WORLDCUP!AD120,1,IF(WORLDCUP!AC120&lt;WORLDCUP!AD120,2,IF(AND(WORLDCUP!AC120=WORLDCUP!AD120,WORLDCUP!AC120&lt;&gt;"",WORLDCUP!AD120&lt;&gt;""),"X",0))),"|",WORLDCUP!AC120,"-",WORLDCUP!AD120)</f>
        <v>Corea del Sur-Japón·2|2-4</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Alemania-Francia·1|2-1</v>
      </c>
      <c r="D201" s="691"/>
      <c r="E201" s="686"/>
      <c r="F201" s="686"/>
      <c r="G201" s="686"/>
      <c r="H201" s="686"/>
      <c r="I201" s="352"/>
      <c r="J201" s="370"/>
      <c r="K201" s="370"/>
      <c r="L201" s="370"/>
      <c r="M201" s="386"/>
      <c r="N201" s="377"/>
    </row>
    <row r="202" spans="1:14" ht="15" customHeight="1">
      <c r="A202" s="690"/>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Brasil-Noruega·1|3-1</v>
      </c>
      <c r="D202" s="691"/>
      <c r="E202" s="686"/>
      <c r="F202" s="686"/>
      <c r="G202" s="686"/>
      <c r="H202" s="686"/>
      <c r="I202" s="352"/>
      <c r="J202" s="370"/>
      <c r="K202" s="370"/>
      <c r="L202" s="370"/>
      <c r="M202" s="386"/>
      <c r="N202" s="377"/>
    </row>
    <row r="203" spans="1:14" ht="15" customHeight="1">
      <c r="A203" s="690"/>
      <c r="B203" s="361" t="str">
        <f ca="1">CONCATENATE(WORLDCUP!AA123,"-",WORLDCUP!AF123)</f>
        <v>Costa de Marfil-Croacia</v>
      </c>
      <c r="C203" s="351" t="str">
        <f ca="1">CONCATENATE(WORLDCUP!AA123,"-",WORLDCUP!AF123,"·",IF(WORLDCUP!AC123&gt;WORLDCUP!AD123,1,IF(WORLDCUP!AC123&lt;WORLDCUP!AD123,2,IF(AND(WORLDCUP!AC123=WORLDCUP!AD123,WORLDCUP!AC123&lt;&gt;"",WORLDCUP!AD123&lt;&gt;""),"X",0))),"|",WORLDCUP!AC123,"-",WORLDCUP!AD123)</f>
        <v>Costa de Marfil-Croacia·2|1-2</v>
      </c>
      <c r="D203" s="691"/>
      <c r="E203" s="686"/>
      <c r="F203" s="686"/>
      <c r="G203" s="686"/>
      <c r="H203" s="686"/>
      <c r="I203" s="352"/>
      <c r="J203" s="370"/>
      <c r="K203" s="370"/>
      <c r="L203" s="370"/>
      <c r="M203" s="386"/>
      <c r="N203" s="377"/>
    </row>
    <row r="204" spans="1:14" ht="15" customHeight="1">
      <c r="A204" s="690"/>
      <c r="B204" s="361" t="str">
        <f ca="1">CONCATENATE(WORLDCUP!AA124,"-",WORLDCUP!AF124)</f>
        <v>Inglaterra-España</v>
      </c>
      <c r="C204" s="351" t="str">
        <f ca="1">CONCATENATE(WORLDCUP!AA124,"-",WORLDCUP!AF124,"·",IF(WORLDCUP!AC124&gt;WORLDCUP!AD124,1,IF(WORLDCUP!AC124&lt;WORLDCUP!AD124,2,IF(AND(WORLDCUP!AC124=WORLDCUP!AD124,WORLDCUP!AC124&lt;&gt;"",WORLDCUP!AD124&lt;&gt;""),"X",0))),"|",WORLDCUP!AC124,"-",WORLDCUP!AD124)</f>
        <v>Inglaterra-España·X|3-3</v>
      </c>
      <c r="D204" s="691"/>
      <c r="E204" s="352"/>
      <c r="F204" s="352"/>
      <c r="G204" s="352"/>
      <c r="H204" s="352"/>
      <c r="I204" s="352"/>
      <c r="J204" s="370"/>
      <c r="K204" s="370"/>
      <c r="L204" s="370"/>
      <c r="M204" s="386"/>
      <c r="N204" s="377"/>
    </row>
    <row r="205" spans="1:14" ht="15" customHeight="1">
      <c r="A205" s="690"/>
      <c r="B205" s="361" t="str">
        <f ca="1">CONCATENATE(WORLDCUP!AA125,"-",WORLDCUP!AF125)</f>
        <v>Canadá-México</v>
      </c>
      <c r="C205" s="351" t="str">
        <f ca="1">CONCATENATE(WORLDCUP!AA125,"-",WORLDCUP!AF125,"·",IF(WORLDCUP!AC125&gt;WORLDCUP!AD125,1,IF(WORLDCUP!AC125&lt;WORLDCUP!AD125,2,IF(AND(WORLDCUP!AC125=WORLDCUP!AD125,WORLDCUP!AC125&lt;&gt;"",WORLDCUP!AD125&lt;&gt;""),"X",0))),"|",WORLDCUP!AC125,"-",WORLDCUP!AD125)</f>
        <v>Canadá-México·X|2-2</v>
      </c>
      <c r="D205" s="691"/>
      <c r="E205" s="352"/>
      <c r="F205" s="352"/>
      <c r="G205" s="352"/>
      <c r="H205" s="352"/>
      <c r="I205" s="352"/>
      <c r="J205" s="370"/>
      <c r="K205" s="370"/>
      <c r="L205" s="370"/>
      <c r="M205" s="386"/>
      <c r="N205" s="377"/>
    </row>
    <row r="206" spans="1:14" ht="15" customHeight="1">
      <c r="A206" s="690"/>
      <c r="B206" s="361" t="str">
        <f ca="1">CONCATENATE(WORLDCUP!AA126,"-",WORLDCUP!AF126)</f>
        <v>Argentina-Bélgica</v>
      </c>
      <c r="C206" s="351" t="str">
        <f ca="1">CONCATENATE(WORLDCUP!AA126,"-",WORLDCUP!AF126,"·",IF(WORLDCUP!AC126&gt;WORLDCUP!AD126,1,IF(WORLDCUP!AC126&lt;WORLDCUP!AD126,2,IF(AND(WORLDCUP!AC126=WORLDCUP!AD126,WORLDCUP!AC126&lt;&gt;"",WORLDCUP!AD126&lt;&gt;""),"X",0))),"|",WORLDCUP!AC126,"-",WORLDCUP!AD126)</f>
        <v>Argentina-Bélgica·X|2-2</v>
      </c>
      <c r="D206" s="691"/>
      <c r="E206" s="352"/>
      <c r="F206" s="352"/>
      <c r="G206" s="352"/>
      <c r="H206" s="352"/>
      <c r="I206" s="352"/>
      <c r="J206" s="370"/>
      <c r="K206" s="370"/>
      <c r="L206" s="370"/>
      <c r="M206" s="386"/>
      <c r="N206" s="377"/>
    </row>
    <row r="207" spans="1:14" ht="15" customHeight="1">
      <c r="A207" s="690"/>
      <c r="B207" s="361" t="str">
        <f ca="1">CONCATENATE(WORLDCUP!AA127,"-",WORLDCUP!AF127)</f>
        <v>Senegal-Portugal</v>
      </c>
      <c r="C207" s="351" t="str">
        <f ca="1">CONCATENATE(WORLDCUP!AA127,"-",WORLDCUP!AF127,"·",IF(WORLDCUP!AC127&gt;WORLDCUP!AD127,1,IF(WORLDCUP!AC127&lt;WORLDCUP!AD127,2,IF(AND(WORLDCUP!AC127=WORLDCUP!AD127,WORLDCUP!AC127&lt;&gt;"",WORLDCUP!AD127&lt;&gt;""),"X",0))),"|",WORLDCUP!AC127,"-",WORLDCUP!AD127)</f>
        <v>Senegal-Portugal·2|1-2</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8.9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Alemania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Japón</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México</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Croacia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Alemania-Japón</v>
      </c>
      <c r="C220" s="349" t="str">
        <f ca="1">CONCATENATE(WORLDCUP!AA131,"-",WORLDCUP!AF131,"·",IF(WORLDCUP!AC131&gt;WORLDCUP!AD131,1,IF(WORLDCUP!AC131&lt;WORLDCUP!AD131,2,IF(AND(WORLDCUP!AC131=WORLDCUP!AD131,WORLDCUP!AC131&lt;&gt;"",WORLDCUP!AD131&lt;&gt;""),"X",0))),"|",WORLDCUP!AC131,"-",WORLDCUP!AD131)</f>
        <v>Alemania-Japón·1|3-2</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España-México</v>
      </c>
      <c r="C221" s="349" t="str">
        <f ca="1">CONCATENATE(WORLDCUP!AA132,"-",WORLDCUP!AF132,"·",IF(WORLDCUP!AC132&gt;WORLDCUP!AD132,1,IF(WORLDCUP!AC132&lt;WORLDCUP!AD132,2,IF(AND(WORLDCUP!AC132=WORLDCUP!AD132,WORLDCUP!AC132&lt;&gt;"",WORLDCUP!AD132&lt;&gt;""),"X",0))),"|",WORLDCUP!AC132,"-",WORLDCUP!AD132)</f>
        <v>España-México·1|4-2</v>
      </c>
      <c r="D221" s="692"/>
      <c r="E221" s="686"/>
      <c r="F221" s="686"/>
      <c r="G221" s="686"/>
      <c r="H221" s="686"/>
      <c r="I221" s="352"/>
      <c r="J221" s="370"/>
      <c r="K221" s="370"/>
      <c r="L221" s="370"/>
      <c r="M221" s="386"/>
      <c r="N221" s="377"/>
    </row>
    <row r="222" spans="1:14" ht="15" customHeight="1">
      <c r="A222" s="690"/>
      <c r="B222" s="360" t="str">
        <f ca="1">CONCATENATE(WORLDCUP!AA133,"-",WORLDCUP!AF133)</f>
        <v>Brasil-Croacia</v>
      </c>
      <c r="C222" s="349" t="str">
        <f ca="1">CONCATENATE(WORLDCUP!AA133,"-",WORLDCUP!AF133,"·",IF(WORLDCUP!AC133&gt;WORLDCUP!AD133,1,IF(WORLDCUP!AC133&lt;WORLDCUP!AD133,2,IF(AND(WORLDCUP!AC133=WORLDCUP!AD133,WORLDCUP!AC133&lt;&gt;"",WORLDCUP!AD133&lt;&gt;""),"X",0))),"|",WORLDCUP!AC133,"-",WORLDCUP!AD133)</f>
        <v>Brasil-Croacia·X|2-2</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Argentina-Portugal·1|3-2</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7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Alemania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Brasil</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Alemania-España</v>
      </c>
      <c r="C232" s="351" t="str">
        <f ca="1">CONCATENATE(WORLDCUP!AA138,"-",WORLDCUP!AF138,"·",IF(WORLDCUP!AC138&gt;WORLDCUP!AD138,1,IF(WORLDCUP!AC138&lt;WORLDCUP!AD138,2,IF(AND(WORLDCUP!AC138=WORLDCUP!AD138,WORLDCUP!AC138&lt;&gt;"",WORLDCUP!AD138&lt;&gt;""),"X",0))),"|",WORLDCUP!AC138,"-",WORLDCUP!AD138)</f>
        <v>Alemania-España·1|2-1</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Brasil-Argentina</v>
      </c>
      <c r="C233" s="351" t="str">
        <f ca="1">CONCATENATE(WORLDCUP!AA139,"-",WORLDCUP!AF139,"·",IF(WORLDCUP!AC139&gt;WORLDCUP!AD139,1,IF(WORLDCUP!AC139&lt;WORLDCUP!AD139,2,IF(AND(WORLDCUP!AC139=WORLDCUP!AD139,WORLDCUP!AC139&lt;&gt;"",WORLDCUP!AD139&lt;&gt;""),"X",0))),"|",WORLDCUP!AC139,"-",WORLDCUP!AD139)</f>
        <v>Brasil-Argentina·X|3-3</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7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España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Argentina</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8.9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Alemania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Brasil</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España-Argentina</v>
      </c>
      <c r="C244" s="349" t="str">
        <f ca="1">CONCATENATE(WORLDCUP!AA143,"-",WORLDCUP!AF143,"·",IF(WORLDCUP!AC143&gt;WORLDCUP!AD143,1,IF(WORLDCUP!AC143&lt;WORLDCUP!AD143,2,IF(AND(WORLDCUP!AC143=WORLDCUP!AD143,WORLDCUP!AC143&lt;&gt;"",WORLDCUP!AD143&lt;&gt;""),"X",0))),"|",WORLDCUP!AC143,"-",WORLDCUP!AD143)</f>
        <v>España-Argentina·2|2-4</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Alemania-Brasil</v>
      </c>
      <c r="C247" s="351" t="str">
        <f ca="1">CONCATENATE(WORLDCUP!AA147,"-",WORLDCUP!AF147,"·",IF(WORLDCUP!AC147&gt;WORLDCUP!AD147,1,IF(WORLDCUP!AC147&lt;WORLDCUP!AD147,2,IF(AND(WORLDCUP!AC147=WORLDCUP!AD147,WORLDCUP!AC147&lt;&gt;"",WORLDCUP!AD147&lt;&gt;""),"X",0))),"|",WORLDCUP!AC147,"-",WORLDCUP!AD147)</f>
        <v>Alemania-Brasil·1|3-2</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8.9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Alemania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Brasil</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Argentina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VINICIUS</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MESSI</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MBAPPE</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HAALAND</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MESSI</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CRISTIANO RONALDO</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4</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4</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75" thickBot="1">
      <c r="A4" s="181">
        <v>2</v>
      </c>
      <c r="B4" s="443"/>
      <c r="C4" s="444" t="str">
        <f ca="1">+MID(INDEX(WORLDCUP!$AA$4:$AA$147,MATCH(A4,WORLDCUP!$AH$4:$AH$147,0)),1,3)</f>
        <v>Cor</v>
      </c>
      <c r="D4" s="445">
        <f>IF(ISBLANK(INDEX(WORLDCUP!$AC$4:$AC$147,MATCH(A4,WORLDCUP!$AH$4:$AH$147,0))),"",INDEX(WORLDCUP!$AC$4:$AC$147,MATCH(A4,WORLDCUP!$AH$4:$AH$147,0)))</f>
        <v>3</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Sud</v>
      </c>
      <c r="I4" s="449">
        <f ca="1">+INDEX(WORLDCUP!$AM$6:$AM$97,MATCH(L4,WORLDCUP!$AI$6:$AI$97,0))</f>
        <v>7</v>
      </c>
      <c r="J4" s="450">
        <f ca="1">+INDEX(WORLDCUP!$AT$6:$AT$97,MATCH(L4,WORLDCUP!$AI$6:$AI$97,0))</f>
        <v>4</v>
      </c>
      <c r="K4" s="451" t="str">
        <f ca="1">+INDEX(WORLDCUP!$AR$6:$AR$97,MATCH(L4,WORLDCUP!$AI$6:$AI$97,0))&amp;"-"&amp;INDEX(WORLDCUP!$AS$6:$AS$97,MATCH(L4,WORLDCUP!$AI$6:$AI$97,0))</f>
        <v>11-7</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3</v>
      </c>
      <c r="R4" s="446" t="str">
        <f ca="1">+MID(INDEX(WORLDCUP!$AF$4:$AF$147,MATCH(M4,WORLDCUP!$AH$4:$AH$147,0)),1,3)</f>
        <v>Nue</v>
      </c>
      <c r="S4" s="447">
        <v>1</v>
      </c>
      <c r="T4" s="448" t="str">
        <f ca="1">+MID(INDEX(WORLDCUP!$AL$6:$AL$97,MATCH(X4,WORLDCUP!$AI$6:$AI$97,0)),1,3)</f>
        <v>Nue</v>
      </c>
      <c r="U4" s="449">
        <f ca="1">+INDEX(WORLDCUP!$AM$6:$AM$97,MATCH(X4,WORLDCUP!$AI$6:$AI$97,0))</f>
        <v>7</v>
      </c>
      <c r="V4" s="450">
        <f ca="1">+INDEX(WORLDCUP!$AT$6:$AT$97,MATCH(X4,WORLDCUP!$AI$6:$AI$97,0))</f>
        <v>4</v>
      </c>
      <c r="W4" s="451" t="str">
        <f ca="1">+INDEX(WORLDCUP!$AR$6:$AR$97,MATCH(X4,WORLDCUP!$AI$6:$AI$97,0))&amp;"-"&amp;INDEX(WORLDCUP!$AS$6:$AS$97,MATCH(X4,WORLDCUP!$AI$6:$AI$97,0))</f>
        <v>7-3</v>
      </c>
      <c r="X4" s="181" t="s">
        <v>678</v>
      </c>
      <c r="Y4" s="181">
        <v>74</v>
      </c>
      <c r="Z4" s="425" t="s">
        <v>733</v>
      </c>
      <c r="AA4" s="426" t="str">
        <f ca="1">+MID(INDEX(WORLDCUP!$AF$101:$AF$147,MATCH(Y4,WORLDCUP!$Z$101:$Z$147,0)),1,IF(WORLDCUP!$H$113&lt;144,6,3))</f>
        <v>Aus</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2</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0</v>
      </c>
      <c r="BK4" s="465">
        <f ca="1">COUNTIF(Pool!$C$210:$C$217,Fixture!BG4)-BL4-BM4-BN4-BO4</f>
        <v>0</v>
      </c>
      <c r="BL4" s="465">
        <f ca="1">COUNTIF(Pool!$C$226:$C$229,Fixture!BG4)-BM4-BN4-BO4</f>
        <v>0</v>
      </c>
      <c r="BM4" s="463">
        <f ca="1">COUNTIF(Pool!$C$252,Fixture!BG4)</f>
        <v>0</v>
      </c>
      <c r="BN4" s="463">
        <f ca="1">COUNTIF(Pool!$C$251,Fixture!BG4)</f>
        <v>0</v>
      </c>
      <c r="BO4" s="466">
        <f ca="1">COUNTIF(Pool!$C$250,Fixture!BG4)</f>
        <v>1</v>
      </c>
    </row>
    <row r="5" spans="1:67">
      <c r="A5" s="181">
        <v>25</v>
      </c>
      <c r="B5" s="443"/>
      <c r="C5" s="444" t="str">
        <f ca="1">+MID(INDEX(WORLDCUP!$AA$4:$AA$147,MATCH(A5,WORLDCUP!$AH$4:$AH$147,0)),1,3)</f>
        <v>Rep</v>
      </c>
      <c r="D5" s="445">
        <f>IF(ISBLANK(INDEX(WORLDCUP!$AC$4:$AC$147,MATCH(A5,WORLDCUP!$AH$4:$AH$147,0))),"",INDEX(WORLDCUP!$AC$4:$AC$147,MATCH(A5,WORLDCUP!$AH$4:$AH$147,0)))</f>
        <v>2</v>
      </c>
      <c r="E5" s="445">
        <f>IF(ISBLANK(INDEX(WORLDCUP!$AD$4:$AD$147,MATCH(A5,WORLDCUP!$AH$4:$AH$147,0))),"",INDEX(WORLDCUP!$AD$4:$AD$147,MATCH(A5,WORLDCUP!$AH$4:$AH$147,0)))</f>
        <v>2</v>
      </c>
      <c r="F5" s="446" t="str">
        <f ca="1">+MID(INDEX(WORLDCUP!$AF$4:$AF$147,MATCH(A5,WORLDCUP!$AH$4:$AH$147,0)),1,3)</f>
        <v>Sud</v>
      </c>
      <c r="G5" s="467">
        <v>2</v>
      </c>
      <c r="H5" s="468" t="str">
        <f ca="1">+MID(INDEX(WORLDCUP!$AL$6:$AL$97,MATCH(L5,WORLDCUP!$AI$6:$AI$97,0)),1,3)</f>
        <v>Cor</v>
      </c>
      <c r="I5" s="38">
        <f ca="1">+INDEX(WORLDCUP!$AM$6:$AM$97,MATCH(L5,WORLDCUP!$AI$6:$AI$97,0))</f>
        <v>4</v>
      </c>
      <c r="J5" s="39">
        <f ca="1">+INDEX(WORLDCUP!$AT$6:$AT$97,MATCH(L5,WORLDCUP!$AI$6:$AI$97,0))</f>
        <v>0</v>
      </c>
      <c r="K5" s="43" t="str">
        <f ca="1">+INDEX(WORLDCUP!$AR$6:$AR$97,MATCH(L5,WORLDCUP!$AI$6:$AI$97,0))&amp;"-"&amp;INDEX(WORLDCUP!$AS$6:$AS$97,MATCH(L5,WORLDCUP!$AI$6:$AI$97,0))</f>
        <v>9-9</v>
      </c>
      <c r="L5" s="181" t="s">
        <v>657</v>
      </c>
      <c r="M5" s="181">
        <v>39</v>
      </c>
      <c r="N5" s="452"/>
      <c r="O5" s="444" t="str">
        <f ca="1">+MID(INDEX(WORLDCUP!$AA$4:$AA$147,MATCH(M5,WORLDCUP!$AH$4:$AH$147,0)),1,3)</f>
        <v>Bél</v>
      </c>
      <c r="P5" s="445">
        <f>IF(ISBLANK(INDEX(WORLDCUP!$AC$4:$AC$147,MATCH(M5,WORLDCUP!$AH$4:$AH$147,0))),"",INDEX(WORLDCUP!$AC$4:$AC$147,MATCH(M5,WORLDCUP!$AH$4:$AH$147,0)))</f>
        <v>3</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Bél</v>
      </c>
      <c r="U5" s="38">
        <f ca="1">+INDEX(WORLDCUP!$AM$6:$AM$97,MATCH(X5,WORLDCUP!$AI$6:$AI$97,0))</f>
        <v>7</v>
      </c>
      <c r="V5" s="39">
        <f ca="1">+INDEX(WORLDCUP!$AT$6:$AT$97,MATCH(X5,WORLDCUP!$AI$6:$AI$97,0))</f>
        <v>4</v>
      </c>
      <c r="W5" s="43" t="str">
        <f ca="1">+INDEX(WORLDCUP!$AR$6:$AR$97,MATCH(X5,WORLDCUP!$AI$6:$AI$97,0))&amp;"-"&amp;INDEX(WORLDCUP!$AS$6:$AS$97,MATCH(X5,WORLDCUP!$AI$6:$AI$97,0))</f>
        <v>5-1</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3</v>
      </c>
      <c r="E6" s="445">
        <f>IF(ISBLANK(INDEX(WORLDCUP!$AD$4:$AD$147,MATCH(A6,WORLDCUP!$AH$4:$AH$147,0))),"",INDEX(WORLDCUP!$AD$4:$AD$147,MATCH(A6,WORLDCUP!$AH$4:$AH$147,0)))</f>
        <v>3</v>
      </c>
      <c r="F6" s="446" t="str">
        <f ca="1">+MID(INDEX(WORLDCUP!$AF$4:$AF$147,MATCH(A6,WORLDCUP!$AH$4:$AH$147,0)),1,3)</f>
        <v>Cor</v>
      </c>
      <c r="G6" s="467">
        <v>3</v>
      </c>
      <c r="H6" s="468" t="str">
        <f ca="1">+MID(INDEX(WORLDCUP!$AL$6:$AL$97,MATCH(L6,WORLDCUP!$AI$6:$AI$97,0)),1,3)</f>
        <v>Méx</v>
      </c>
      <c r="I6" s="38">
        <f ca="1">+INDEX(WORLDCUP!$AM$6:$AM$97,MATCH(L6,WORLDCUP!$AI$6:$AI$97,0))</f>
        <v>4</v>
      </c>
      <c r="J6" s="39">
        <f ca="1">+INDEX(WORLDCUP!$AT$6:$AT$97,MATCH(L6,WORLDCUP!$AI$6:$AI$97,0))</f>
        <v>0</v>
      </c>
      <c r="K6" s="43" t="str">
        <f ca="1">+INDEX(WORLDCUP!$AR$6:$AR$97,MATCH(L6,WORLDCUP!$AI$6:$AI$97,0))&amp;"-"&amp;INDEX(WORLDCUP!$AS$6:$AS$97,MATCH(L6,WORLDCUP!$AI$6:$AI$97,0))</f>
        <v>9-9</v>
      </c>
      <c r="L6" s="181" t="s">
        <v>90</v>
      </c>
      <c r="M6" s="181">
        <v>40</v>
      </c>
      <c r="N6" s="452"/>
      <c r="O6" s="444" t="str">
        <f ca="1">+MID(INDEX(WORLDCUP!$AA$4:$AA$147,MATCH(M6,WORLDCUP!$AH$4:$AH$147,0)),1,3)</f>
        <v>Nue</v>
      </c>
      <c r="P6" s="445">
        <f>IF(ISBLANK(INDEX(WORLDCUP!$AC$4:$AC$147,MATCH(M6,WORLDCUP!$AH$4:$AH$147,0))),"",INDEX(WORLDCUP!$AC$4:$AC$147,MATCH(M6,WORLDCUP!$AH$4:$AH$147,0)))</f>
        <v>4</v>
      </c>
      <c r="Q6" s="445">
        <f>IF(ISBLANK(INDEX(WORLDCUP!$AD$4:$AD$147,MATCH(M6,WORLDCUP!$AH$4:$AH$147,0))),"",INDEX(WORLDCUP!$AD$4:$AD$147,MATCH(M6,WORLDCUP!$AH$4:$AH$147,0)))</f>
        <v>1</v>
      </c>
      <c r="R6" s="446" t="str">
        <f ca="1">+MID(INDEX(WORLDCUP!$AF$4:$AF$147,MATCH(M6,WORLDCUP!$AH$4:$AH$147,0)),1,3)</f>
        <v>Egi</v>
      </c>
      <c r="S6" s="467">
        <v>3</v>
      </c>
      <c r="T6" s="468" t="str">
        <f ca="1">+MID(INDEX(WORLDCUP!$AL$6:$AL$97,MATCH(X6,WORLDCUP!$AI$6:$AI$97,0)),1,3)</f>
        <v>Irá</v>
      </c>
      <c r="U6" s="38">
        <f ca="1">+INDEX(WORLDCUP!$AM$6:$AM$97,MATCH(X6,WORLDCUP!$AI$6:$AI$97,0))</f>
        <v>1</v>
      </c>
      <c r="V6" s="39">
        <f ca="1">+INDEX(WORLDCUP!$AT$6:$AT$97,MATCH(X6,WORLDCUP!$AI$6:$AI$97,0))</f>
        <v>-4</v>
      </c>
      <c r="W6" s="43" t="str">
        <f ca="1">+INDEX(WORLDCUP!$AR$6:$AR$97,MATCH(X6,WORLDCUP!$AI$6:$AI$97,0))&amp;"-"&amp;INDEX(WORLDCUP!$AS$6:$AS$97,MATCH(X6,WORLDCUP!$AI$6:$AI$97,0))</f>
        <v>4-8</v>
      </c>
      <c r="X6" s="181" t="s">
        <v>445</v>
      </c>
      <c r="Y6" s="181">
        <v>77</v>
      </c>
      <c r="Z6" s="425" t="s">
        <v>684</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2</v>
      </c>
      <c r="E7" s="445">
        <f>IF(ISBLANK(INDEX(WORLDCUP!$AD$4:$AD$147,MATCH(A7,WORLDCUP!$AH$4:$AH$147,0))),"",INDEX(WORLDCUP!$AD$4:$AD$147,MATCH(A7,WORLDCUP!$AH$4:$AH$147,0)))</f>
        <v>4</v>
      </c>
      <c r="F7" s="446" t="str">
        <f ca="1">+MID(INDEX(WORLDCUP!$AF$4:$AF$147,MATCH(A7,WORLDCUP!$AH$4:$AH$147,0)),1,3)</f>
        <v>Méx</v>
      </c>
      <c r="G7" s="467">
        <v>4</v>
      </c>
      <c r="H7" s="476" t="str">
        <f ca="1">+MID(INDEX(WORLDCUP!$AL$6:$AL$97,MATCH(L7,WORLDCUP!$AI$6:$AI$97,0)),1,3)</f>
        <v>Rep</v>
      </c>
      <c r="I7" s="477">
        <f ca="1">+INDEX(WORLDCUP!$AM$6:$AM$97,MATCH(L7,WORLDCUP!$AI$6:$AI$97,0))</f>
        <v>1</v>
      </c>
      <c r="J7" s="478">
        <f ca="1">+INDEX(WORLDCUP!$AT$6:$AT$97,MATCH(L7,WORLDCUP!$AI$6:$AI$97,0))</f>
        <v>-4</v>
      </c>
      <c r="K7" s="479" t="str">
        <f ca="1">+INDEX(WORLDCUP!$AR$6:$AR$97,MATCH(L7,WORLDCUP!$AI$6:$AI$97,0))&amp;"-"&amp;INDEX(WORLDCUP!$AS$6:$AS$97,MATCH(L7,WORLDCUP!$AI$6:$AI$97,0))</f>
        <v>5-9</v>
      </c>
      <c r="L7" s="181" t="s">
        <v>658</v>
      </c>
      <c r="M7" s="181">
        <v>63</v>
      </c>
      <c r="N7" s="452"/>
      <c r="O7" s="444" t="str">
        <f ca="1">+MID(INDEX(WORLDCUP!$AA$4:$AA$147,MATCH(M7,WORLDCUP!$AH$4:$AH$147,0)),1,3)</f>
        <v>Egi</v>
      </c>
      <c r="P7" s="445">
        <f>IF(ISBLANK(INDEX(WORLDCUP!$AC$4:$AC$147,MATCH(M7,WORLDCUP!$AH$4:$AH$147,0))),"",INDEX(WORLDCUP!$AC$4:$AC$147,MATCH(M7,WORLDCUP!$AH$4:$AH$147,0)))</f>
        <v>2</v>
      </c>
      <c r="Q7" s="445">
        <f>IF(ISBLANK(INDEX(WORLDCUP!$AD$4:$AD$147,MATCH(M7,WORLDCUP!$AH$4:$AH$147,0))),"",INDEX(WORLDCUP!$AD$4:$AD$147,MATCH(M7,WORLDCUP!$AH$4:$AH$147,0)))</f>
        <v>2</v>
      </c>
      <c r="R7" s="446" t="str">
        <f ca="1">+MID(INDEX(WORLDCUP!$AF$4:$AF$147,MATCH(M7,WORLDCUP!$AH$4:$AH$147,0)),1,3)</f>
        <v>Irá</v>
      </c>
      <c r="S7" s="467">
        <v>4</v>
      </c>
      <c r="T7" s="476" t="str">
        <f ca="1">+MID(INDEX(WORLDCUP!$AL$6:$AL$97,MATCH(X7,WORLDCUP!$AI$6:$AI$97,0)),1,3)</f>
        <v>Egi</v>
      </c>
      <c r="U7" s="477">
        <f ca="1">+INDEX(WORLDCUP!$AM$6:$AM$97,MATCH(X7,WORLDCUP!$AI$6:$AI$97,0))</f>
        <v>1</v>
      </c>
      <c r="V7" s="478">
        <f ca="1">+INDEX(WORLDCUP!$AT$6:$AT$97,MATCH(X7,WORLDCUP!$AI$6:$AI$97,0))</f>
        <v>-4</v>
      </c>
      <c r="W7" s="479" t="str">
        <f ca="1">+INDEX(WORLDCUP!$AR$6:$AR$97,MATCH(X7,WORLDCUP!$AI$6:$AI$97,0))&amp;"-"&amp;INDEX(WORLDCUP!$AS$6:$AS$97,MATCH(X7,WORLDCUP!$AI$6:$AI$97,0))</f>
        <v>4-8</v>
      </c>
      <c r="X7" s="181" t="s">
        <v>680</v>
      </c>
      <c r="Y7" s="181">
        <v>77</v>
      </c>
      <c r="Z7" s="425" t="s">
        <v>734</v>
      </c>
      <c r="AA7" s="480" t="str">
        <f ca="1">+MID(INDEX(WORLDCUP!$AF$101:$AF$147,MATCH(Y7,WORLDCUP!$Z$101:$Z$147,0)),1,IF(WORLDCUP!$H$113&lt;144,6,3))</f>
        <v>Tún</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Ale</v>
      </c>
      <c r="AJ7" s="484">
        <f>+IF(ISBLANK(INDEX(WORLDCUP!$AC$101:$AC$147,MATCH(AH7,WORLDCUP!$Z$101:$Z$147,0))),"",INDEX(WORLDCUP!$AC$101:$AC$147,MATCH(AH7,WORLDCUP!$Z$101:$Z$147,0)))</f>
        <v>3</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1</v>
      </c>
      <c r="BN7" s="463">
        <f ca="1">COUNTIF(Pool!$C$251,Fixture!BG7)</f>
        <v>0</v>
      </c>
      <c r="BO7" s="466">
        <f ca="1">COUNTIF(Pool!$C$250,Fixture!BG7)</f>
        <v>0</v>
      </c>
    </row>
    <row r="8" spans="1:67" ht="15.75" thickBot="1">
      <c r="A8" s="181">
        <v>54</v>
      </c>
      <c r="B8" s="486"/>
      <c r="C8" s="487" t="str">
        <f ca="1">+MID(INDEX(WORLDCUP!$AA$4:$AA$147,MATCH(A8,WORLDCUP!$AH$4:$AH$147,0)),1,3)</f>
        <v>Sud</v>
      </c>
      <c r="D8" s="488">
        <f>IF(ISBLANK(INDEX(WORLDCUP!$AC$4:$AC$147,MATCH(A8,WORLDCUP!$AH$4:$AH$147,0))),"",INDEX(WORLDCUP!$AC$4:$AC$147,MATCH(A8,WORLDCUP!$AH$4:$AH$147,0)))</f>
        <v>5</v>
      </c>
      <c r="E8" s="488">
        <f>IF(ISBLANK(INDEX(WORLDCUP!$AD$4:$AD$147,MATCH(A8,WORLDCUP!$AH$4:$AH$147,0))),"",INDEX(WORLDCUP!$AD$4:$AD$147,MATCH(A8,WORLDCUP!$AH$4:$AH$147,0)))</f>
        <v>3</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0</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Jap</v>
      </c>
      <c r="AJ8" s="484">
        <f>+IF(ISBLANK(INDEX(WORLDCUP!$AD$101:$AD$147,MATCH(AH8,WORLDCUP!$Z$101:$Z$147,0))),"",INDEX(WORLDCUP!$AD$101:$AD$147,MATCH(AH8,WORLDCUP!$Z$101:$Z$147,0)))</f>
        <v>2</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Cor</v>
      </c>
      <c r="AB9" s="427">
        <f>+IF(ISBLANK(INDEX(WORLDCUP!$AC$101:$AC$147,MATCH(Y9,WORLDCUP!$Z$101:$Z$147,0))),"",INDEX(WORLDCUP!$AC$101:$AC$147,MATCH(Y9,WORLDCUP!$Z$101:$Z$147,0)))</f>
        <v>3</v>
      </c>
      <c r="AC9" s="498" t="str">
        <f>+IF(ISBLANK(INDEX(WORLDCUP!$AB$101:$AB$147,MATCH(Y9,WORLDCUP!$Z$101:$Z$147,0))),"","( "&amp;INDEX(WORLDCUP!$AB$101:$AB$147,MATCH(Y9,WORLDCUP!$Z$101:$Z$147,0))&amp;" )")</f>
        <v>( 4 )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1</v>
      </c>
      <c r="BI9" s="463">
        <f ca="1">COUNTIF(Pool!$C$130:$C$161,Fixture!BG9)-BJ9-BK9-BL9-BM9-BN9-BO9</f>
        <v>0</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Sui</v>
      </c>
      <c r="AB10" s="453">
        <f>+IF(ISBLANK(INDEX(WORLDCUP!$AD$101:$AD$147,MATCH(Y10,WORLDCUP!$Z$101:$Z$147,0))),"",INDEX(WORLDCUP!$AD$101:$AD$147,MATCH(Y10,WORLDCUP!$Z$101:$Z$147,0)))</f>
        <v>3</v>
      </c>
      <c r="AC10" s="454" t="str">
        <f>+IF(ISBLANK(INDEX(WORLDCUP!$AE$101:$AE$147,MATCH(Y10,WORLDCUP!$Z$101:$Z$147,0))),"","( "&amp;INDEX(WORLDCUP!$AE$101:$AE$147,MATCH(Y10,WORLDCUP!$Z$101:$Z$147,0))&amp;" )")</f>
        <v>( 2 )</v>
      </c>
      <c r="AD10" s="500">
        <v>90</v>
      </c>
      <c r="AE10" s="456" t="str">
        <f ca="1">+MID(INDEX(WORLDCUP!$AA$101:$AA$147,MATCH(AD10,WORLDCUP!$Z$101:$Z$147,0)),1,3)</f>
        <v>Cor</v>
      </c>
      <c r="AF10" s="457">
        <f>+IF(ISBLANK(INDEX(WORLDCUP!$AC$101:$AC$147,MATCH(AD10,WORLDCUP!$Z$101:$Z$147,0))),"",INDEX(WORLDCUP!$AC$101:$AC$147,MATCH(AD10,WORLDCUP!$Z$101:$Z$147,0)))</f>
        <v>2</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3</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3</v>
      </c>
      <c r="Q11" s="418">
        <f>IF(ISBLANK(INDEX(WORLDCUP!$AD$4:$AD$147,MATCH(M11,WORLDCUP!$AH$4:$AH$147,0))),"",INDEX(WORLDCUP!$AD$4:$AD$147,MATCH(M11,WORLDCUP!$AH$4:$AH$147,0)))</f>
        <v>3</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Jap</v>
      </c>
      <c r="AF11" s="457">
        <f>+IF(ISBLANK(INDEX(WORLDCUP!$AD$101:$AD$147,MATCH(AD11,WORLDCUP!$Z$101:$Z$147,0))),"",INDEX(WORLDCUP!$AD$101:$AD$147,MATCH(AD11,WORLDCUP!$Z$101:$Z$147,0)))</f>
        <v>4</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5</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Cat</v>
      </c>
      <c r="I12" s="449">
        <f ca="1">+INDEX(WORLDCUP!$AM$6:$AM$97,MATCH(L12,WORLDCUP!$AI$6:$AI$97,0))</f>
        <v>7</v>
      </c>
      <c r="J12" s="450">
        <f ca="1">+INDEX(WORLDCUP!$AT$6:$AT$97,MATCH(L12,WORLDCUP!$AI$6:$AI$97,0))</f>
        <v>4</v>
      </c>
      <c r="K12" s="451" t="str">
        <f ca="1">+INDEX(WORLDCUP!$AR$6:$AR$97,MATCH(L12,WORLDCUP!$AI$6:$AI$97,0))&amp;"-"&amp;INDEX(WORLDCUP!$AS$6:$AS$97,MATCH(L12,WORLDCUP!$AI$6:$AI$97,0))</f>
        <v>11-7</v>
      </c>
      <c r="L12" s="181" t="s">
        <v>659</v>
      </c>
      <c r="M12" s="181">
        <v>13</v>
      </c>
      <c r="N12" s="505"/>
      <c r="O12" s="444" t="str">
        <f ca="1">+MID(INDEX(WORLDCUP!$AA$4:$AA$147,MATCH(M12,WORLDCUP!$AH$4:$AH$147,0)),1,3)</f>
        <v>Ara</v>
      </c>
      <c r="P12" s="445">
        <f>IF(ISBLANK(INDEX(WORLDCUP!$AC$4:$AC$147,MATCH(M12,WORLDCUP!$AH$4:$AH$147,0))),"",INDEX(WORLDCUP!$AC$4:$AC$147,MATCH(M12,WORLDCUP!$AH$4:$AH$147,0)))</f>
        <v>3</v>
      </c>
      <c r="Q12" s="445">
        <f>IF(ISBLANK(INDEX(WORLDCUP!$AD$4:$AD$147,MATCH(M12,WORLDCUP!$AH$4:$AH$147,0))),"",INDEX(WORLDCUP!$AD$4:$AD$147,MATCH(M12,WORLDCUP!$AH$4:$AH$147,0)))</f>
        <v>3</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3</v>
      </c>
      <c r="W12" s="451" t="str">
        <f ca="1">+INDEX(WORLDCUP!$AR$6:$AR$97,MATCH(X12,WORLDCUP!$AI$6:$AI$97,0))&amp;"-"&amp;INDEX(WORLDCUP!$AS$6:$AS$97,MATCH(X12,WORLDCUP!$AI$6:$AI$97,0))</f>
        <v>8-5</v>
      </c>
      <c r="X12" s="181" t="s">
        <v>681</v>
      </c>
      <c r="Y12" s="181">
        <v>75</v>
      </c>
      <c r="Z12" s="425" t="s">
        <v>675</v>
      </c>
      <c r="AA12" s="426" t="str">
        <f ca="1">+MID(INDEX(WORLDCUP!$AA$101:$AA$147,MATCH(Y12,WORLDCUP!$Z$101:$Z$147,0)),1,3)</f>
        <v>Jap</v>
      </c>
      <c r="AB12" s="472">
        <f>+IF(ISBLANK(INDEX(WORLDCUP!$AC$101:$AC$147,MATCH(Y12,WORLDCUP!$Z$101:$Z$147,0))),"",INDEX(WORLDCUP!$AC$101:$AC$147,MATCH(Y12,WORLDCUP!$Z$101:$Z$147,0)))</f>
        <v>3</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0</v>
      </c>
      <c r="BM12" s="463">
        <f ca="1">COUNTIF(Pool!$C$252,Fixture!BG12)</f>
        <v>0</v>
      </c>
      <c r="BN12" s="463">
        <f ca="1">COUNTIF(Pool!$C$251,Fixture!BG12)</f>
        <v>1</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4</v>
      </c>
      <c r="E13" s="445">
        <f>IF(ISBLANK(INDEX(WORLDCUP!$AD$4:$AD$147,MATCH(A13,WORLDCUP!$AH$4:$AH$147,0))),"",INDEX(WORLDCUP!$AD$4:$AD$147,MATCH(A13,WORLDCUP!$AH$4:$AH$147,0)))</f>
        <v>2</v>
      </c>
      <c r="F13" s="446" t="str">
        <f ca="1">+MID(INDEX(WORLDCUP!$AF$4:$AF$147,MATCH(A13,WORLDCUP!$AH$4:$AH$147,0)),1,3)</f>
        <v>Bos</v>
      </c>
      <c r="G13" s="467">
        <v>2</v>
      </c>
      <c r="H13" s="468" t="str">
        <f ca="1">+MID(INDEX(WORLDCUP!$AL$6:$AL$97,MATCH(L13,WORLDCUP!$AI$6:$AI$97,0)),1,3)</f>
        <v>Sui</v>
      </c>
      <c r="I13" s="38">
        <f ca="1">+INDEX(WORLDCUP!$AM$6:$AM$97,MATCH(L13,WORLDCUP!$AI$6:$AI$97,0))</f>
        <v>6</v>
      </c>
      <c r="J13" s="39">
        <f ca="1">+INDEX(WORLDCUP!$AT$6:$AT$97,MATCH(L13,WORLDCUP!$AI$6:$AI$97,0))</f>
        <v>0</v>
      </c>
      <c r="K13" s="43" t="str">
        <f ca="1">+INDEX(WORLDCUP!$AR$6:$AR$97,MATCH(L13,WORLDCUP!$AI$6:$AI$97,0))&amp;"-"&amp;INDEX(WORLDCUP!$AS$6:$AS$97,MATCH(L13,WORLDCUP!$AI$6:$AI$97,0))</f>
        <v>10-10</v>
      </c>
      <c r="L13" s="181" t="s">
        <v>660</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1</v>
      </c>
      <c r="R13" s="446" t="str">
        <f ca="1">+MID(INDEX(WORLDCUP!$AF$4:$AF$147,MATCH(M13,WORLDCUP!$AH$4:$AH$147,0)),1,3)</f>
        <v>Ara</v>
      </c>
      <c r="S13" s="467">
        <v>2</v>
      </c>
      <c r="T13" s="468" t="str">
        <f ca="1">+MID(INDEX(WORLDCUP!$AL$6:$AL$97,MATCH(X13,WORLDCUP!$AI$6:$AI$97,0)),1,3)</f>
        <v>Cab</v>
      </c>
      <c r="U13" s="38">
        <f ca="1">+INDEX(WORLDCUP!$AM$6:$AM$97,MATCH(X13,WORLDCUP!$AI$6:$AI$97,0))</f>
        <v>7</v>
      </c>
      <c r="V13" s="39">
        <f ca="1">+INDEX(WORLDCUP!$AT$6:$AT$97,MATCH(X13,WORLDCUP!$AI$6:$AI$97,0))</f>
        <v>3</v>
      </c>
      <c r="W13" s="43" t="str">
        <f ca="1">+INDEX(WORLDCUP!$AR$6:$AR$97,MATCH(X13,WORLDCUP!$AI$6:$AI$97,0))&amp;"-"&amp;INDEX(WORLDCUP!$AS$6:$AS$97,MATCH(X13,WORLDCUP!$AI$6:$AI$97,0))</f>
        <v>8-5</v>
      </c>
      <c r="X13" s="181" t="s">
        <v>682</v>
      </c>
      <c r="Y13" s="181">
        <v>75</v>
      </c>
      <c r="Z13" s="425" t="s">
        <v>667</v>
      </c>
      <c r="AA13" s="480" t="str">
        <f ca="1">+MID(INDEX(WORLDCUP!$AF$101:$AF$147,MATCH(Y13,WORLDCUP!$Z$101:$Z$147,0)),1,3)</f>
        <v>Esc</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Ale</v>
      </c>
      <c r="AN13" s="509">
        <f>+IF(ISBLANK(INDEX(WORLDCUP!$AC$101:$AC$147,MATCH(AL13,WORLDCUP!$Z$101:$Z$147,0))),"",INDEX(WORLDCUP!$AC$101:$AC$147,MATCH(AL13,WORLDCUP!$Z$101:$Z$147,0)))</f>
        <v>2</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0</v>
      </c>
      <c r="BI13" s="463">
        <f ca="1">COUNTIF(Pool!$C$130:$C$161,Fixture!BG13)-BJ13-BK13-BL13-BM13-BN13-BO13</f>
        <v>1</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3</v>
      </c>
      <c r="E14" s="445">
        <f>IF(ISBLANK(INDEX(WORLDCUP!$AD$4:$AD$147,MATCH(A14,WORLDCUP!$AH$4:$AH$147,0))),"",INDEX(WORLDCUP!$AD$4:$AD$147,MATCH(A14,WORLDCUP!$AH$4:$AH$147,0)))</f>
        <v>3</v>
      </c>
      <c r="F14" s="446" t="str">
        <f ca="1">+MID(INDEX(WORLDCUP!$AF$4:$AF$147,MATCH(A14,WORLDCUP!$AH$4:$AH$147,0)),1,3)</f>
        <v>Cat</v>
      </c>
      <c r="G14" s="467">
        <v>3</v>
      </c>
      <c r="H14" s="468" t="str">
        <f ca="1">+MID(INDEX(WORLDCUP!$AL$6:$AL$97,MATCH(L14,WORLDCUP!$AI$6:$AI$97,0)),1,3)</f>
        <v>Can</v>
      </c>
      <c r="I14" s="38">
        <f ca="1">+INDEX(WORLDCUP!$AM$6:$AM$97,MATCH(L14,WORLDCUP!$AI$6:$AI$97,0))</f>
        <v>4</v>
      </c>
      <c r="J14" s="39">
        <f ca="1">+INDEX(WORLDCUP!$AT$6:$AT$97,MATCH(L14,WORLDCUP!$AI$6:$AI$97,0))</f>
        <v>1</v>
      </c>
      <c r="K14" s="43" t="str">
        <f ca="1">+INDEX(WORLDCUP!$AR$6:$AR$97,MATCH(L14,WORLDCUP!$AI$6:$AI$97,0))&amp;"-"&amp;INDEX(WORLDCUP!$AS$6:$AS$97,MATCH(L14,WORLDCUP!$AI$6:$AI$97,0))</f>
        <v>9-8</v>
      </c>
      <c r="L14" s="181" t="s">
        <v>91</v>
      </c>
      <c r="M14" s="181">
        <v>37</v>
      </c>
      <c r="N14" s="505"/>
      <c r="O14" s="444" t="str">
        <f ca="1">+MID(INDEX(WORLDCUP!$AA$4:$AA$147,MATCH(M14,WORLDCUP!$AH$4:$AH$147,0)),1,3)</f>
        <v>Uru</v>
      </c>
      <c r="P14" s="445">
        <f>IF(ISBLANK(INDEX(WORLDCUP!$AC$4:$AC$147,MATCH(M14,WORLDCUP!$AH$4:$AH$147,0))),"",INDEX(WORLDCUP!$AC$4:$AC$147,MATCH(M14,WORLDCUP!$AH$4:$AH$147,0)))</f>
        <v>1</v>
      </c>
      <c r="Q14" s="445">
        <f>IF(ISBLANK(INDEX(WORLDCUP!$AD$4:$AD$147,MATCH(M14,WORLDCUP!$AH$4:$AH$147,0))),"",INDEX(WORLDCUP!$AD$4:$AD$147,MATCH(M14,WORLDCUP!$AH$4:$AH$147,0)))</f>
        <v>2</v>
      </c>
      <c r="R14" s="446" t="str">
        <f ca="1">+MID(INDEX(WORLDCUP!$AF$4:$AF$147,MATCH(M14,WORLDCUP!$AH$4:$AH$147,0)),1,3)</f>
        <v>Cab</v>
      </c>
      <c r="S14" s="467">
        <v>3</v>
      </c>
      <c r="T14" s="468" t="str">
        <f ca="1">+MID(INDEX(WORLDCUP!$AL$6:$AL$97,MATCH(X14,WORLDCUP!$AI$6:$AI$97,0)),1,3)</f>
        <v>Ara</v>
      </c>
      <c r="U14" s="38">
        <f ca="1">+INDEX(WORLDCUP!$AM$6:$AM$97,MATCH(X14,WORLDCUP!$AI$6:$AI$97,0))</f>
        <v>1</v>
      </c>
      <c r="V14" s="39">
        <f ca="1">+INDEX(WORLDCUP!$AT$6:$AT$97,MATCH(X14,WORLDCUP!$AI$6:$AI$97,0))</f>
        <v>-3</v>
      </c>
      <c r="W14" s="43" t="str">
        <f ca="1">+INDEX(WORLDCUP!$AR$6:$AR$97,MATCH(X14,WORLDCUP!$AI$6:$AI$97,0))&amp;"-"&amp;INDEX(WORLDCUP!$AS$6:$AS$97,MATCH(X14,WORLDCUP!$AI$6:$AI$97,0))</f>
        <v>5-8</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4</v>
      </c>
      <c r="E15" s="445">
        <f>IF(ISBLANK(INDEX(WORLDCUP!$AD$4:$AD$147,MATCH(A15,WORLDCUP!$AH$4:$AH$147,0))),"",INDEX(WORLDCUP!$AD$4:$AD$147,MATCH(A15,WORLDCUP!$AH$4:$AH$147,0)))</f>
        <v>3</v>
      </c>
      <c r="F15" s="446" t="str">
        <f ca="1">+MID(INDEX(WORLDCUP!$AF$4:$AF$147,MATCH(A15,WORLDCUP!$AH$4:$AH$147,0)),1,3)</f>
        <v>Can</v>
      </c>
      <c r="G15" s="467">
        <v>4</v>
      </c>
      <c r="H15" s="476" t="str">
        <f ca="1">+MID(INDEX(WORLDCUP!$AL$6:$AL$97,MATCH(L15,WORLDCUP!$AI$6:$AI$97,0)),1,3)</f>
        <v>Bos</v>
      </c>
      <c r="I15" s="477">
        <f ca="1">+INDEX(WORLDCUP!$AM$6:$AM$97,MATCH(L15,WORLDCUP!$AI$6:$AI$97,0))</f>
        <v>0</v>
      </c>
      <c r="J15" s="478">
        <f ca="1">+INDEX(WORLDCUP!$AT$6:$AT$97,MATCH(L15,WORLDCUP!$AI$6:$AI$97,0))</f>
        <v>-5</v>
      </c>
      <c r="K15" s="479" t="str">
        <f ca="1">+INDEX(WORLDCUP!$AR$6:$AR$97,MATCH(L15,WORLDCUP!$AI$6:$AI$97,0))&amp;"-"&amp;INDEX(WORLDCUP!$AS$6:$AS$97,MATCH(L15,WORLDCUP!$AI$6:$AI$97,0))</f>
        <v>5-10</v>
      </c>
      <c r="L15" s="181" t="s">
        <v>661</v>
      </c>
      <c r="M15" s="181">
        <v>65</v>
      </c>
      <c r="N15" s="505"/>
      <c r="O15" s="444" t="str">
        <f ca="1">+MID(INDEX(WORLDCUP!$AA$4:$AA$147,MATCH(M15,WORLDCUP!$AH$4:$AH$147,0)),1,3)</f>
        <v>Cab</v>
      </c>
      <c r="P15" s="445">
        <f>IF(ISBLANK(INDEX(WORLDCUP!$AC$4:$AC$147,MATCH(M15,WORLDCUP!$AH$4:$AH$147,0))),"",INDEX(WORLDCUP!$AC$4:$AC$147,MATCH(M15,WORLDCUP!$AH$4:$AH$147,0)))</f>
        <v>3</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Uru</v>
      </c>
      <c r="U15" s="477">
        <f ca="1">+INDEX(WORLDCUP!$AM$6:$AM$97,MATCH(X15,WORLDCUP!$AI$6:$AI$97,0))</f>
        <v>1</v>
      </c>
      <c r="V15" s="478">
        <f ca="1">+INDEX(WORLDCUP!$AT$6:$AT$97,MATCH(X15,WORLDCUP!$AI$6:$AI$97,0))</f>
        <v>-3</v>
      </c>
      <c r="W15" s="479" t="str">
        <f ca="1">+INDEX(WORLDCUP!$AR$6:$AR$97,MATCH(X15,WORLDCUP!$AI$6:$AI$97,0))&amp;"-"&amp;INDEX(WORLDCUP!$AS$6:$AS$97,MATCH(X15,WORLDCUP!$AI$6:$AI$97,0))</f>
        <v>5-8</v>
      </c>
      <c r="X15" s="181" t="s">
        <v>683</v>
      </c>
      <c r="Y15" s="181">
        <v>83</v>
      </c>
      <c r="Z15" s="425" t="s">
        <v>691</v>
      </c>
      <c r="AA15" s="426" t="str">
        <f ca="1">+MID(INDEX(WORLDCUP!$AA$101:$AA$147,MATCH(Y15,WORLDCUP!$Z$101:$Z$147,0)),1,3)</f>
        <v>Col</v>
      </c>
      <c r="AB15" s="427">
        <f>+IF(ISBLANK(INDEX(WORLDCUP!$AC$101:$AC$147,MATCH(Y15,WORLDCUP!$Z$101:$Z$147,0))),"",INDEX(WORLDCUP!$AC$101:$AC$147,MATCH(Y15,WORLDCUP!$Z$101:$Z$147,0)))</f>
        <v>4</v>
      </c>
      <c r="AC15" s="498" t="str">
        <f>+IF(ISBLANK(INDEX(WORLDCUP!$AB$101:$AB$147,MATCH(Y15,WORLDCUP!$Z$101:$Z$147,0))),"","( "&amp;INDEX(WORLDCUP!$AB$101:$AB$147,MATCH(Y15,WORLDCUP!$Z$101:$Z$147,0))&amp;" )")</f>
        <v>( 2 )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0</v>
      </c>
      <c r="BI15" s="463">
        <f ca="1">COUNTIF(Pool!$C$130:$C$161,Fixture!BG15)-BJ15-BK15-BL15-BM15-BN15-BO15</f>
        <v>1</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2</v>
      </c>
      <c r="E16" s="488">
        <f>IF(ISBLANK(INDEX(WORLDCUP!$AD$4:$AD$147,MATCH(A16,WORLDCUP!$AH$4:$AH$147,0))),"",INDEX(WORLDCUP!$AD$4:$AD$147,MATCH(A16,WORLDCUP!$AH$4:$AH$147,0)))</f>
        <v>3</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3</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Ing</v>
      </c>
      <c r="AB16" s="453">
        <f>+IF(ISBLANK(INDEX(WORLDCUP!$AD$101:$AD$147,MATCH(Y16,WORLDCUP!$Z$101:$Z$147,0))),"",INDEX(WORLDCUP!$AD$101:$AD$147,MATCH(Y16,WORLDCUP!$Z$101:$Z$147,0)))</f>
        <v>4</v>
      </c>
      <c r="AC16" s="454" t="str">
        <f>+IF(ISBLANK(INDEX(WORLDCUP!$AE$101:$AE$147,MATCH(Y16,WORLDCUP!$Z$101:$Z$147,0))),"","( "&amp;INDEX(WORLDCUP!$AE$101:$AE$147,MATCH(Y16,WORLDCUP!$Z$101:$Z$147,0))&amp;" )")</f>
        <v>( 4 )</v>
      </c>
      <c r="AD16" s="455">
        <v>93</v>
      </c>
      <c r="AE16" s="456" t="str">
        <f ca="1">+MID(INDEX(WORLDCUP!$AA$101:$AA$147,MATCH(AD16,WORLDCUP!$Z$101:$Z$147,0)),1,3)</f>
        <v>Ing</v>
      </c>
      <c r="AF16" s="457">
        <f>+IF(ISBLANK(INDEX(WORLDCUP!$AC$101:$AC$147,MATCH(AD16,WORLDCUP!$Z$101:$Z$147,0))),"",INDEX(WORLDCUP!$AC$101:$AC$147,MATCH(AD16,WORLDCUP!$Z$101:$Z$147,0)))</f>
        <v>3</v>
      </c>
      <c r="AG16" s="458" t="str">
        <f>+IF(ISBLANK(INDEX(WORLDCUP!$AB$101:$AB$147,MATCH(AD16,WORLDCUP!$Z$101:$Z$147,0))),"","( "&amp;INDEX(WORLDCUP!$AB$101:$AB$147,MATCH(AD16,WORLDCUP!$Z$101:$Z$147,0))&amp;" )")</f>
        <v>( 3 )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1</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3</v>
      </c>
      <c r="AG17" s="515" t="str">
        <f>+IF(ISBLANK(INDEX(WORLDCUP!$AE$101:$AE$147,MATCH(AD17,WORLDCUP!$Z$101:$Z$147,0))),"","( "&amp;INDEX(WORLDCUP!$AE$101:$AE$147,MATCH(AD17,WORLDCUP!$Z$101:$Z$147,0))&amp;" )")</f>
        <v>( 4 )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0</v>
      </c>
      <c r="BJ17" s="464">
        <f ca="1">COUNTIF(Pool!$C$182:$C$197,Fixture!BG17)-BK17-BL17-BM17-BN17-BO17</f>
        <v>1</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0</v>
      </c>
      <c r="BJ18" s="464">
        <f ca="1">COUNTIF(Pool!$C$182:$C$197,Fixture!BG18)-BK18-BL18-BM18-BN18-BO18</f>
        <v>1</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2</v>
      </c>
      <c r="C19" s="417" t="str">
        <f ca="1">+MID(INDEX(WORLDCUP!$AA$4:$AA$147,MATCH(A19,WORLDCUP!$AH$4:$AH$147,0)),1,3)</f>
        <v>Bra</v>
      </c>
      <c r="D19" s="418">
        <f>IF(ISBLANK(INDEX(WORLDCUP!$AC$4:$AC$147,MATCH(A19,WORLDCUP!$AH$4:$AH$147,0))),"",INDEX(WORLDCUP!$AC$4:$AC$147,MATCH(A19,WORLDCUP!$AH$4:$AH$147,0)))</f>
        <v>6</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2</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Arg</v>
      </c>
      <c r="AB19" s="481">
        <f>+IF(ISBLANK(INDEX(WORLDCUP!$AD$101:$AD$147,MATCH(Y19,WORLDCUP!$Z$101:$Z$147,0))),"",INDEX(WORLDCUP!$AD$101:$AD$147,MATCH(Y19,WORLDCUP!$Z$101:$Z$147,0)))</f>
        <v>1</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4</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0</v>
      </c>
      <c r="BK19" s="465">
        <f ca="1">COUNTIF(Pool!$C$210:$C$217,Fixture!BG19)-BL19-BM19-BN19-BO19</f>
        <v>1</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0</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17</v>
      </c>
      <c r="K20" s="451" t="str">
        <f ca="1">+INDEX(WORLDCUP!$AR$6:$AR$97,MATCH(L20,WORLDCUP!$AI$6:$AI$97,0))&amp;"-"&amp;INDEX(WORLDCUP!$AS$6:$AS$97,MATCH(L20,WORLDCUP!$AI$6:$AI$97,0))</f>
        <v>18-1</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1</v>
      </c>
      <c r="R20" s="446" t="str">
        <f ca="1">+MID(INDEX(WORLDCUP!$AF$4:$AF$147,MATCH(M20,WORLDCUP!$AH$4:$AH$147,0)),1,3)</f>
        <v>Nor</v>
      </c>
      <c r="S20" s="447">
        <v>1</v>
      </c>
      <c r="T20" s="448" t="str">
        <f ca="1">+MID(INDEX(WORLDCUP!$AL$6:$AL$97,MATCH(X20,WORLDCUP!$AI$6:$AI$97,0)),1,3)</f>
        <v>Fra</v>
      </c>
      <c r="U20" s="449">
        <f ca="1">+INDEX(WORLDCUP!$AM$6:$AM$97,MATCH(X20,WORLDCUP!$AI$6:$AI$97,0))</f>
        <v>7</v>
      </c>
      <c r="V20" s="450">
        <f ca="1">+INDEX(WORLDCUP!$AT$6:$AT$97,MATCH(X20,WORLDCUP!$AI$6:$AI$97,0))</f>
        <v>5</v>
      </c>
      <c r="W20" s="451" t="str">
        <f ca="1">+INDEX(WORLDCUP!$AR$6:$AR$97,MATCH(X20,WORLDCUP!$AI$6:$AI$97,0))&amp;"-"&amp;INDEX(WORLDCUP!$AS$6:$AS$97,MATCH(X20,WORLDCUP!$AI$6:$AI$97,0))</f>
        <v>9-4</v>
      </c>
      <c r="X20" s="181" t="s">
        <v>684</v>
      </c>
      <c r="Y20" s="181"/>
      <c r="Z20" s="425"/>
      <c r="AA20" s="494"/>
      <c r="AB20" s="494"/>
      <c r="AC20" s="494"/>
      <c r="AD20" s="181"/>
      <c r="AE20" s="429"/>
      <c r="AF20" s="429"/>
      <c r="AG20" s="475"/>
      <c r="AH20" s="181">
        <v>98</v>
      </c>
      <c r="AI20" s="483" t="str">
        <f ca="1">+MID(INDEX(WORLDCUP!$AF$101:$AF$147,MATCH(AH20,WORLDCUP!$Z$101:$Z$147,0)),1,3)</f>
        <v>Méx</v>
      </c>
      <c r="AJ20" s="484">
        <f>+IF(ISBLANK(INDEX(WORLDCUP!$AD$101:$AD$147,MATCH(AH20,WORLDCUP!$Z$101:$Z$147,0))),"",INDEX(WORLDCUP!$AD$101:$AD$147,MATCH(AH20,WORLDCUP!$Z$101:$Z$147,0)))</f>
        <v>2</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2</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Esc</v>
      </c>
      <c r="I21" s="38">
        <f ca="1">+INDEX(WORLDCUP!$AM$6:$AM$97,MATCH(L21,WORLDCUP!$AI$6:$AI$97,0))</f>
        <v>4</v>
      </c>
      <c r="J21" s="39">
        <f ca="1">+INDEX(WORLDCUP!$AT$6:$AT$97,MATCH(L21,WORLDCUP!$AI$6:$AI$97,0))</f>
        <v>-4</v>
      </c>
      <c r="K21" s="43" t="str">
        <f ca="1">+INDEX(WORLDCUP!$AR$6:$AR$97,MATCH(L21,WORLDCUP!$AI$6:$AI$97,0))&amp;"-"&amp;INDEX(WORLDCUP!$AS$6:$AS$97,MATCH(L21,WORLDCUP!$AI$6:$AI$97,0))</f>
        <v>2-6</v>
      </c>
      <c r="L21" s="181" t="s">
        <v>667</v>
      </c>
      <c r="M21" s="181">
        <v>42</v>
      </c>
      <c r="N21" s="522"/>
      <c r="O21" s="444" t="str">
        <f ca="1">+MID(INDEX(WORLDCUP!$AA$4:$AA$147,MATCH(M21,WORLDCUP!$AH$4:$AH$147,0)),1,3)</f>
        <v>Fra</v>
      </c>
      <c r="P21" s="445">
        <f>IF(ISBLANK(INDEX(WORLDCUP!$AC$4:$AC$147,MATCH(M21,WORLDCUP!$AH$4:$AH$147,0))),"",INDEX(WORLDCUP!$AC$4:$AC$147,MATCH(M21,WORLDCUP!$AH$4:$AH$147,0)))</f>
        <v>4</v>
      </c>
      <c r="Q21" s="445">
        <f>IF(ISBLANK(INDEX(WORLDCUP!$AD$4:$AD$147,MATCH(M21,WORLDCUP!$AH$4:$AH$147,0))),"",INDEX(WORLDCUP!$AD$4:$AD$147,MATCH(M21,WORLDCUP!$AH$4:$AH$147,0)))</f>
        <v>1</v>
      </c>
      <c r="R21" s="446" t="str">
        <f ca="1">+MID(INDEX(WORLDCUP!$AF$4:$AF$147,MATCH(M21,WORLDCUP!$AH$4:$AH$147,0)),1,3)</f>
        <v>Ira</v>
      </c>
      <c r="S21" s="467">
        <v>2</v>
      </c>
      <c r="T21" s="468" t="str">
        <f ca="1">+MID(INDEX(WORLDCUP!$AL$6:$AL$97,MATCH(X21,WORLDCUP!$AI$6:$AI$97,0)),1,3)</f>
        <v>Nor</v>
      </c>
      <c r="U21" s="38">
        <f ca="1">+INDEX(WORLDCUP!$AM$6:$AM$97,MATCH(X21,WORLDCUP!$AI$6:$AI$97,0))</f>
        <v>4</v>
      </c>
      <c r="V21" s="39">
        <f ca="1">+INDEX(WORLDCUP!$AT$6:$AT$97,MATCH(X21,WORLDCUP!$AI$6:$AI$97,0))</f>
        <v>-1</v>
      </c>
      <c r="W21" s="43" t="str">
        <f ca="1">+INDEX(WORLDCUP!$AR$6:$AR$97,MATCH(X21,WORLDCUP!$AI$6:$AI$97,0))&amp;"-"&amp;INDEX(WORLDCUP!$AS$6:$AS$97,MATCH(X21,WORLDCUP!$AI$6:$AI$97,0))</f>
        <v>5-6</v>
      </c>
      <c r="X21" s="181" t="s">
        <v>685</v>
      </c>
      <c r="Y21" s="181">
        <v>81</v>
      </c>
      <c r="Z21" s="425" t="s">
        <v>669</v>
      </c>
      <c r="AA21" s="426" t="str">
        <f ca="1">+MID(INDEX(WORLDCUP!$AA$101:$AA$147,MATCH(Y21,WORLDCUP!$Z$101:$Z$147,0)),1,3)</f>
        <v>Est</v>
      </c>
      <c r="AB21" s="427">
        <f>+IF(ISBLANK(INDEX(WORLDCUP!$AC$101:$AC$147,MATCH(Y21,WORLDCUP!$Z$101:$Z$147,0))),"",INDEX(WORLDCUP!$AC$101:$AC$147,MATCH(Y21,WORLDCUP!$Z$101:$Z$147,0)))</f>
        <v>1</v>
      </c>
      <c r="AC21" s="498" t="str">
        <f>+IF(ISBLANK(INDEX(WORLDCUP!$AB$101:$AB$147,MATCH(Y21,WORLDCUP!$Z$101:$Z$147,0))),"","( "&amp;INDEX(WORLDCUP!$AB$101:$AB$147,MATCH(Y21,WORLDCUP!$Z$101:$Z$147,0))&amp;" )")</f>
        <v>( 2 )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Alemania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7</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Hai</v>
      </c>
      <c r="I22" s="38">
        <f ca="1">+INDEX(WORLDCUP!$AM$6:$AM$97,MATCH(L22,WORLDCUP!$AI$6:$AI$97,0))</f>
        <v>2</v>
      </c>
      <c r="J22" s="39">
        <f ca="1">+INDEX(WORLDCUP!$AT$6:$AT$97,MATCH(L22,WORLDCUP!$AI$6:$AI$97,0))</f>
        <v>-7</v>
      </c>
      <c r="K22" s="43" t="str">
        <f ca="1">+INDEX(WORLDCUP!$AR$6:$AR$97,MATCH(L22,WORLDCUP!$AI$6:$AI$97,0))&amp;"-"&amp;INDEX(WORLDCUP!$AS$6:$AS$97,MATCH(L22,WORLDCUP!$AI$6:$AI$97,0))</f>
        <v>1-8</v>
      </c>
      <c r="L22" s="181" t="s">
        <v>92</v>
      </c>
      <c r="M22" s="181">
        <v>41</v>
      </c>
      <c r="N22" s="522"/>
      <c r="O22" s="444" t="str">
        <f ca="1">+MID(INDEX(WORLDCUP!$AA$4:$AA$147,MATCH(M22,WORLDCUP!$AH$4:$AH$147,0)),1,3)</f>
        <v>Nor</v>
      </c>
      <c r="P22" s="445">
        <f>IF(ISBLANK(INDEX(WORLDCUP!$AC$4:$AC$147,MATCH(M22,WORLDCUP!$AH$4:$AH$147,0))),"",INDEX(WORLDCUP!$AC$4:$AC$147,MATCH(M22,WORLDCUP!$AH$4:$AH$147,0)))</f>
        <v>3</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2</v>
      </c>
      <c r="V22" s="39">
        <f ca="1">+INDEX(WORLDCUP!$AT$6:$AT$97,MATCH(X22,WORLDCUP!$AI$6:$AI$97,0))</f>
        <v>-1</v>
      </c>
      <c r="W22" s="43" t="str">
        <f ca="1">+INDEX(WORLDCUP!$AR$6:$AR$97,MATCH(X22,WORLDCUP!$AI$6:$AI$97,0))&amp;"-"&amp;INDEX(WORLDCUP!$AS$6:$AS$97,MATCH(X22,WORLDCUP!$AI$6:$AI$97,0))</f>
        <v>5-6</v>
      </c>
      <c r="X22" s="181" t="s">
        <v>450</v>
      </c>
      <c r="Y22" s="181">
        <v>81</v>
      </c>
      <c r="Z22" s="425" t="s">
        <v>737</v>
      </c>
      <c r="AA22" s="426" t="str">
        <f ca="1">+MID(INDEX(WORLDCUP!$AF$101:$AF$147,MATCH(Y22,WORLDCUP!$Z$101:$Z$147,0)),1,IF(WORLDCUP!$H$113&lt;144,6,3))</f>
        <v>Can</v>
      </c>
      <c r="AB22" s="453">
        <f>+IF(ISBLANK(INDEX(WORLDCUP!$AD$101:$AD$147,MATCH(Y22,WORLDCUP!$Z$101:$Z$147,0))),"",INDEX(WORLDCUP!$AD$101:$AD$147,MATCH(Y22,WORLDCUP!$Z$101:$Z$147,0)))</f>
        <v>1</v>
      </c>
      <c r="AC22" s="454" t="str">
        <f>+IF(ISBLANK(INDEX(WORLDCUP!$AE$101:$AE$147,MATCH(Y22,WORLDCUP!$Z$101:$Z$147,0))),"","( "&amp;INDEX(WORLDCUP!$AE$101:$AE$147,MATCH(Y22,WORLDCUP!$Z$101:$Z$147,0))&amp;" )")</f>
        <v>( 4 )</v>
      </c>
      <c r="AD22" s="455">
        <v>94</v>
      </c>
      <c r="AE22" s="456" t="str">
        <f ca="1">+MID(INDEX(WORLDCUP!$AA$101:$AA$147,MATCH(AD22,WORLDCUP!$Z$101:$Z$147,0)),1,3)</f>
        <v>Can</v>
      </c>
      <c r="AF22" s="457">
        <f>+IF(ISBLANK(INDEX(WORLDCUP!$AC$101:$AC$147,MATCH(AD22,WORLDCUP!$Z$101:$Z$147,0))),"",INDEX(WORLDCUP!$AC$101:$AC$147,MATCH(AD22,WORLDCUP!$Z$101:$Z$147,0)))</f>
        <v>2</v>
      </c>
      <c r="AG22" s="501" t="str">
        <f>+IF(ISBLANK(INDEX(WORLDCUP!$AB$101:$AB$147,MATCH(AD22,WORLDCUP!$Z$101:$Z$147,0))),"","( "&amp;INDEX(WORLDCUP!$AB$101:$AB$147,MATCH(AD22,WORLDCUP!$Z$101:$Z$147,0))&amp;" )")</f>
        <v>( 3 )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1</v>
      </c>
      <c r="BI22" s="463">
        <f ca="1">COUNTIF(Pool!$C$130:$C$161,Fixture!BG22)-BJ22-BK22-BL22-BM22-BN22-BO22</f>
        <v>0</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5</v>
      </c>
      <c r="F23" s="446" t="str">
        <f ca="1">+MID(INDEX(WORLDCUP!$AF$4:$AF$147,MATCH(A23,WORLDCUP!$AH$4:$AH$147,0)),1,3)</f>
        <v>Bra</v>
      </c>
      <c r="G23" s="467">
        <v>4</v>
      </c>
      <c r="H23" s="476" t="str">
        <f ca="1">+MID(INDEX(WORLDCUP!$AL$6:$AL$97,MATCH(L23,WORLDCUP!$AI$6:$AI$97,0)),1,3)</f>
        <v>Mar</v>
      </c>
      <c r="I23" s="477">
        <f ca="1">+INDEX(WORLDCUP!$AM$6:$AM$97,MATCH(L23,WORLDCUP!$AI$6:$AI$97,0))</f>
        <v>1</v>
      </c>
      <c r="J23" s="478">
        <f ca="1">+INDEX(WORLDCUP!$AT$6:$AT$97,MATCH(L23,WORLDCUP!$AI$6:$AI$97,0))</f>
        <v>-6</v>
      </c>
      <c r="K23" s="479" t="str">
        <f ca="1">+INDEX(WORLDCUP!$AR$6:$AR$97,MATCH(L23,WORLDCUP!$AI$6:$AI$97,0))&amp;"-"&amp;INDEX(WORLDCUP!$AS$6:$AS$97,MATCH(L23,WORLDCUP!$AI$6:$AI$97,0))</f>
        <v>3-9</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3</v>
      </c>
      <c r="R23" s="446" t="str">
        <f ca="1">+MID(INDEX(WORLDCUP!$AF$4:$AF$147,MATCH(M23,WORLDCUP!$AH$4:$AH$147,0)),1,3)</f>
        <v>Fra</v>
      </c>
      <c r="S23" s="467">
        <v>4</v>
      </c>
      <c r="T23" s="476" t="str">
        <f ca="1">+MID(INDEX(WORLDCUP!$AL$6:$AL$97,MATCH(X23,WORLDCUP!$AI$6:$AI$97,0)),1,3)</f>
        <v>Ira</v>
      </c>
      <c r="U23" s="477">
        <f ca="1">+INDEX(WORLDCUP!$AM$6:$AM$97,MATCH(X23,WORLDCUP!$AI$6:$AI$97,0))</f>
        <v>2</v>
      </c>
      <c r="V23" s="478">
        <f ca="1">+INDEX(WORLDCUP!$AT$6:$AT$97,MATCH(X23,WORLDCUP!$AI$6:$AI$97,0))</f>
        <v>-3</v>
      </c>
      <c r="W23" s="479" t="str">
        <f ca="1">+INDEX(WORLDCUP!$AR$6:$AR$97,MATCH(X23,WORLDCUP!$AI$6:$AI$97,0))&amp;"-"&amp;INDEX(WORLDCUP!$AS$6:$AS$97,MATCH(X23,WORLDCUP!$AI$6:$AI$97,0))</f>
        <v>3-6</v>
      </c>
      <c r="X23" s="181" t="s">
        <v>686</v>
      </c>
      <c r="Y23" s="181"/>
      <c r="Z23" s="425"/>
      <c r="AA23" s="469"/>
      <c r="AB23" s="469"/>
      <c r="AC23" s="470"/>
      <c r="AD23" s="181">
        <v>94</v>
      </c>
      <c r="AE23" s="456" t="str">
        <f ca="1">+MID(INDEX(WORLDCUP!$AF$101:$AF$147,MATCH(AD23,WORLDCUP!$Z$101:$Z$147,0)),1,3)</f>
        <v>Méx</v>
      </c>
      <c r="AF23" s="457">
        <f>+IF(ISBLANK(INDEX(WORLDCUP!$AD$101:$AD$147,MATCH(AD23,WORLDCUP!$Z$101:$Z$147,0))),"",INDEX(WORLDCUP!$AD$101:$AD$147,MATCH(AD23,WORLDCUP!$Z$101:$Z$147,0)))</f>
        <v>2</v>
      </c>
      <c r="AG23" s="474" t="str">
        <f>+IF(ISBLANK(INDEX(WORLDCUP!$AE$101:$AE$147,MATCH(AD23,WORLDCUP!$Z$101:$Z$147,0))),"","( "&amp;INDEX(WORLDCUP!$AE$101:$AE$147,MATCH(AD23,WORLDCUP!$Z$101:$Z$147,0))&amp;" )")</f>
        <v>( 4 )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Brasil</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1</v>
      </c>
      <c r="E24" s="488">
        <f>IF(ISBLANK(INDEX(WORLDCUP!$AD$4:$AD$147,MATCH(A24,WORLDCUP!$AH$4:$AH$147,0))),"",INDEX(WORLDCUP!$AD$4:$AD$147,MATCH(A24,WORLDCUP!$AH$4:$AH$147,0)))</f>
        <v>1</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1</v>
      </c>
      <c r="Q24" s="488">
        <f>IF(ISBLANK(INDEX(WORLDCUP!$AD$4:$AD$147,MATCH(M24,WORLDCUP!$AH$4:$AH$147,0))),"",INDEX(WORLDCUP!$AD$4:$AD$147,MATCH(M24,WORLDCUP!$AH$4:$AH$147,0)))</f>
        <v>1</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Nue</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1</v>
      </c>
      <c r="BM24" s="463">
        <f ca="1">COUNTIF(Pool!$C$252,Fixture!BG24)</f>
        <v>0</v>
      </c>
      <c r="BN24" s="463">
        <f ca="1">COUNTIF(Pool!$C$251,Fixture!BG24)</f>
        <v>0</v>
      </c>
      <c r="BO24" s="466">
        <f ca="1">COUNTIF(Pool!$C$250,Fixture!BG24)</f>
        <v>0</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Méx</v>
      </c>
      <c r="AB25" s="481">
        <f>+IF(ISBLANK(INDEX(WORLDCUP!$AD$101:$AD$147,MATCH(Y25,WORLDCUP!$Z$101:$Z$147,0))),"",INDEX(WORLDCUP!$AD$101:$AD$147,MATCH(Y25,WORLDCUP!$Z$101:$Z$147,0)))</f>
        <v>3</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Alem</v>
      </c>
      <c r="AV25" s="538">
        <f>+IF(ISBLANK(INDEX(WORLDCUP!$AC$101:$AC$147,MATCH(AT25,WORLDCUP!$Z$101:$Z$147,0))),"",INDEX(WORLDCUP!$AC$101:$AC$147,MATCH(AT25,WORLDCUP!$Z$101:$Z$147,0)))</f>
        <v>3</v>
      </c>
      <c r="AW25" s="539" t="str">
        <f>+IF(ISBLANK(INDEX(WORLDCUP!$AB$101:$AB$147,MATCH(AT25,WORLDCUP!$Z$101:$Z$147,0))),"","( "&amp;INDEX(WORLDCUP!$AB$101:$AB$147,MATCH(AT25,WORLDCUP!$Z$101:$Z$147,0))&amp;" )")</f>
        <v/>
      </c>
      <c r="AX25" s="540"/>
      <c r="AY25" s="527"/>
      <c r="AZ25" s="528" t="str">
        <f ca="1">+WORLDCUP!AA152</f>
        <v>Argentina</v>
      </c>
      <c r="BA25" s="530"/>
      <c r="BB25" s="533"/>
      <c r="BC25" s="529"/>
      <c r="BD25" s="153"/>
      <c r="BE25" s="153"/>
      <c r="BG25" s="462" t="str">
        <f ca="1">Horarios!Q24</f>
        <v>Estados Unidos</v>
      </c>
      <c r="BH25" s="463">
        <f t="shared" ca="1" si="0"/>
        <v>0</v>
      </c>
      <c r="BI25" s="463">
        <f ca="1">COUNTIF(Pool!$C$130:$C$161,Fixture!BG25)-BJ25-BK25-BL25-BM25-BN25-BO25</f>
        <v>1</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Bras</v>
      </c>
      <c r="AV26" s="538">
        <f>+IF(ISBLANK(INDEX(WORLDCUP!$AD$101:$AD$147,MATCH(AT26,WORLDCUP!$Z$101:$Z$147,0))),"",INDEX(WORLDCUP!$AD$101:$AD$147,MATCH(AT26,WORLDCUP!$Z$101:$Z$147,0)))</f>
        <v>2</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1</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0</v>
      </c>
    </row>
    <row r="27" spans="1:67" ht="15.7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6</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4</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3</v>
      </c>
      <c r="E28" s="445">
        <f>IF(ISBLANK(INDEX(WORLDCUP!$AD$4:$AD$147,MATCH(A28,WORLDCUP!$AH$4:$AH$147,0))),"",INDEX(WORLDCUP!$AD$4:$AD$147,MATCH(A28,WORLDCUP!$AH$4:$AH$147,0)))</f>
        <v>4</v>
      </c>
      <c r="F28" s="446" t="str">
        <f ca="1">+MID(INDEX(WORLDCUP!$AF$4:$AF$147,MATCH(A28,WORLDCUP!$AH$4:$AH$147,0)),1,3)</f>
        <v>Tur</v>
      </c>
      <c r="G28" s="447">
        <v>1</v>
      </c>
      <c r="H28" s="448" t="str">
        <f ca="1">+MID(INDEX(WORLDCUP!$AL$6:$AL$97,MATCH(L28,WORLDCUP!$AI$6:$AI$97,0)),1,3)</f>
        <v>Est</v>
      </c>
      <c r="I28" s="449">
        <f ca="1">+INDEX(WORLDCUP!$AM$6:$AM$97,MATCH(L28,WORLDCUP!$AI$6:$AI$97,0))</f>
        <v>9</v>
      </c>
      <c r="J28" s="450">
        <f ca="1">+INDEX(WORLDCUP!$AT$6:$AT$97,MATCH(L28,WORLDCUP!$AI$6:$AI$97,0))</f>
        <v>3</v>
      </c>
      <c r="K28" s="451" t="str">
        <f ca="1">+INDEX(WORLDCUP!$AR$6:$AR$97,MATCH(L28,WORLDCUP!$AI$6:$AI$97,0))&amp;"-"&amp;INDEX(WORLDCUP!$AS$6:$AS$97,MATCH(L28,WORLDCUP!$AI$6:$AI$97,0))</f>
        <v>9-6</v>
      </c>
      <c r="L28" s="181" t="s">
        <v>669</v>
      </c>
      <c r="M28" s="181">
        <v>20</v>
      </c>
      <c r="N28" s="545"/>
      <c r="O28" s="444" t="str">
        <f ca="1">+MID(INDEX(WORLDCUP!$AA$4:$AA$147,MATCH(M28,WORLDCUP!$AH$4:$AH$147,0)),1,3)</f>
        <v>Aus</v>
      </c>
      <c r="P28" s="445">
        <f>IF(ISBLANK(INDEX(WORLDCUP!$AC$4:$AC$147,MATCH(M28,WORLDCUP!$AH$4:$AH$147,0))),"",INDEX(WORLDCUP!$AC$4:$AC$147,MATCH(M28,WORLDCUP!$AH$4:$AH$147,0)))</f>
        <v>0</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11</v>
      </c>
      <c r="W28" s="451" t="str">
        <f ca="1">+INDEX(WORLDCUP!$AR$6:$AR$97,MATCH(X28,WORLDCUP!$AI$6:$AI$97,0))&amp;"-"&amp;INDEX(WORLDCUP!$AS$6:$AS$97,MATCH(X28,WORLDCUP!$AI$6:$AI$97,0))</f>
        <v>13-2</v>
      </c>
      <c r="X28" s="181" t="s">
        <v>687</v>
      </c>
      <c r="Y28" s="181">
        <v>76</v>
      </c>
      <c r="Z28" s="425" t="s">
        <v>676</v>
      </c>
      <c r="AA28" s="426" t="str">
        <f ca="1">+MID(INDEX(WORLDCUP!$AF$101:$AF$147,MATCH(Y28,WORLDCUP!$Z$101:$Z$147,0)),1,3)</f>
        <v>Sue</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3</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3</v>
      </c>
      <c r="E29" s="445">
        <f>IF(ISBLANK(INDEX(WORLDCUP!$AD$4:$AD$147,MATCH(A29,WORLDCUP!$AH$4:$AH$147,0))),"",INDEX(WORLDCUP!$AD$4:$AD$147,MATCH(A29,WORLDCUP!$AH$4:$AH$147,0)))</f>
        <v>2</v>
      </c>
      <c r="F29" s="446" t="str">
        <f ca="1">+MID(INDEX(WORLDCUP!$AF$4:$AF$147,MATCH(A29,WORLDCUP!$AH$4:$AH$147,0)),1,3)</f>
        <v>Aus</v>
      </c>
      <c r="G29" s="467">
        <v>2</v>
      </c>
      <c r="H29" s="468" t="str">
        <f ca="1">+MID(INDEX(WORLDCUP!$AL$6:$AL$97,MATCH(L29,WORLDCUP!$AI$6:$AI$97,0)),1,3)</f>
        <v>Tur</v>
      </c>
      <c r="I29" s="38">
        <f ca="1">+INDEX(WORLDCUP!$AM$6:$AM$97,MATCH(L29,WORLDCUP!$AI$6:$AI$97,0))</f>
        <v>6</v>
      </c>
      <c r="J29" s="39">
        <f ca="1">+INDEX(WORLDCUP!$AT$6:$AT$97,MATCH(L29,WORLDCUP!$AI$6:$AI$97,0))</f>
        <v>4</v>
      </c>
      <c r="K29" s="43" t="str">
        <f ca="1">+INDEX(WORLDCUP!$AR$6:$AR$97,MATCH(L29,WORLDCUP!$AI$6:$AI$97,0))&amp;"-"&amp;INDEX(WORLDCUP!$AS$6:$AS$97,MATCH(L29,WORLDCUP!$AI$6:$AI$97,0))</f>
        <v>12-8</v>
      </c>
      <c r="L29" s="181" t="s">
        <v>670</v>
      </c>
      <c r="M29" s="181">
        <v>43</v>
      </c>
      <c r="N29" s="545"/>
      <c r="O29" s="444" t="str">
        <f ca="1">+MID(INDEX(WORLDCUP!$AA$4:$AA$147,MATCH(M29,WORLDCUP!$AH$4:$AH$147,0)),1,3)</f>
        <v>Arg</v>
      </c>
      <c r="P29" s="445">
        <f>IF(ISBLANK(INDEX(WORLDCUP!$AC$4:$AC$147,MATCH(M29,WORLDCUP!$AH$4:$AH$147,0))),"",INDEX(WORLDCUP!$AC$4:$AC$147,MATCH(M29,WORLDCUP!$AH$4:$AH$147,0)))</f>
        <v>3</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Arg</v>
      </c>
      <c r="U29" s="38">
        <f ca="1">+INDEX(WORLDCUP!$AM$6:$AM$97,MATCH(X29,WORLDCUP!$AI$6:$AI$97,0))</f>
        <v>4</v>
      </c>
      <c r="V29" s="39">
        <f ca="1">+INDEX(WORLDCUP!$AT$6:$AT$97,MATCH(X29,WORLDCUP!$AI$6:$AI$97,0))</f>
        <v>-5</v>
      </c>
      <c r="W29" s="43" t="str">
        <f ca="1">+INDEX(WORLDCUP!$AR$6:$AR$97,MATCH(X29,WORLDCUP!$AI$6:$AI$97,0))&amp;"-"&amp;INDEX(WORLDCUP!$AS$6:$AS$97,MATCH(X29,WORLDCUP!$AI$6:$AI$97,0))</f>
        <v>3-8</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1</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5</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Aus</v>
      </c>
      <c r="I30" s="38">
        <f ca="1">+INDEX(WORLDCUP!$AM$6:$AM$97,MATCH(L30,WORLDCUP!$AI$6:$AI$97,0))</f>
        <v>3</v>
      </c>
      <c r="J30" s="39">
        <f ca="1">+INDEX(WORLDCUP!$AT$6:$AT$97,MATCH(L30,WORLDCUP!$AI$6:$AI$97,0))</f>
        <v>1</v>
      </c>
      <c r="K30" s="43" t="str">
        <f ca="1">+INDEX(WORLDCUP!$AR$6:$AR$97,MATCH(L30,WORLDCUP!$AI$6:$AI$97,0))&amp;"-"&amp;INDEX(WORLDCUP!$AS$6:$AS$97,MATCH(L30,WORLDCUP!$AI$6:$AI$97,0))</f>
        <v>8-7</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Jor</v>
      </c>
      <c r="U30" s="38">
        <f ca="1">+INDEX(WORLDCUP!$AM$6:$AM$97,MATCH(X30,WORLDCUP!$AI$6:$AI$97,0))</f>
        <v>2</v>
      </c>
      <c r="V30" s="39">
        <f ca="1">+INDEX(WORLDCUP!$AT$6:$AT$97,MATCH(X30,WORLDCUP!$AI$6:$AI$97,0))</f>
        <v>-3</v>
      </c>
      <c r="W30" s="43" t="str">
        <f ca="1">+INDEX(WORLDCUP!$AR$6:$AR$97,MATCH(X30,WORLDCUP!$AI$6:$AI$97,0))&amp;"-"&amp;INDEX(WORLDCUP!$AS$6:$AS$97,MATCH(X30,WORLDCUP!$AI$6:$AI$97,0))</f>
        <v>2-5</v>
      </c>
      <c r="X30" s="181" t="s">
        <v>451</v>
      </c>
      <c r="Y30" s="181">
        <v>78</v>
      </c>
      <c r="Z30" s="425" t="s">
        <v>673</v>
      </c>
      <c r="AA30" s="426" t="str">
        <f ca="1">+MID(INDEX(WORLDCUP!$AA$101:$AA$147,MATCH(Y30,WORLDCUP!$Z$101:$Z$147,0)),1,3)</f>
        <v>Ecu</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4</v>
      </c>
      <c r="F31" s="446" t="str">
        <f ca="1">+MID(INDEX(WORLDCUP!$AF$4:$AF$147,MATCH(A31,WORLDCUP!$AH$4:$AH$147,0)),1,3)</f>
        <v>Est</v>
      </c>
      <c r="G31" s="467">
        <v>4</v>
      </c>
      <c r="H31" s="476" t="str">
        <f ca="1">+MID(INDEX(WORLDCUP!$AL$6:$AL$97,MATCH(L31,WORLDCUP!$AI$6:$AI$97,0)),1,3)</f>
        <v>Par</v>
      </c>
      <c r="I31" s="477">
        <f ca="1">+INDEX(WORLDCUP!$AM$6:$AM$97,MATCH(L31,WORLDCUP!$AI$6:$AI$97,0))</f>
        <v>0</v>
      </c>
      <c r="J31" s="478">
        <f ca="1">+INDEX(WORLDCUP!$AT$6:$AT$97,MATCH(L31,WORLDCUP!$AI$6:$AI$97,0))</f>
        <v>-8</v>
      </c>
      <c r="K31" s="479" t="str">
        <f ca="1">+INDEX(WORLDCUP!$AR$6:$AR$97,MATCH(L31,WORLDCUP!$AI$6:$AI$97,0))&amp;"-"&amp;INDEX(WORLDCUP!$AS$6:$AS$97,MATCH(L31,WORLDCUP!$AI$6:$AI$97,0))</f>
        <v>2-10</v>
      </c>
      <c r="L31" s="181" t="s">
        <v>671</v>
      </c>
      <c r="M31" s="181">
        <v>69</v>
      </c>
      <c r="N31" s="545"/>
      <c r="O31" s="444" t="str">
        <f ca="1">+MID(INDEX(WORLDCUP!$AA$4:$AA$147,MATCH(M31,WORLDCUP!$AH$4:$AH$147,0)),1,3)</f>
        <v>Arg</v>
      </c>
      <c r="P31" s="445">
        <f>IF(ISBLANK(INDEX(WORLDCUP!$AC$4:$AC$147,MATCH(M31,WORLDCUP!$AH$4:$AH$147,0))),"",INDEX(WORLDCUP!$AC$4:$AC$147,MATCH(M31,WORLDCUP!$AH$4:$AH$147,0)))</f>
        <v>2</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Aus</v>
      </c>
      <c r="U31" s="477">
        <f ca="1">+INDEX(WORLDCUP!$AM$6:$AM$97,MATCH(X31,WORLDCUP!$AI$6:$AI$97,0))</f>
        <v>1</v>
      </c>
      <c r="V31" s="478">
        <f ca="1">+INDEX(WORLDCUP!$AT$6:$AT$97,MATCH(X31,WORLDCUP!$AI$6:$AI$97,0))</f>
        <v>-3</v>
      </c>
      <c r="W31" s="479" t="str">
        <f ca="1">+INDEX(WORLDCUP!$AR$6:$AR$97,MATCH(X31,WORLDCUP!$AI$6:$AI$97,0))&amp;"-"&amp;INDEX(WORLDCUP!$AS$6:$AS$97,MATCH(X31,WORLDCUP!$AI$6:$AI$97,0))</f>
        <v>2-5</v>
      </c>
      <c r="X31" s="181" t="s">
        <v>689</v>
      </c>
      <c r="Y31" s="181">
        <v>78</v>
      </c>
      <c r="Z31" s="425" t="s">
        <v>685</v>
      </c>
      <c r="AA31" s="480" t="str">
        <f ca="1">+MID(INDEX(WORLDCUP!$AF$101:$AF$147,MATCH(Y31,WORLDCUP!$Z$101:$Z$147,0)),1,3)</f>
        <v>Nor</v>
      </c>
      <c r="AB31" s="481">
        <f>+IF(ISBLANK(INDEX(WORLDCUP!$AD$101:$AD$147,MATCH(Y31,WORLDCUP!$Z$101:$Z$147,0))),"",INDEX(WORLDCUP!$AD$101:$AD$147,MATCH(Y31,WORLDCUP!$Z$101:$Z$147,0)))</f>
        <v>2</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2</v>
      </c>
      <c r="AK31" s="485" t="str">
        <f>+IF(ISBLANK(INDEX(WORLDCUP!$AB$101:$AB$147,MATCH(AH31,WORLDCUP!$Z$101:$Z$147,0))),"","( "&amp;INDEX(WORLDCUP!$AB$101:$AB$147,MATCH(AH31,WORLDCUP!$Z$101:$Z$147,0))&amp;" )")</f>
        <v>( 5 )</v>
      </c>
      <c r="AL31" s="181"/>
      <c r="AM31" s="431"/>
      <c r="AN31" s="431"/>
      <c r="AO31" s="512"/>
      <c r="AP31" s="546">
        <v>103</v>
      </c>
      <c r="AQ31" s="547" t="str">
        <f ca="1">+MID(INDEX(WORLDCUP!$AA$101:$AA$147,MATCH(AP31,WORLDCUP!$Z$101:$Z$147,0)),1,4)</f>
        <v>Espa</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3</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4</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Cro</v>
      </c>
      <c r="AJ32" s="484">
        <f>+IF(ISBLANK(INDEX(WORLDCUP!$AD$101:$AD$147,MATCH(AH32,WORLDCUP!$Z$101:$Z$147,0))),"",INDEX(WORLDCUP!$AD$101:$AD$147,MATCH(AH32,WORLDCUP!$Z$101:$Z$147,0)))</f>
        <v>2</v>
      </c>
      <c r="AK32" s="495" t="str">
        <f>+IF(ISBLANK(INDEX(WORLDCUP!$AE$101:$AE$147,MATCH(AH32,WORLDCUP!$Z$101:$Z$147,0))),"","( "&amp;INDEX(WORLDCUP!$AE$101:$AE$147,MATCH(AH32,WORLDCUP!$Z$101:$Z$147,0))&amp;" )")</f>
        <v>( 3 )</v>
      </c>
      <c r="AL32" s="181"/>
      <c r="AM32" s="431"/>
      <c r="AN32" s="431"/>
      <c r="AO32" s="512"/>
      <c r="AP32" s="415">
        <v>103</v>
      </c>
      <c r="AQ32" s="547" t="str">
        <f ca="1">+MID(INDEX(WORLDCUP!$AF$101:$AF$147,MATCH(AP32,WORLDCUP!$Z$101:$Z$147,0)),1,4)</f>
        <v>Arge</v>
      </c>
      <c r="AR32" s="548">
        <f>+IF(ISBLANK(INDEX(WORLDCUP!$AD$101:$AD$147,MATCH(AP32,WORLDCUP!$Z$101:$Z$147,0))),"",INDEX(WORLDCUP!$AD$101:$AD$147,MATCH(AP32,WORLDCUP!$Z$101:$Z$147,0)))</f>
        <v>4</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0</v>
      </c>
      <c r="BJ32" s="464">
        <f ca="1">COUNTIF(Pool!$C$182:$C$197,Fixture!BG32)-BK32-BL32-BM32-BN32-BO32</f>
        <v>0</v>
      </c>
      <c r="BK32" s="465">
        <f ca="1">COUNTIF(Pool!$C$210:$C$217,Fixture!BG32)-BL32-BM32-BN32-BO32</f>
        <v>1</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Sud</v>
      </c>
      <c r="AB33" s="427">
        <f>+IF(ISBLANK(INDEX(WORLDCUP!$AC$101:$AC$147,MATCH(Y33,WORLDCUP!$Z$101:$Z$147,0))),"",INDEX(WORLDCUP!$AC$101:$AC$147,MATCH(Y33,WORLDCUP!$Z$101:$Z$147,0)))</f>
        <v>3</v>
      </c>
      <c r="AC33" s="498" t="str">
        <f>+IF(ISBLANK(INDEX(WORLDCUP!$AB$101:$AB$147,MATCH(Y33,WORLDCUP!$Z$101:$Z$147,0))),"","( "&amp;INDEX(WORLDCUP!$AB$101:$AB$147,MATCH(Y33,WORLDCUP!$Z$101:$Z$147,0))&amp;" )")</f>
        <v>( 3 )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Cos</v>
      </c>
      <c r="AB34" s="453">
        <f>+IF(ISBLANK(INDEX(WORLDCUP!$AD$101:$AD$147,MATCH(Y34,WORLDCUP!$Z$101:$Z$147,0))),"",INDEX(WORLDCUP!$AD$101:$AD$147,MATCH(Y34,WORLDCUP!$Z$101:$Z$147,0)))</f>
        <v>3</v>
      </c>
      <c r="AC34" s="454" t="str">
        <f>+IF(ISBLANK(INDEX(WORLDCUP!$AE$101:$AE$147,MATCH(Y34,WORLDCUP!$Z$101:$Z$147,0))),"","( "&amp;INDEX(WORLDCUP!$AE$101:$AE$147,MATCH(Y34,WORLDCUP!$Z$101:$Z$147,0))&amp;" )")</f>
        <v>( 5 )</v>
      </c>
      <c r="AD34" s="455">
        <v>92</v>
      </c>
      <c r="AE34" s="456" t="str">
        <f ca="1">+MID(INDEX(WORLDCUP!$AA$101:$AA$147,MATCH(AD34,WORLDCUP!$Z$101:$Z$147,0)),1,3)</f>
        <v>Cos</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1</v>
      </c>
      <c r="BI34" s="463">
        <f ca="1">COUNTIF(Pool!$C$130:$C$161,Fixture!BG34)-BJ34-BK34-BL34-BM34-BN34-BO34</f>
        <v>0</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7</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3</v>
      </c>
      <c r="Q35" s="418">
        <f>IF(ISBLANK(INDEX(WORLDCUP!$AD$4:$AD$147,MATCH(M35,WORLDCUP!$AH$4:$AH$147,0))),"",INDEX(WORLDCUP!$AD$4:$AD$147,MATCH(M35,WORLDCUP!$AH$4:$AH$147,0)))</f>
        <v>2</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Cro</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0</v>
      </c>
      <c r="BK35" s="465">
        <f ca="1">COUNTIF(Pool!$C$210:$C$217,Fixture!BG35)-BL35-BM35-BN35-BO35</f>
        <v>1</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2</v>
      </c>
      <c r="E36" s="445">
        <f>IF(ISBLANK(INDEX(WORLDCUP!$AD$4:$AD$147,MATCH(A36,WORLDCUP!$AH$4:$AH$147,0))),"",INDEX(WORLDCUP!$AD$4:$AD$147,MATCH(A36,WORLDCUP!$AH$4:$AH$147,0)))</f>
        <v>3</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13</v>
      </c>
      <c r="K36" s="451" t="str">
        <f ca="1">+INDEX(WORLDCUP!$AR$6:$AR$97,MATCH(L36,WORLDCUP!$AI$6:$AI$97,0))&amp;"-"&amp;INDEX(WORLDCUP!$AS$6:$AS$97,MATCH(L36,WORLDCUP!$AI$6:$AI$97,0))</f>
        <v>17-4</v>
      </c>
      <c r="L36" s="181" t="s">
        <v>672</v>
      </c>
      <c r="M36" s="181">
        <v>24</v>
      </c>
      <c r="N36" s="561"/>
      <c r="O36" s="444" t="str">
        <f ca="1">+MID(INDEX(WORLDCUP!$AA$4:$AA$147,MATCH(M36,WORLDCUP!$AH$4:$AH$147,0)),1,3)</f>
        <v>Uzb</v>
      </c>
      <c r="P36" s="445">
        <f>IF(ISBLANK(INDEX(WORLDCUP!$AC$4:$AC$147,MATCH(M36,WORLDCUP!$AH$4:$AH$147,0))),"",INDEX(WORLDCUP!$AC$4:$AC$147,MATCH(M36,WORLDCUP!$AH$4:$AH$147,0)))</f>
        <v>2</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5</v>
      </c>
      <c r="W36" s="451" t="str">
        <f ca="1">+INDEX(WORLDCUP!$AR$6:$AR$97,MATCH(X36,WORLDCUP!$AI$6:$AI$97,0))&amp;"-"&amp;INDEX(WORLDCUP!$AS$6:$AS$97,MATCH(X36,WORLDCUP!$AI$6:$AI$97,0))</f>
        <v>8-3</v>
      </c>
      <c r="X36" s="181" t="s">
        <v>690</v>
      </c>
      <c r="Y36" s="181">
        <v>80</v>
      </c>
      <c r="Z36" s="425" t="s">
        <v>693</v>
      </c>
      <c r="AA36" s="426" t="str">
        <f ca="1">+MID(INDEX(WORLDCUP!$AA$101:$AA$147,MATCH(Y36,WORLDCUP!$Z$101:$Z$147,0)),1,3)</f>
        <v>Cro</v>
      </c>
      <c r="AB36" s="472">
        <f>+IF(ISBLANK(INDEX(WORLDCUP!$AC$101:$AC$147,MATCH(Y36,WORLDCUP!$Z$101:$Z$147,0))),"",INDEX(WORLDCUP!$AC$101:$AC$147,MATCH(Y36,WORLDCUP!$Z$101:$Z$147,0)))</f>
        <v>5</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6</v>
      </c>
      <c r="E37" s="445">
        <f>IF(ISBLANK(INDEX(WORLDCUP!$AD$4:$AD$147,MATCH(A37,WORLDCUP!$AH$4:$AH$147,0))),"",INDEX(WORLDCUP!$AD$4:$AD$147,MATCH(A37,WORLDCUP!$AH$4:$AH$147,0)))</f>
        <v>3</v>
      </c>
      <c r="F37" s="446" t="str">
        <f ca="1">+MID(INDEX(WORLDCUP!$AF$4:$AF$147,MATCH(A37,WORLDCUP!$AH$4:$AH$147,0)),1,3)</f>
        <v>Cos</v>
      </c>
      <c r="G37" s="467">
        <v>2</v>
      </c>
      <c r="H37" s="468" t="str">
        <f ca="1">+MID(INDEX(WORLDCUP!$AL$6:$AL$97,MATCH(L37,WORLDCUP!$AI$6:$AI$97,0)),1,3)</f>
        <v>Ecu</v>
      </c>
      <c r="I37" s="38">
        <f ca="1">+INDEX(WORLDCUP!$AM$6:$AM$97,MATCH(L37,WORLDCUP!$AI$6:$AI$97,0))</f>
        <v>6</v>
      </c>
      <c r="J37" s="39">
        <f ca="1">+INDEX(WORLDCUP!$AT$6:$AT$97,MATCH(L37,WORLDCUP!$AI$6:$AI$97,0))</f>
        <v>-1</v>
      </c>
      <c r="K37" s="43" t="str">
        <f ca="1">+INDEX(WORLDCUP!$AR$6:$AR$97,MATCH(L37,WORLDCUP!$AI$6:$AI$97,0))&amp;"-"&amp;INDEX(WORLDCUP!$AS$6:$AS$97,MATCH(L37,WORLDCUP!$AI$6:$AI$97,0))</f>
        <v>5-6</v>
      </c>
      <c r="L37" s="181" t="s">
        <v>673</v>
      </c>
      <c r="M37" s="181">
        <v>47</v>
      </c>
      <c r="N37" s="561"/>
      <c r="O37" s="444" t="str">
        <f ca="1">+MID(INDEX(WORLDCUP!$AA$4:$AA$147,MATCH(M37,WORLDCUP!$AH$4:$AH$147,0)),1,3)</f>
        <v>Por</v>
      </c>
      <c r="P37" s="445">
        <f>IF(ISBLANK(INDEX(WORLDCUP!$AC$4:$AC$147,MATCH(M37,WORLDCUP!$AH$4:$AH$147,0))),"",INDEX(WORLDCUP!$AC$4:$AC$147,MATCH(M37,WORLDCUP!$AH$4:$AH$147,0)))</f>
        <v>3</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1</v>
      </c>
      <c r="W37" s="43" t="str">
        <f ca="1">+INDEX(WORLDCUP!$AR$6:$AR$97,MATCH(X37,WORLDCUP!$AI$6:$AI$97,0))&amp;"-"&amp;INDEX(WORLDCUP!$AS$6:$AS$97,MATCH(X37,WORLDCUP!$AI$6:$AI$97,0))</f>
        <v>8-7</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1</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3</v>
      </c>
      <c r="AO37" s="562" t="str">
        <f>+IF(ISBLANK(INDEX(WORLDCUP!$AB$101:$AB$147,MATCH(AL37,WORLDCUP!$Z$101:$Z$147,0))),"","( "&amp;INDEX(WORLDCUP!$AB$101:$AB$147,MATCH(AL37,WORLDCUP!$Z$101:$Z$147,0))&amp;" )")</f>
        <v>( 4 )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0</v>
      </c>
      <c r="BI37" s="463">
        <f ca="1">COUNTIF(Pool!$C$130:$C$161,Fixture!BG37)-BJ37-BK37-BL37-BM37-BN37-BO37</f>
        <v>1</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2</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3</v>
      </c>
      <c r="J38" s="39">
        <f ca="1">+INDEX(WORLDCUP!$AT$6:$AT$97,MATCH(L38,WORLDCUP!$AI$6:$AI$97,0))</f>
        <v>-2</v>
      </c>
      <c r="K38" s="43" t="str">
        <f ca="1">+INDEX(WORLDCUP!$AR$6:$AR$97,MATCH(L38,WORLDCUP!$AI$6:$AI$97,0))&amp;"-"&amp;INDEX(WORLDCUP!$AS$6:$AS$97,MATCH(L38,WORLDCUP!$AI$6:$AI$97,0))</f>
        <v>8-10</v>
      </c>
      <c r="L38" s="181" t="s">
        <v>94</v>
      </c>
      <c r="M38" s="181">
        <v>48</v>
      </c>
      <c r="N38" s="561"/>
      <c r="O38" s="444" t="str">
        <f ca="1">+MID(INDEX(WORLDCUP!$AA$4:$AA$147,MATCH(M38,WORLDCUP!$AH$4:$AH$147,0)),1,3)</f>
        <v>Col</v>
      </c>
      <c r="P38" s="445">
        <f>IF(ISBLANK(INDEX(WORLDCUP!$AC$4:$AC$147,MATCH(M38,WORLDCUP!$AH$4:$AH$147,0))),"",INDEX(WORLDCUP!$AC$4:$AC$147,MATCH(M38,WORLDCUP!$AH$4:$AH$147,0)))</f>
        <v>4</v>
      </c>
      <c r="Q38" s="445">
        <f>IF(ISBLANK(INDEX(WORLDCUP!$AD$4:$AD$147,MATCH(M38,WORLDCUP!$AH$4:$AH$147,0))),"",INDEX(WORLDCUP!$AD$4:$AD$147,MATCH(M38,WORLDCUP!$AH$4:$AH$147,0)))</f>
        <v>3</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3</v>
      </c>
      <c r="V38" s="39">
        <f ca="1">+INDEX(WORLDCUP!$AT$6:$AT$97,MATCH(X38,WORLDCUP!$AI$6:$AI$97,0))</f>
        <v>-1</v>
      </c>
      <c r="W38" s="43" t="str">
        <f ca="1">+INDEX(WORLDCUP!$AR$6:$AR$97,MATCH(X38,WORLDCUP!$AI$6:$AI$97,0))&amp;"-"&amp;INDEX(WORLDCUP!$AS$6:$AS$97,MATCH(X38,WORLDCUP!$AI$6:$AI$97,0))</f>
        <v>6-7</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3</v>
      </c>
      <c r="AO38" s="431" t="str">
        <f>+IF(ISBLANK(INDEX(WORLDCUP!$AE$101:$AE$147,MATCH(AL38,WORLDCUP!$Z$101:$Z$147,0))),"","( "&amp;INDEX(WORLDCUP!$AE$101:$AE$147,MATCH(AL38,WORLDCUP!$Z$101:$Z$147,0))&amp;" )")</f>
        <v>( 3 )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1</v>
      </c>
      <c r="BI38" s="463">
        <f ca="1">COUNTIF(Pool!$C$130:$C$161,Fixture!BG38)-BJ38-BK38-BL38-BM38-BN38-BO38</f>
        <v>0</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75" thickBot="1">
      <c r="A39" s="181">
        <v>55</v>
      </c>
      <c r="B39" s="560"/>
      <c r="C39" s="444" t="str">
        <f ca="1">+MID(INDEX(WORLDCUP!$AA$4:$AA$147,MATCH(A39,WORLDCUP!$AH$4:$AH$147,0)),1,3)</f>
        <v>Cur</v>
      </c>
      <c r="D39" s="445">
        <f>IF(ISBLANK(INDEX(WORLDCUP!$AC$4:$AC$147,MATCH(A39,WORLDCUP!$AH$4:$AH$147,0))),"",INDEX(WORLDCUP!$AC$4:$AC$147,MATCH(A39,WORLDCUP!$AH$4:$AH$147,0)))</f>
        <v>1</v>
      </c>
      <c r="E39" s="445">
        <f>IF(ISBLANK(INDEX(WORLDCUP!$AD$4:$AD$147,MATCH(A39,WORLDCUP!$AH$4:$AH$147,0))),"",INDEX(WORLDCUP!$AD$4:$AD$147,MATCH(A39,WORLDCUP!$AH$4:$AH$147,0)))</f>
        <v>3</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-10</v>
      </c>
      <c r="K39" s="479" t="str">
        <f ca="1">+INDEX(WORLDCUP!$AR$6:$AR$97,MATCH(L39,WORLDCUP!$AI$6:$AI$97,0))&amp;"-"&amp;INDEX(WORLDCUP!$AS$6:$AS$97,MATCH(L39,WORLDCUP!$AI$6:$AI$97,0))</f>
        <v>2-12</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-5</v>
      </c>
      <c r="W39" s="479" t="str">
        <f ca="1">+INDEX(WORLDCUP!$AR$6:$AR$97,MATCH(X39,WORLDCUP!$AI$6:$AI$97,0))&amp;"-"&amp;INDEX(WORLDCUP!$AS$6:$AS$97,MATCH(X39,WORLDCUP!$AI$6:$AI$97,0))</f>
        <v>2-7</v>
      </c>
      <c r="X39" s="181" t="s">
        <v>692</v>
      </c>
      <c r="Y39" s="181">
        <v>86</v>
      </c>
      <c r="Z39" s="425" t="s">
        <v>687</v>
      </c>
      <c r="AA39" s="426" t="str">
        <f ca="1">+MID(INDEX(WORLDCUP!$AA$101:$AA$147,MATCH(Y39,WORLDCUP!$Z$101:$Z$147,0)),1,3)</f>
        <v>Arg</v>
      </c>
      <c r="AB39" s="427">
        <f>+IF(ISBLANK(INDEX(WORLDCUP!$AC$101:$AC$147,MATCH(Y39,WORLDCUP!$Z$101:$Z$147,0))),"",INDEX(WORLDCUP!$AC$101:$AC$147,MATCH(Y39,WORLDCUP!$Z$101:$Z$147,0)))</f>
        <v>6</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0</v>
      </c>
      <c r="E40" s="488">
        <f>IF(ISBLANK(INDEX(WORLDCUP!$AD$4:$AD$147,MATCH(A40,WORLDCUP!$AH$4:$AH$147,0))),"",INDEX(WORLDCUP!$AD$4:$AD$147,MATCH(A40,WORLDCUP!$AH$4:$AH$147,0)))</f>
        <v>4</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0</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Cab</v>
      </c>
      <c r="AB40" s="453">
        <f>+IF(ISBLANK(INDEX(WORLDCUP!$AD$101:$AD$147,MATCH(Y40,WORLDCUP!$Z$101:$Z$147,0))),"",INDEX(WORLDCUP!$AD$101:$AD$147,MATCH(Y40,WORLDCUP!$Z$101:$Z$147,0)))</f>
        <v>2</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( 4 )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Bél</v>
      </c>
      <c r="AF41" s="457">
        <f>+IF(ISBLANK(INDEX(WORLDCUP!$AD$101:$AD$147,MATCH(AD41,WORLDCUP!$Z$101:$Z$147,0))),"",INDEX(WORLDCUP!$AD$101:$AD$147,MATCH(AD41,WORLDCUP!$Z$101:$Z$147,0)))</f>
        <v>2</v>
      </c>
      <c r="AG41" s="515" t="str">
        <f>+IF(ISBLANK(INDEX(WORLDCUP!$AE$101:$AE$147,MATCH(AD41,WORLDCUP!$Z$101:$Z$147,0))),"","( "&amp;INDEX(WORLDCUP!$AE$101:$AE$147,MATCH(AD41,WORLDCUP!$Z$101:$Z$147,0))&amp;" )")</f>
        <v>( 3 )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1</v>
      </c>
      <c r="BL41" s="465">
        <f ca="1">COUNTIF(Pool!$C$226:$C$229,Fixture!BG41)-BM41-BN41-BO41</f>
        <v>0</v>
      </c>
      <c r="BM41" s="463">
        <f ca="1">COUNTIF(Pool!$C$252,Fixture!BG41)</f>
        <v>0</v>
      </c>
      <c r="BN41" s="463">
        <f ca="1">COUNTIF(Pool!$C$251,Fixture!BG41)</f>
        <v>0</v>
      </c>
      <c r="BO41" s="466">
        <f ca="1">COUNTIF(Pool!$C$250,Fixture!BG41)</f>
        <v>0</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Tur</v>
      </c>
      <c r="AB42" s="472">
        <f>+IF(ISBLANK(INDEX(WORLDCUP!$AC$101:$AC$147,MATCH(Y42,WORLDCUP!$Z$101:$Z$147,0))),"",INDEX(WORLDCUP!$AC$101:$AC$147,MATCH(Y42,WORLDCUP!$Z$101:$Z$147,0)))</f>
        <v>2</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4</v>
      </c>
      <c r="C43" s="417" t="str">
        <f ca="1">+MID(INDEX(WORLDCUP!$AA$4:$AA$147,MATCH(A43,WORLDCUP!$AH$4:$AH$147,0)),1,3)</f>
        <v>Paí</v>
      </c>
      <c r="D43" s="418">
        <f>IF(ISBLANK(INDEX(WORLDCUP!$AC$4:$AC$147,MATCH(A43,WORLDCUP!$AH$4:$AH$147,0))),"",INDEX(WORLDCUP!$AC$4:$AC$147,MATCH(A43,WORLDCUP!$AH$4:$AH$147,0)))</f>
        <v>0</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Bél</v>
      </c>
      <c r="AB43" s="481">
        <f>+IF(ISBLANK(INDEX(WORLDCUP!$AD$101:$AD$147,MATCH(Y43,WORLDCUP!$Z$101:$Z$147,0))),"",INDEX(WORLDCUP!$AD$101:$AD$147,MATCH(Y43,WORLDCUP!$Z$101:$Z$147,0)))</f>
        <v>3</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3</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4</v>
      </c>
      <c r="E44" s="445">
        <f>IF(ISBLANK(INDEX(WORLDCUP!$AD$4:$AD$147,MATCH(A44,WORLDCUP!$AH$4:$AH$147,0))),"",INDEX(WORLDCUP!$AD$4:$AD$147,MATCH(A44,WORLDCUP!$AH$4:$AH$147,0)))</f>
        <v>3</v>
      </c>
      <c r="F44" s="446" t="str">
        <f ca="1">+MID(INDEX(WORLDCUP!$AF$4:$AF$147,MATCH(A44,WORLDCUP!$AH$4:$AH$147,0)),1,3)</f>
        <v>Tún</v>
      </c>
      <c r="G44" s="447">
        <v>1</v>
      </c>
      <c r="H44" s="448" t="str">
        <f ca="1">+MID(INDEX(WORLDCUP!$AL$6:$AL$97,MATCH(L44,WORLDCUP!$AI$6:$AI$97,0)),1,3)</f>
        <v>Jap</v>
      </c>
      <c r="I44" s="449">
        <f ca="1">+INDEX(WORLDCUP!$AM$6:$AM$97,MATCH(L44,WORLDCUP!$AI$6:$AI$97,0))</f>
        <v>9</v>
      </c>
      <c r="J44" s="450">
        <f ca="1">+INDEX(WORLDCUP!$AT$6:$AT$97,MATCH(L44,WORLDCUP!$AI$6:$AI$97,0))</f>
        <v>6</v>
      </c>
      <c r="K44" s="451" t="str">
        <f ca="1">+INDEX(WORLDCUP!$AR$6:$AR$97,MATCH(L44,WORLDCUP!$AI$6:$AI$97,0))&amp;"-"&amp;INDEX(WORLDCUP!$AS$6:$AS$97,MATCH(L44,WORLDCUP!$AI$6:$AI$97,0))</f>
        <v>7-1</v>
      </c>
      <c r="L44" s="181" t="s">
        <v>675</v>
      </c>
      <c r="M44" s="181">
        <v>21</v>
      </c>
      <c r="N44" s="568"/>
      <c r="O44" s="444" t="str">
        <f ca="1">+MID(INDEX(WORLDCUP!$AA$4:$AA$147,MATCH(M44,WORLDCUP!$AH$4:$AH$147,0)),1,3)</f>
        <v>Gha</v>
      </c>
      <c r="P44" s="445">
        <f>IF(ISBLANK(INDEX(WORLDCUP!$AC$4:$AC$147,MATCH(M44,WORLDCUP!$AH$4:$AH$147,0))),"",INDEX(WORLDCUP!$AC$4:$AC$147,MATCH(M44,WORLDCUP!$AH$4:$AH$147,0)))</f>
        <v>3</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Cro</v>
      </c>
      <c r="U44" s="449">
        <f ca="1">+INDEX(WORLDCUP!$AM$6:$AM$97,MATCH(X44,WORLDCUP!$AI$6:$AI$97,0))</f>
        <v>7</v>
      </c>
      <c r="V44" s="450">
        <f ca="1">+INDEX(WORLDCUP!$AT$6:$AT$97,MATCH(X44,WORLDCUP!$AI$6:$AI$97,0))</f>
        <v>6</v>
      </c>
      <c r="W44" s="451" t="str">
        <f ca="1">+INDEX(WORLDCUP!$AR$6:$AR$97,MATCH(X44,WORLDCUP!$AI$6:$AI$97,0))&amp;"-"&amp;INDEX(WORLDCUP!$AS$6:$AS$97,MATCH(X44,WORLDCUP!$AI$6:$AI$97,0))</f>
        <v>9-3</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2</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0</v>
      </c>
      <c r="BJ44" s="464">
        <f ca="1">COUNTIF(Pool!$C$182:$C$197,Fixture!BG44)-BK44-BL44-BM44-BN44-BO44</f>
        <v>1</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2</v>
      </c>
      <c r="F45" s="446" t="str">
        <f ca="1">+MID(INDEX(WORLDCUP!$AF$4:$AF$147,MATCH(A45,WORLDCUP!$AH$4:$AH$147,0)),1,3)</f>
        <v>Sue</v>
      </c>
      <c r="G45" s="467">
        <v>2</v>
      </c>
      <c r="H45" s="468" t="str">
        <f ca="1">+MID(INDEX(WORLDCUP!$AL$6:$AL$97,MATCH(L45,WORLDCUP!$AI$6:$AI$97,0)),1,3)</f>
        <v>Sue</v>
      </c>
      <c r="I45" s="38">
        <f ca="1">+INDEX(WORLDCUP!$AM$6:$AM$97,MATCH(L45,WORLDCUP!$AI$6:$AI$97,0))</f>
        <v>4</v>
      </c>
      <c r="J45" s="39">
        <f ca="1">+INDEX(WORLDCUP!$AT$6:$AT$97,MATCH(L45,WORLDCUP!$AI$6:$AI$97,0))</f>
        <v>-1</v>
      </c>
      <c r="K45" s="43" t="str">
        <f ca="1">+INDEX(WORLDCUP!$AR$6:$AR$97,MATCH(L45,WORLDCUP!$AI$6:$AI$97,0))&amp;"-"&amp;INDEX(WORLDCUP!$AS$6:$AS$97,MATCH(L45,WORLDCUP!$AI$6:$AI$97,0))</f>
        <v>7-8</v>
      </c>
      <c r="L45" s="181" t="s">
        <v>676</v>
      </c>
      <c r="M45" s="181">
        <v>45</v>
      </c>
      <c r="N45" s="568"/>
      <c r="O45" s="444" t="str">
        <f ca="1">+MID(INDEX(WORLDCUP!$AA$4:$AA$147,MATCH(M45,WORLDCUP!$AH$4:$AH$147,0)),1,3)</f>
        <v>Ing</v>
      </c>
      <c r="P45" s="445">
        <f>IF(ISBLANK(INDEX(WORLDCUP!$AC$4:$AC$147,MATCH(M45,WORLDCUP!$AH$4:$AH$147,0))),"",INDEX(WORLDCUP!$AC$4:$AC$147,MATCH(M45,WORLDCUP!$AH$4:$AH$147,0)))</f>
        <v>3</v>
      </c>
      <c r="Q45" s="445">
        <f>IF(ISBLANK(INDEX(WORLDCUP!$AD$4:$AD$147,MATCH(M45,WORLDCUP!$AH$4:$AH$147,0))),"",INDEX(WORLDCUP!$AD$4:$AD$147,MATCH(M45,WORLDCUP!$AH$4:$AH$147,0)))</f>
        <v>2</v>
      </c>
      <c r="R45" s="446" t="str">
        <f ca="1">+MID(INDEX(WORLDCUP!$AF$4:$AF$147,MATCH(M45,WORLDCUP!$AH$4:$AH$147,0)),1,3)</f>
        <v>Gha</v>
      </c>
      <c r="S45" s="467">
        <v>2</v>
      </c>
      <c r="T45" s="468" t="str">
        <f ca="1">+MID(INDEX(WORLDCUP!$AL$6:$AL$97,MATCH(X45,WORLDCUP!$AI$6:$AI$97,0)),1,3)</f>
        <v>Ing</v>
      </c>
      <c r="U45" s="38">
        <f ca="1">+INDEX(WORLDCUP!$AM$6:$AM$97,MATCH(X45,WORLDCUP!$AI$6:$AI$97,0))</f>
        <v>7</v>
      </c>
      <c r="V45" s="39">
        <f ca="1">+INDEX(WORLDCUP!$AT$6:$AT$97,MATCH(X45,WORLDCUP!$AI$6:$AI$97,0))</f>
        <v>2</v>
      </c>
      <c r="W45" s="43" t="str">
        <f ca="1">+INDEX(WORLDCUP!$AR$6:$AR$97,MATCH(X45,WORLDCUP!$AI$6:$AI$97,0))&amp;"-"&amp;INDEX(WORLDCUP!$AS$6:$AS$97,MATCH(X45,WORLDCUP!$AI$6:$AI$97,0))</f>
        <v>8-6</v>
      </c>
      <c r="X45" s="181" t="s">
        <v>694</v>
      </c>
      <c r="Y45" s="181">
        <v>85</v>
      </c>
      <c r="Z45" s="425" t="s">
        <v>659</v>
      </c>
      <c r="AA45" s="426" t="str">
        <f ca="1">+MID(INDEX(WORLDCUP!$AA$101:$AA$147,MATCH(Y45,WORLDCUP!$Z$101:$Z$147,0)),1,3)</f>
        <v>Cat</v>
      </c>
      <c r="AB45" s="427">
        <f>+IF(ISBLANK(INDEX(WORLDCUP!$AC$101:$AC$147,MATCH(Y45,WORLDCUP!$Z$101:$Z$147,0))),"",INDEX(WORLDCUP!$AC$101:$AC$147,MATCH(Y45,WORLDCUP!$Z$101:$Z$147,0)))</f>
        <v>1</v>
      </c>
      <c r="AC45" s="498" t="str">
        <f>+IF(ISBLANK(INDEX(WORLDCUP!$AB$101:$AB$147,MATCH(Y45,WORLDCUP!$Z$101:$Z$147,0))),"","( "&amp;INDEX(WORLDCUP!$AB$101:$AB$147,MATCH(Y45,WORLDCUP!$Z$101:$Z$147,0))&amp;" )")</f>
        <v>( 3 )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3</v>
      </c>
      <c r="F46" s="446" t="str">
        <f ca="1">+MID(INDEX(WORLDCUP!$AF$4:$AF$147,MATCH(A46,WORLDCUP!$AH$4:$AH$147,0)),1,3)</f>
        <v>Jap</v>
      </c>
      <c r="G46" s="467">
        <v>3</v>
      </c>
      <c r="H46" s="468" t="str">
        <f ca="1">+MID(INDEX(WORLDCUP!$AL$6:$AL$97,MATCH(L46,WORLDCUP!$AI$6:$AI$97,0)),1,3)</f>
        <v>Tún</v>
      </c>
      <c r="I46" s="38">
        <f ca="1">+INDEX(WORLDCUP!$AM$6:$AM$97,MATCH(L46,WORLDCUP!$AI$6:$AI$97,0))</f>
        <v>3</v>
      </c>
      <c r="J46" s="39">
        <f ca="1">+INDEX(WORLDCUP!$AT$6:$AT$97,MATCH(L46,WORLDCUP!$AI$6:$AI$97,0))</f>
        <v>-3</v>
      </c>
      <c r="K46" s="43" t="str">
        <f ca="1">+INDEX(WORLDCUP!$AR$6:$AR$97,MATCH(L46,WORLDCUP!$AI$6:$AI$97,0))&amp;"-"&amp;INDEX(WORLDCUP!$AS$6:$AS$97,MATCH(L46,WORLDCUP!$AI$6:$AI$97,0))</f>
        <v>6-9</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6</v>
      </c>
      <c r="R46" s="446" t="str">
        <f ca="1">+MID(INDEX(WORLDCUP!$AF$4:$AF$147,MATCH(M46,WORLDCUP!$AH$4:$AH$147,0)),1,3)</f>
        <v>Cro</v>
      </c>
      <c r="S46" s="467">
        <v>3</v>
      </c>
      <c r="T46" s="468" t="str">
        <f ca="1">+MID(INDEX(WORLDCUP!$AL$6:$AL$97,MATCH(X46,WORLDCUP!$AI$6:$AI$97,0)),1,3)</f>
        <v>Gha</v>
      </c>
      <c r="U46" s="38">
        <f ca="1">+INDEX(WORLDCUP!$AM$6:$AM$97,MATCH(X46,WORLDCUP!$AI$6:$AI$97,0))</f>
        <v>3</v>
      </c>
      <c r="V46" s="39">
        <f ca="1">+INDEX(WORLDCUP!$AT$6:$AT$97,MATCH(X46,WORLDCUP!$AI$6:$AI$97,0))</f>
        <v>1</v>
      </c>
      <c r="W46" s="43" t="str">
        <f ca="1">+INDEX(WORLDCUP!$AR$6:$AR$97,MATCH(X46,WORLDCUP!$AI$6:$AI$97,0))&amp;"-"&amp;INDEX(WORLDCUP!$AS$6:$AS$97,MATCH(X46,WORLDCUP!$AI$6:$AI$97,0))</f>
        <v>5-4</v>
      </c>
      <c r="X46" s="181" t="s">
        <v>453</v>
      </c>
      <c r="Y46" s="181">
        <v>85</v>
      </c>
      <c r="Z46" s="425" t="s">
        <v>739</v>
      </c>
      <c r="AA46" s="426" t="str">
        <f ca="1">+MID(INDEX(WORLDCUP!$AF$101:$AF$147,MATCH(Y46,WORLDCUP!$Z$101:$Z$147,0)),1,IF(WORLDCUP!$H$113&lt;144,6,3))</f>
        <v>Sen</v>
      </c>
      <c r="AB46" s="453">
        <f>+IF(ISBLANK(INDEX(WORLDCUP!$AD$101:$AD$147,MATCH(Y46,WORLDCUP!$Z$101:$Z$147,0))),"",INDEX(WORLDCUP!$AD$101:$AD$147,MATCH(Y46,WORLDCUP!$Z$101:$Z$147,0)))</f>
        <v>1</v>
      </c>
      <c r="AC46" s="454" t="str">
        <f>+IF(ISBLANK(INDEX(WORLDCUP!$AE$101:$AE$147,MATCH(Y46,WORLDCUP!$Z$101:$Z$147,0))),"","( "&amp;INDEX(WORLDCUP!$AE$101:$AE$147,MATCH(Y46,WORLDCUP!$Z$101:$Z$147,0))&amp;" )")</f>
        <v>( 5 )</v>
      </c>
      <c r="AD46" s="455">
        <v>96</v>
      </c>
      <c r="AE46" s="456" t="str">
        <f ca="1">+MID(INDEX(WORLDCUP!$AA$101:$AA$147,MATCH(AD46,WORLDCUP!$Z$101:$Z$147,0)),1,3)</f>
        <v>Sen</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3</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Paí</v>
      </c>
      <c r="I47" s="477">
        <f ca="1">+INDEX(WORLDCUP!$AM$6:$AM$97,MATCH(L47,WORLDCUP!$AI$6:$AI$97,0))</f>
        <v>1</v>
      </c>
      <c r="J47" s="478">
        <f ca="1">+INDEX(WORLDCUP!$AT$6:$AT$97,MATCH(L47,WORLDCUP!$AI$6:$AI$97,0))</f>
        <v>-2</v>
      </c>
      <c r="K47" s="479" t="str">
        <f ca="1">+INDEX(WORLDCUP!$AR$6:$AR$97,MATCH(L47,WORLDCUP!$AI$6:$AI$97,0))&amp;"-"&amp;INDEX(WORLDCUP!$AS$6:$AS$97,MATCH(L47,WORLDCUP!$AI$6:$AI$97,0))</f>
        <v>4-6</v>
      </c>
      <c r="L47" s="181" t="s">
        <v>677</v>
      </c>
      <c r="M47" s="181">
        <v>67</v>
      </c>
      <c r="N47" s="568"/>
      <c r="O47" s="444" t="str">
        <f ca="1">+MID(INDEX(WORLDCUP!$AA$4:$AA$147,MATCH(M47,WORLDCUP!$AH$4:$AH$147,0)),1,3)</f>
        <v>Pan</v>
      </c>
      <c r="P47" s="445">
        <f>IF(ISBLANK(INDEX(WORLDCUP!$AC$4:$AC$147,MATCH(M47,WORLDCUP!$AH$4:$AH$147,0))),"",INDEX(WORLDCUP!$AC$4:$AC$147,MATCH(M47,WORLDCUP!$AH$4:$AH$147,0)))</f>
        <v>2</v>
      </c>
      <c r="Q47" s="445">
        <f>IF(ISBLANK(INDEX(WORLDCUP!$AD$4:$AD$147,MATCH(M47,WORLDCUP!$AH$4:$AH$147,0))),"",INDEX(WORLDCUP!$AD$4:$AD$147,MATCH(M47,WORLDCUP!$AH$4:$AH$147,0)))</f>
        <v>3</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-9</v>
      </c>
      <c r="W47" s="479" t="str">
        <f ca="1">+INDEX(WORLDCUP!$AR$6:$AR$97,MATCH(X47,WORLDCUP!$AI$6:$AI$97,0))&amp;"-"&amp;INDEX(WORLDCUP!$AS$6:$AS$97,MATCH(X47,WORLDCUP!$AI$6:$AI$97,0))</f>
        <v>3-12</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1</v>
      </c>
      <c r="BJ47" s="464">
        <f ca="1">COUNTIF(Pool!$C$182:$C$197,Fixture!BG47)-BK47-BL47-BM47-BN47-BO47</f>
        <v>0</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3</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1</v>
      </c>
      <c r="Q48" s="488">
        <f>IF(ISBLANK(INDEX(WORLDCUP!$AD$4:$AD$147,MATCH(M48,WORLDCUP!$AH$4:$AH$147,0))),"",INDEX(WORLDCUP!$AD$4:$AD$147,MATCH(M48,WORLDCUP!$AH$4:$AH$147,0)))</f>
        <v>0</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5</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0</v>
      </c>
      <c r="BI48" s="463">
        <f ca="1">COUNTIF(Pool!$C$130:$C$161,Fixture!BG48)-BJ48-BK48-BL48-BM48-BN48-BO48</f>
        <v>1</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2</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1</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W497"/>
  <sheetViews>
    <sheetView showGridLines="0" showRowColHeaders="0" topLeftCell="JW1589" workbookViewId="0">
      <selection activeCell="KL1622" sqref="KL1622"/>
    </sheetView>
  </sheetViews>
  <sheetFormatPr baseColWidth="10"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Costa de Marfil</v>
      </c>
      <c r="D2" s="9" t="str">
        <f ca="1">+WORLDCUP!BD67</f>
        <v>Jordania</v>
      </c>
      <c r="E2" s="9" t="str">
        <f ca="1">+WORLDCUP!BD66</f>
        <v>Senegal</v>
      </c>
      <c r="F2" s="9" t="str">
        <f ca="1">+WORLDCUP!BD63</f>
        <v>Túnez</v>
      </c>
      <c r="G2" s="9" t="str">
        <f ca="1">+WORLDCUP!BD65</f>
        <v>Arabia Saudita</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Irán</v>
      </c>
      <c r="E3" s="9" t="str">
        <f ca="1">+WORLDCUP!BD66</f>
        <v>Senegal</v>
      </c>
      <c r="F3" s="9" t="str">
        <f ca="1">+WORLDCUP!BD61</f>
        <v>Australia</v>
      </c>
      <c r="G3" s="9" t="str">
        <f ca="1">+WORLDCUP!BD67</f>
        <v>Jordania</v>
      </c>
      <c r="H3" s="9" t="str">
        <f ca="1">+WORLDCUP!BD63</f>
        <v>Túnez</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Costa de Marfil</v>
      </c>
      <c r="D4" s="9" t="str">
        <f ca="1">+WORLDCUP!BD67</f>
        <v>Jordania</v>
      </c>
      <c r="E4" s="9" t="str">
        <f ca="1">+WORLDCUP!BD66</f>
        <v>Senegal</v>
      </c>
      <c r="F4" s="9" t="str">
        <f ca="1">+WORLDCUP!BD61</f>
        <v>Australia</v>
      </c>
      <c r="G4" s="9" t="str">
        <f ca="1">+WORLDCUP!BD65</f>
        <v>Arabia Saudita</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Costa de Marfil</v>
      </c>
      <c r="D5" s="9" t="str">
        <f ca="1">+WORLDCUP!BD67</f>
        <v>Jordania</v>
      </c>
      <c r="E5" s="9" t="str">
        <f ca="1">+WORLDCUP!BD66</f>
        <v>Senegal</v>
      </c>
      <c r="F5" s="9" t="str">
        <f ca="1">+WORLDCUP!BD61</f>
        <v>Australia</v>
      </c>
      <c r="G5" s="9" t="str">
        <f ca="1">+WORLDCUP!BD65</f>
        <v>Arabia Saudita</v>
      </c>
      <c r="H5" s="9" t="str">
        <f ca="1">+WORLDCUP!BD63</f>
        <v>Túnez</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Costa de Marfil</v>
      </c>
      <c r="D6" s="9" t="str">
        <f ca="1">+WORLDCUP!BD64</f>
        <v>Irán</v>
      </c>
      <c r="E6" s="9" t="str">
        <f ca="1">+WORLDCUP!BD66</f>
        <v>Senegal</v>
      </c>
      <c r="F6" s="9" t="str">
        <f ca="1">+WORLDCUP!BD61</f>
        <v>Australia</v>
      </c>
      <c r="G6" s="9" t="str">
        <f ca="1">+WORLDCUP!BD67</f>
        <v>Jordania</v>
      </c>
      <c r="H6" s="9" t="str">
        <f ca="1">+WORLDCUP!BD63</f>
        <v>Túnez</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Costa de Marfil</v>
      </c>
      <c r="D7" s="9" t="str">
        <f ca="1">+WORLDCUP!BD64</f>
        <v>Irán</v>
      </c>
      <c r="E7" s="9" t="str">
        <f ca="1">+WORLDCUP!BD67</f>
        <v>Jordania</v>
      </c>
      <c r="F7" s="9" t="str">
        <f ca="1">+WORLDCUP!BD61</f>
        <v>Australia</v>
      </c>
      <c r="G7" s="9" t="str">
        <f ca="1">+WORLDCUP!BD65</f>
        <v>Arabia Saudita</v>
      </c>
      <c r="H7" s="9" t="str">
        <f ca="1">+WORLDCUP!BD63</f>
        <v>Túnez</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Senegal</v>
      </c>
      <c r="F8" s="9" t="str">
        <f ca="1">+WORLDCUP!BD61</f>
        <v>Australia</v>
      </c>
      <c r="G8" s="9" t="str">
        <f ca="1">+WORLDCUP!BD65</f>
        <v>Arabia Saudita</v>
      </c>
      <c r="H8" s="9" t="str">
        <f ca="1">+WORLDCUP!BD63</f>
        <v>Túnez</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Jordania</v>
      </c>
      <c r="F9" s="9" t="str">
        <f ca="1">+WORLDCUP!BD61</f>
        <v>Australia</v>
      </c>
      <c r="G9" s="9" t="str">
        <f ca="1">+WORLDCUP!BD65</f>
        <v>Arabia Saudita</v>
      </c>
      <c r="H9" s="9" t="str">
        <f ca="1">+WORLDCUP!BD63</f>
        <v>Túnez</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Jordania</v>
      </c>
      <c r="F10" s="9" t="str">
        <f ca="1">+WORLDCUP!BD61</f>
        <v>Australia</v>
      </c>
      <c r="G10" s="9" t="str">
        <f ca="1">+WORLDCUP!BD65</f>
        <v>Arabia Saudita</v>
      </c>
      <c r="H10" s="9" t="str">
        <f ca="1">+WORLDCUP!BD63</f>
        <v>Túnez</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Irán</v>
      </c>
      <c r="E11" s="9" t="str">
        <f ca="1">+WORLDCUP!BD66</f>
        <v>Senegal</v>
      </c>
      <c r="F11" s="9" t="str">
        <f ca="1">+WORLDCUP!BD60</f>
        <v>Haití</v>
      </c>
      <c r="G11" s="9" t="str">
        <f ca="1">+WORLDCUP!BD67</f>
        <v>Jordania</v>
      </c>
      <c r="H11" s="9" t="str">
        <f ca="1">+WORLDCUP!BD63</f>
        <v>Túnez</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Costa de Marfil</v>
      </c>
      <c r="D12" s="9" t="str">
        <f ca="1">+WORLDCUP!BD67</f>
        <v>Jordania</v>
      </c>
      <c r="E12" s="9" t="str">
        <f ca="1">+WORLDCUP!BD66</f>
        <v>Senegal</v>
      </c>
      <c r="F12" s="9" t="str">
        <f ca="1">+WORLDCUP!BD60</f>
        <v>Haití</v>
      </c>
      <c r="G12" s="9" t="str">
        <f ca="1">+WORLDCUP!BD65</f>
        <v>Arabia Saudita</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Costa de Marfil</v>
      </c>
      <c r="D13" s="9" t="str">
        <f ca="1">+WORLDCUP!BD67</f>
        <v>Jordania</v>
      </c>
      <c r="E13" s="9" t="str">
        <f ca="1">+WORLDCUP!BD66</f>
        <v>Senegal</v>
      </c>
      <c r="F13" s="9" t="str">
        <f ca="1">+WORLDCUP!BD60</f>
        <v>Haití</v>
      </c>
      <c r="G13" s="9" t="str">
        <f ca="1">+WORLDCUP!BD65</f>
        <v>Arabia Saudita</v>
      </c>
      <c r="H13" s="9" t="str">
        <f ca="1">+WORLDCUP!BD63</f>
        <v>Túnez</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Costa de Marfil</v>
      </c>
      <c r="D14" s="9" t="str">
        <f ca="1">+WORLDCUP!BD64</f>
        <v>Irán</v>
      </c>
      <c r="E14" s="9" t="str">
        <f ca="1">+WORLDCUP!BD66</f>
        <v>Senegal</v>
      </c>
      <c r="F14" s="9" t="str">
        <f ca="1">+WORLDCUP!BD60</f>
        <v>Haití</v>
      </c>
      <c r="G14" s="9" t="str">
        <f ca="1">+WORLDCUP!BD67</f>
        <v>Jordania</v>
      </c>
      <c r="H14" s="9" t="str">
        <f ca="1">+WORLDCUP!BD63</f>
        <v>Túnez</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Costa de Marfil</v>
      </c>
      <c r="D15" s="9" t="str">
        <f ca="1">+WORLDCUP!BD64</f>
        <v>Irán</v>
      </c>
      <c r="E15" s="9" t="str">
        <f ca="1">+WORLDCUP!BD67</f>
        <v>Jordania</v>
      </c>
      <c r="F15" s="9" t="str">
        <f ca="1">+WORLDCUP!BD60</f>
        <v>Haití</v>
      </c>
      <c r="G15" s="9" t="str">
        <f ca="1">+WORLDCUP!BD65</f>
        <v>Arabia Saudita</v>
      </c>
      <c r="H15" s="9" t="str">
        <f ca="1">+WORLDCUP!BD63</f>
        <v>Túnez</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Costa de Marfil</v>
      </c>
      <c r="D16" s="9" t="str">
        <f ca="1">+WORLDCUP!BD64</f>
        <v>Irán</v>
      </c>
      <c r="E16" s="9" t="str">
        <f ca="1">+WORLDCUP!BD66</f>
        <v>Senegal</v>
      </c>
      <c r="F16" s="9" t="str">
        <f ca="1">+WORLDCUP!BD60</f>
        <v>Haití</v>
      </c>
      <c r="G16" s="9" t="str">
        <f ca="1">+WORLDCUP!BD65</f>
        <v>Arabia Saudita</v>
      </c>
      <c r="H16" s="9" t="str">
        <f ca="1">+WORLDCUP!BD63</f>
        <v>Túnez</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Costa de Marfil</v>
      </c>
      <c r="D17" s="9" t="str">
        <f ca="1">+WORLDCUP!BD64</f>
        <v>Irán</v>
      </c>
      <c r="E17" s="9" t="str">
        <f ca="1">+WORLDCUP!BD67</f>
        <v>Jordania</v>
      </c>
      <c r="F17" s="9" t="str">
        <f ca="1">+WORLDCUP!BD60</f>
        <v>Haití</v>
      </c>
      <c r="G17" s="9" t="str">
        <f ca="1">+WORLDCUP!BD65</f>
        <v>Arabia Saudita</v>
      </c>
      <c r="H17" s="9" t="str">
        <f ca="1">+WORLDCUP!BD63</f>
        <v>Túnez</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Costa de Marfil</v>
      </c>
      <c r="D18" s="9" t="str">
        <f ca="1">+WORLDCUP!BD64</f>
        <v>Irán</v>
      </c>
      <c r="E18" s="9" t="str">
        <f ca="1">+WORLDCUP!BD67</f>
        <v>Jordania</v>
      </c>
      <c r="F18" s="9" t="str">
        <f ca="1">+WORLDCUP!BD60</f>
        <v>Haití</v>
      </c>
      <c r="G18" s="9" t="str">
        <f ca="1">+WORLDCUP!BD65</f>
        <v>Arabia Saudita</v>
      </c>
      <c r="H18" s="9" t="str">
        <f ca="1">+WORLDCUP!BD63</f>
        <v>Túnez</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Irán</v>
      </c>
      <c r="E19" s="9" t="str">
        <f ca="1">+WORLDCUP!BD66</f>
        <v>Senegal</v>
      </c>
      <c r="F19" s="9" t="str">
        <f ca="1">+WORLDCUP!BD60</f>
        <v>Haití</v>
      </c>
      <c r="G19" s="9" t="str">
        <f ca="1">+WORLDCUP!BD67</f>
        <v>Jordania</v>
      </c>
      <c r="H19" s="9" t="str">
        <f ca="1">+WORLDCUP!BD61</f>
        <v>Australia</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Haití</v>
      </c>
      <c r="D20" s="9" t="str">
        <f ca="1">+WORLDCUP!BD67</f>
        <v>Jordania</v>
      </c>
      <c r="E20" s="9" t="str">
        <f ca="1">+WORLDCUP!BD66</f>
        <v>Senegal</v>
      </c>
      <c r="F20" s="9" t="str">
        <f ca="1">+WORLDCUP!BD61</f>
        <v>Australia</v>
      </c>
      <c r="G20" s="9" t="str">
        <f ca="1">+WORLDCUP!BD65</f>
        <v>Arabia Saudita</v>
      </c>
      <c r="H20" s="9" t="str">
        <f ca="1">+WORLDCUP!BD63</f>
        <v>Túnez</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Haití</v>
      </c>
      <c r="D21" s="9" t="str">
        <f ca="1">+WORLDCUP!BD64</f>
        <v>Irán</v>
      </c>
      <c r="E21" s="9" t="str">
        <f ca="1">+WORLDCUP!BD66</f>
        <v>Senegal</v>
      </c>
      <c r="F21" s="9" t="str">
        <f ca="1">+WORLDCUP!BD61</f>
        <v>Australia</v>
      </c>
      <c r="G21" s="9" t="str">
        <f ca="1">+WORLDCUP!BD67</f>
        <v>Jordania</v>
      </c>
      <c r="H21" s="9" t="str">
        <f ca="1">+WORLDCUP!BD63</f>
        <v>Túnez</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Haití</v>
      </c>
      <c r="D22" s="9" t="str">
        <f ca="1">+WORLDCUP!BD64</f>
        <v>Irán</v>
      </c>
      <c r="E22" s="9" t="str">
        <f ca="1">+WORLDCUP!BD67</f>
        <v>Jordania</v>
      </c>
      <c r="F22" s="9" t="str">
        <f ca="1">+WORLDCUP!BD61</f>
        <v>Australia</v>
      </c>
      <c r="G22" s="9" t="str">
        <f ca="1">+WORLDCUP!BD65</f>
        <v>Arabia Saudita</v>
      </c>
      <c r="H22" s="9" t="str">
        <f ca="1">+WORLDCUP!BD63</f>
        <v>Túnez</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Haití</v>
      </c>
      <c r="D23" s="9" t="str">
        <f ca="1">+WORLDCUP!BD64</f>
        <v>Irán</v>
      </c>
      <c r="E23" s="9" t="str">
        <f ca="1">+WORLDCUP!BD66</f>
        <v>Senegal</v>
      </c>
      <c r="F23" s="9" t="str">
        <f ca="1">+WORLDCUP!BD61</f>
        <v>Australia</v>
      </c>
      <c r="G23" s="9" t="str">
        <f ca="1">+WORLDCUP!BD65</f>
        <v>Arabia Saudita</v>
      </c>
      <c r="H23" s="9" t="str">
        <f ca="1">+WORLDCUP!BD63</f>
        <v>Túnez</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Haití</v>
      </c>
      <c r="D24" s="9" t="str">
        <f ca="1">+WORLDCUP!BD64</f>
        <v>Irán</v>
      </c>
      <c r="E24" s="9" t="str">
        <f ca="1">+WORLDCUP!BD67</f>
        <v>Jordania</v>
      </c>
      <c r="F24" s="9" t="str">
        <f ca="1">+WORLDCUP!BD61</f>
        <v>Australia</v>
      </c>
      <c r="G24" s="9" t="str">
        <f ca="1">+WORLDCUP!BD65</f>
        <v>Arabia Saudita</v>
      </c>
      <c r="H24" s="9" t="str">
        <f ca="1">+WORLDCUP!BD63</f>
        <v>Túnez</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Haití</v>
      </c>
      <c r="D25" s="9" t="str">
        <f ca="1">+WORLDCUP!BD64</f>
        <v>Irán</v>
      </c>
      <c r="E25" s="9" t="str">
        <f ca="1">+WORLDCUP!BD67</f>
        <v>Jordania</v>
      </c>
      <c r="F25" s="9" t="str">
        <f ca="1">+WORLDCUP!BD61</f>
        <v>Australia</v>
      </c>
      <c r="G25" s="9" t="str">
        <f ca="1">+WORLDCUP!BD65</f>
        <v>Arabia Saudita</v>
      </c>
      <c r="H25" s="9" t="str">
        <f ca="1">+WORLDCUP!BD63</f>
        <v>Túnez</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Costa de Marfil</v>
      </c>
      <c r="D26" s="9" t="str">
        <f ca="1">+WORLDCUP!BD67</f>
        <v>Jordania</v>
      </c>
      <c r="E26" s="9" t="str">
        <f ca="1">+WORLDCUP!BD66</f>
        <v>Senegal</v>
      </c>
      <c r="F26" s="9" t="str">
        <f ca="1">+WORLDCUP!BD60</f>
        <v>Haití</v>
      </c>
      <c r="G26" s="9" t="str">
        <f ca="1">+WORLDCUP!BD65</f>
        <v>Arabia Saudita</v>
      </c>
      <c r="H26" s="9" t="str">
        <f ca="1">+WORLDCUP!BD61</f>
        <v>Australia</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Costa de Marfil</v>
      </c>
      <c r="D27" s="9" t="str">
        <f ca="1">+WORLDCUP!BD64</f>
        <v>Irán</v>
      </c>
      <c r="E27" s="9" t="str">
        <f ca="1">+WORLDCUP!BD66</f>
        <v>Senegal</v>
      </c>
      <c r="F27" s="9" t="str">
        <f ca="1">+WORLDCUP!BD60</f>
        <v>Haití</v>
      </c>
      <c r="G27" s="9" t="str">
        <f ca="1">+WORLDCUP!BD67</f>
        <v>Jordania</v>
      </c>
      <c r="H27" s="9" t="str">
        <f ca="1">+WORLDCUP!BD61</f>
        <v>Australia</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Costa de Marfil</v>
      </c>
      <c r="D28" s="9" t="str">
        <f ca="1">+WORLDCUP!BD64</f>
        <v>Irán</v>
      </c>
      <c r="E28" s="9" t="str">
        <f ca="1">+WORLDCUP!BD67</f>
        <v>Jordania</v>
      </c>
      <c r="F28" s="9" t="str">
        <f ca="1">+WORLDCUP!BD60</f>
        <v>Haití</v>
      </c>
      <c r="G28" s="9" t="str">
        <f ca="1">+WORLDCUP!BD65</f>
        <v>Arabia Saudita</v>
      </c>
      <c r="H28" s="9" t="str">
        <f ca="1">+WORLDCUP!BD61</f>
        <v>Australia</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Costa de Marfil</v>
      </c>
      <c r="D29" s="9" t="str">
        <f ca="1">+WORLDCUP!BD64</f>
        <v>Irán</v>
      </c>
      <c r="E29" s="9" t="str">
        <f ca="1">+WORLDCUP!BD66</f>
        <v>Senegal</v>
      </c>
      <c r="F29" s="9" t="str">
        <f ca="1">+WORLDCUP!BD60</f>
        <v>Haití</v>
      </c>
      <c r="G29" s="9" t="str">
        <f ca="1">+WORLDCUP!BD65</f>
        <v>Arabia Saudita</v>
      </c>
      <c r="H29" s="9" t="str">
        <f ca="1">+WORLDCUP!BD61</f>
        <v>Australia</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Costa de Marfil</v>
      </c>
      <c r="D30" s="9" t="str">
        <f ca="1">+WORLDCUP!BD64</f>
        <v>Irán</v>
      </c>
      <c r="E30" s="9" t="str">
        <f ca="1">+WORLDCUP!BD67</f>
        <v>Jordania</v>
      </c>
      <c r="F30" s="9" t="str">
        <f ca="1">+WORLDCUP!BD60</f>
        <v>Haití</v>
      </c>
      <c r="G30" s="9" t="str">
        <f ca="1">+WORLDCUP!BD65</f>
        <v>Arabia Saudita</v>
      </c>
      <c r="H30" s="9" t="str">
        <f ca="1">+WORLDCUP!BD61</f>
        <v>Australia</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Costa de Marfil</v>
      </c>
      <c r="D31" s="9" t="str">
        <f ca="1">+WORLDCUP!BD64</f>
        <v>Irán</v>
      </c>
      <c r="E31" s="9" t="str">
        <f ca="1">+WORLDCUP!BD67</f>
        <v>Jordania</v>
      </c>
      <c r="F31" s="9" t="str">
        <f ca="1">+WORLDCUP!BD60</f>
        <v>Haití</v>
      </c>
      <c r="G31" s="9" t="str">
        <f ca="1">+WORLDCUP!BD65</f>
        <v>Arabia Saudita</v>
      </c>
      <c r="H31" s="9" t="str">
        <f ca="1">+WORLDCUP!BD61</f>
        <v>Australia</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Haití</v>
      </c>
      <c r="D32" s="9" t="str">
        <f ca="1">+WORLDCUP!BD67</f>
        <v>Jordania</v>
      </c>
      <c r="E32" s="9" t="str">
        <f ca="1">+WORLDCUP!BD62</f>
        <v>Costa de Marfil</v>
      </c>
      <c r="F32" s="9" t="str">
        <f ca="1">+WORLDCUP!BD61</f>
        <v>Australia</v>
      </c>
      <c r="G32" s="9" t="str">
        <f ca="1">+WORLDCUP!BD66</f>
        <v>Senegal</v>
      </c>
      <c r="H32" s="9" t="str">
        <f ca="1">+WORLDCUP!BD63</f>
        <v>Túnez</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Haití</v>
      </c>
      <c r="D33" s="9" t="str">
        <f ca="1">+WORLDCUP!BD67</f>
        <v>Jordania</v>
      </c>
      <c r="E33" s="9" t="str">
        <f ca="1">+WORLDCUP!BD62</f>
        <v>Costa de Marfil</v>
      </c>
      <c r="F33" s="9" t="str">
        <f ca="1">+WORLDCUP!BD61</f>
        <v>Australia</v>
      </c>
      <c r="G33" s="9" t="str">
        <f ca="1">+WORLDCUP!BD65</f>
        <v>Arabia Saudita</v>
      </c>
      <c r="H33" s="9" t="str">
        <f ca="1">+WORLDCUP!BD63</f>
        <v>Túnez</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Haití</v>
      </c>
      <c r="D34" s="9" t="str">
        <f ca="1">+WORLDCUP!BD62</f>
        <v>Costa de Marfil</v>
      </c>
      <c r="E34" s="9" t="str">
        <f ca="1">+WORLDCUP!BD66</f>
        <v>Senegal</v>
      </c>
      <c r="F34" s="9" t="str">
        <f ca="1">+WORLDCUP!BD61</f>
        <v>Australia</v>
      </c>
      <c r="G34" s="9" t="str">
        <f ca="1">+WORLDCUP!BD65</f>
        <v>Arabia Saudita</v>
      </c>
      <c r="H34" s="9" t="str">
        <f ca="1">+WORLDCUP!BD63</f>
        <v>Túnez</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Haití</v>
      </c>
      <c r="D35" s="9" t="str">
        <f ca="1">+WORLDCUP!BD67</f>
        <v>Jordania</v>
      </c>
      <c r="E35" s="9" t="str">
        <f ca="1">+WORLDCUP!BD62</f>
        <v>Costa de Marfil</v>
      </c>
      <c r="F35" s="9" t="str">
        <f ca="1">+WORLDCUP!BD61</f>
        <v>Australia</v>
      </c>
      <c r="G35" s="9" t="str">
        <f ca="1">+WORLDCUP!BD65</f>
        <v>Arabia Saudita</v>
      </c>
      <c r="H35" s="9" t="str">
        <f ca="1">+WORLDCUP!BD63</f>
        <v>Túnez</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Haití</v>
      </c>
      <c r="D36" s="9" t="str">
        <f ca="1">+WORLDCUP!BD67</f>
        <v>Jordania</v>
      </c>
      <c r="E36" s="9" t="str">
        <f ca="1">+WORLDCUP!BD62</f>
        <v>Costa de Marfil</v>
      </c>
      <c r="F36" s="9" t="str">
        <f ca="1">+WORLDCUP!BD61</f>
        <v>Australia</v>
      </c>
      <c r="G36" s="9" t="str">
        <f ca="1">+WORLDCUP!BD65</f>
        <v>Arabia Saudita</v>
      </c>
      <c r="H36" s="9" t="str">
        <f ca="1">+WORLDCUP!BD63</f>
        <v>Túnez</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Haití</v>
      </c>
      <c r="D37" s="9" t="str">
        <f ca="1">+WORLDCUP!BD64</f>
        <v>Irán</v>
      </c>
      <c r="E37" s="9" t="str">
        <f ca="1">+WORLDCUP!BD62</f>
        <v>Costa de Marfil</v>
      </c>
      <c r="F37" s="9" t="str">
        <f ca="1">+WORLDCUP!BD61</f>
        <v>Australia</v>
      </c>
      <c r="G37" s="9" t="str">
        <f ca="1">+WORLDCUP!BD67</f>
        <v>Jordania</v>
      </c>
      <c r="H37" s="9" t="str">
        <f ca="1">+WORLDCUP!BD63</f>
        <v>Túnez</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Haití</v>
      </c>
      <c r="D38" s="9" t="str">
        <f ca="1">+WORLDCUP!BD64</f>
        <v>Irán</v>
      </c>
      <c r="E38" s="9" t="str">
        <f ca="1">+WORLDCUP!BD62</f>
        <v>Costa de Marfil</v>
      </c>
      <c r="F38" s="9" t="str">
        <f ca="1">+WORLDCUP!BD61</f>
        <v>Australia</v>
      </c>
      <c r="G38" s="9" t="str">
        <f ca="1">+WORLDCUP!BD66</f>
        <v>Senegal</v>
      </c>
      <c r="H38" s="9" t="str">
        <f ca="1">+WORLDCUP!BD63</f>
        <v>Túnez</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Haití</v>
      </c>
      <c r="D39" s="9" t="str">
        <f ca="1">+WORLDCUP!BD64</f>
        <v>Irán</v>
      </c>
      <c r="E39" s="9" t="str">
        <f ca="1">+WORLDCUP!BD62</f>
        <v>Costa de Marfil</v>
      </c>
      <c r="F39" s="9" t="str">
        <f ca="1">+WORLDCUP!BD61</f>
        <v>Australia</v>
      </c>
      <c r="G39" s="9" t="str">
        <f ca="1">+WORLDCUP!BD67</f>
        <v>Jordania</v>
      </c>
      <c r="H39" s="9" t="str">
        <f ca="1">+WORLDCUP!BD63</f>
        <v>Túnez</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Haití</v>
      </c>
      <c r="D40" s="9" t="str">
        <f ca="1">+WORLDCUP!BD64</f>
        <v>Irán</v>
      </c>
      <c r="E40" s="9" t="str">
        <f ca="1">+WORLDCUP!BD62</f>
        <v>Costa de Marfil</v>
      </c>
      <c r="F40" s="9" t="str">
        <f ca="1">+WORLDCUP!BD61</f>
        <v>Australia</v>
      </c>
      <c r="G40" s="9" t="str">
        <f ca="1">+WORLDCUP!BD67</f>
        <v>Jordania</v>
      </c>
      <c r="H40" s="9" t="str">
        <f ca="1">+WORLDCUP!BD63</f>
        <v>Túnez</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Haití</v>
      </c>
      <c r="D41" s="9" t="str">
        <f ca="1">+WORLDCUP!BD64</f>
        <v>Irán</v>
      </c>
      <c r="E41" s="9" t="str">
        <f ca="1">+WORLDCUP!BD62</f>
        <v>Costa de Marfil</v>
      </c>
      <c r="F41" s="9" t="str">
        <f ca="1">+WORLDCUP!BD61</f>
        <v>Australia</v>
      </c>
      <c r="G41" s="9" t="str">
        <f ca="1">+WORLDCUP!BD65</f>
        <v>Arabia Saudita</v>
      </c>
      <c r="H41" s="9" t="str">
        <f ca="1">+WORLDCUP!BD63</f>
        <v>Túnez</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Haití</v>
      </c>
      <c r="D42" s="9" t="str">
        <f ca="1">+WORLDCUP!BD64</f>
        <v>Irán</v>
      </c>
      <c r="E42" s="9" t="str">
        <f ca="1">+WORLDCUP!BD67</f>
        <v>Jordania</v>
      </c>
      <c r="F42" s="9" t="str">
        <f ca="1">+WORLDCUP!BD61</f>
        <v>Australia</v>
      </c>
      <c r="G42" s="9" t="str">
        <f ca="1">+WORLDCUP!BD65</f>
        <v>Arabia Saudita</v>
      </c>
      <c r="H42" s="9" t="str">
        <f ca="1">+WORLDCUP!BD63</f>
        <v>Túnez</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Haití</v>
      </c>
      <c r="D43" s="9" t="str">
        <f ca="1">+WORLDCUP!BD64</f>
        <v>Irán</v>
      </c>
      <c r="E43" s="9" t="str">
        <f ca="1">+WORLDCUP!BD67</f>
        <v>Jordania</v>
      </c>
      <c r="F43" s="9" t="str">
        <f ca="1">+WORLDCUP!BD61</f>
        <v>Australia</v>
      </c>
      <c r="G43" s="9" t="str">
        <f ca="1">+WORLDCUP!BD65</f>
        <v>Arabia Saudita</v>
      </c>
      <c r="H43" s="9" t="str">
        <f ca="1">+WORLDCUP!BD63</f>
        <v>Túnez</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Haití</v>
      </c>
      <c r="D44" s="9" t="str">
        <f ca="1">+WORLDCUP!BD64</f>
        <v>Irán</v>
      </c>
      <c r="E44" s="9" t="str">
        <f ca="1">+WORLDCUP!BD62</f>
        <v>Costa de Marfil</v>
      </c>
      <c r="F44" s="9" t="str">
        <f ca="1">+WORLDCUP!BD61</f>
        <v>Australia</v>
      </c>
      <c r="G44" s="9" t="str">
        <f ca="1">+WORLDCUP!BD65</f>
        <v>Arabia Saudita</v>
      </c>
      <c r="H44" s="9" t="str">
        <f ca="1">+WORLDCUP!BD63</f>
        <v>Túnez</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Haití</v>
      </c>
      <c r="D45" s="9" t="str">
        <f ca="1">+WORLDCUP!BD64</f>
        <v>Irán</v>
      </c>
      <c r="E45" s="9" t="str">
        <f ca="1">+WORLDCUP!BD62</f>
        <v>Costa de Marfil</v>
      </c>
      <c r="F45" s="9" t="str">
        <f ca="1">+WORLDCUP!BD61</f>
        <v>Australia</v>
      </c>
      <c r="G45" s="9" t="str">
        <f ca="1">+WORLDCUP!BD65</f>
        <v>Arabia Saudita</v>
      </c>
      <c r="H45" s="9" t="str">
        <f ca="1">+WORLDCUP!BD63</f>
        <v>Túnez</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Haití</v>
      </c>
      <c r="D46" s="9" t="str">
        <f ca="1">+WORLDCUP!BD64</f>
        <v>Irán</v>
      </c>
      <c r="E46" s="9" t="str">
        <f ca="1">+WORLDCUP!BD67</f>
        <v>Jordania</v>
      </c>
      <c r="F46" s="9" t="str">
        <f ca="1">+WORLDCUP!BD61</f>
        <v>Australia</v>
      </c>
      <c r="G46" s="9" t="str">
        <f ca="1">+WORLDCUP!BD65</f>
        <v>Arabia Saudita</v>
      </c>
      <c r="H46" s="9" t="str">
        <f ca="1">+WORLDCUP!BD63</f>
        <v>Túnez</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Jordania</v>
      </c>
      <c r="E47" s="9" t="str">
        <f ca="1">+WORLDCUP!BD59</f>
        <v>Canadá</v>
      </c>
      <c r="F47" s="9" t="str">
        <f ca="1">+WORLDCUP!BD63</f>
        <v>Túnez</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Costa de Marfil</v>
      </c>
      <c r="D48" s="9" t="str">
        <f ca="1">+WORLDCUP!BD67</f>
        <v>Jordania</v>
      </c>
      <c r="E48" s="9" t="str">
        <f ca="1">+WORLDCUP!BD66</f>
        <v>Senegal</v>
      </c>
      <c r="F48" s="9" t="str">
        <f ca="1">+WORLDCUP!BD59</f>
        <v>Canadá</v>
      </c>
      <c r="G48" s="9" t="str">
        <f ca="1">+WORLDCUP!BD65</f>
        <v>Arabia Saudita</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Costa de Marfil</v>
      </c>
      <c r="D49" s="9" t="str">
        <f ca="1">+WORLDCUP!BD67</f>
        <v>Jordania</v>
      </c>
      <c r="E49" s="9" t="str">
        <f ca="1">+WORLDCUP!BD59</f>
        <v>Canadá</v>
      </c>
      <c r="F49" s="9" t="str">
        <f ca="1">+WORLDCUP!BD63</f>
        <v>Túnez</v>
      </c>
      <c r="G49" s="9" t="str">
        <f ca="1">+WORLDCUP!BD66</f>
        <v>Senegal</v>
      </c>
      <c r="H49" s="9" t="str">
        <f ca="1">+WORLDCUP!BD65</f>
        <v>Arabia Saudita</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Costa de Marfil</v>
      </c>
      <c r="D50" s="9" t="str">
        <f ca="1">+WORLDCUP!BD67</f>
        <v>Jordania</v>
      </c>
      <c r="E50" s="9" t="str">
        <f ca="1">+WORLDCUP!BD59</f>
        <v>Canadá</v>
      </c>
      <c r="F50" s="9" t="str">
        <f ca="1">+WORLDCUP!BD63</f>
        <v>Túnez</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Costa de Marfil</v>
      </c>
      <c r="D51" s="9" t="str">
        <f ca="1">+WORLDCUP!BD67</f>
        <v>Jordania</v>
      </c>
      <c r="E51" s="9" t="str">
        <f ca="1">+WORLDCUP!BD59</f>
        <v>Canadá</v>
      </c>
      <c r="F51" s="9" t="str">
        <f ca="1">+WORLDCUP!BD63</f>
        <v>Túnez</v>
      </c>
      <c r="G51" s="9" t="str">
        <f ca="1">+WORLDCUP!BD65</f>
        <v>Arabia Saudita</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Costa de Marfil</v>
      </c>
      <c r="D52" s="9" t="str">
        <f ca="1">+WORLDCUP!BD64</f>
        <v>Irán</v>
      </c>
      <c r="E52" s="9" t="str">
        <f ca="1">+WORLDCUP!BD59</f>
        <v>Canadá</v>
      </c>
      <c r="F52" s="9" t="str">
        <f ca="1">+WORLDCUP!BD63</f>
        <v>Túnez</v>
      </c>
      <c r="G52" s="9" t="str">
        <f ca="1">+WORLDCUP!BD66</f>
        <v>Senegal</v>
      </c>
      <c r="H52" s="9" t="str">
        <f ca="1">+WORLDCUP!BD65</f>
        <v>Arabia Saudita</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Costa de Marfil</v>
      </c>
      <c r="D53" s="9" t="str">
        <f ca="1">+WORLDCUP!BD67</f>
        <v>Jordania</v>
      </c>
      <c r="E53" s="9" t="str">
        <f ca="1">+WORLDCUP!BD59</f>
        <v>Canadá</v>
      </c>
      <c r="F53" s="9" t="str">
        <f ca="1">+WORLDCUP!BD63</f>
        <v>Túnez</v>
      </c>
      <c r="G53" s="9" t="str">
        <f ca="1">+WORLDCUP!BD65</f>
        <v>Arabia Saudita</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Costa de Marfil</v>
      </c>
      <c r="D54" s="9" t="str">
        <f ca="1">+WORLDCUP!BD67</f>
        <v>Jordania</v>
      </c>
      <c r="E54" s="9" t="str">
        <f ca="1">+WORLDCUP!BD59</f>
        <v>Canadá</v>
      </c>
      <c r="F54" s="9" t="str">
        <f ca="1">+WORLDCUP!BD63</f>
        <v>Túnez</v>
      </c>
      <c r="G54" s="9" t="str">
        <f ca="1">+WORLDCUP!BD65</f>
        <v>Arabia Saudita</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Jordania</v>
      </c>
      <c r="E55" s="9" t="str">
        <f ca="1">+WORLDCUP!BD59</f>
        <v>Canadá</v>
      </c>
      <c r="F55" s="9" t="str">
        <f ca="1">+WORLDCUP!BD61</f>
        <v>Australia</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Jordania</v>
      </c>
      <c r="E56" s="9" t="str">
        <f ca="1">+WORLDCUP!BD59</f>
        <v>Canadá</v>
      </c>
      <c r="F56" s="9" t="str">
        <f ca="1">+WORLDCUP!BD61</f>
        <v>Australia</v>
      </c>
      <c r="G56" s="9" t="str">
        <f ca="1">+WORLDCUP!BD66</f>
        <v>Senegal</v>
      </c>
      <c r="H56" s="9" t="str">
        <f ca="1">+WORLDCUP!BD63</f>
        <v>Túnez</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Irán</v>
      </c>
      <c r="E57" s="9" t="str">
        <f ca="1">+WORLDCUP!BD59</f>
        <v>Canadá</v>
      </c>
      <c r="F57" s="9" t="str">
        <f ca="1">+WORLDCUP!BD61</f>
        <v>Australia</v>
      </c>
      <c r="G57" s="9" t="str">
        <f ca="1">+WORLDCUP!BD67</f>
        <v>Jordania</v>
      </c>
      <c r="H57" s="9" t="str">
        <f ca="1">+WORLDCUP!BD63</f>
        <v>Túnez</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Irán</v>
      </c>
      <c r="E58" s="9" t="str">
        <f ca="1">+WORLDCUP!BD59</f>
        <v>Canadá</v>
      </c>
      <c r="F58" s="9" t="str">
        <f ca="1">+WORLDCUP!BD61</f>
        <v>Australia</v>
      </c>
      <c r="G58" s="9" t="str">
        <f ca="1">+WORLDCUP!BD67</f>
        <v>Jordania</v>
      </c>
      <c r="H58" s="9" t="str">
        <f ca="1">+WORLDCUP!BD63</f>
        <v>Túnez</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Irán</v>
      </c>
      <c r="E59" s="9" t="str">
        <f ca="1">+WORLDCUP!BD59</f>
        <v>Canadá</v>
      </c>
      <c r="F59" s="9" t="str">
        <f ca="1">+WORLDCUP!BD61</f>
        <v>Australia</v>
      </c>
      <c r="G59" s="9" t="str">
        <f ca="1">+WORLDCUP!BD66</f>
        <v>Senegal</v>
      </c>
      <c r="H59" s="9" t="str">
        <f ca="1">+WORLDCUP!BD63</f>
        <v>Túnez</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Irán</v>
      </c>
      <c r="E60" s="9" t="str">
        <f ca="1">+WORLDCUP!BD59</f>
        <v>Canadá</v>
      </c>
      <c r="F60" s="9" t="str">
        <f ca="1">+WORLDCUP!BD61</f>
        <v>Australia</v>
      </c>
      <c r="G60" s="9" t="str">
        <f ca="1">+WORLDCUP!BD67</f>
        <v>Jordania</v>
      </c>
      <c r="H60" s="9" t="str">
        <f ca="1">+WORLDCUP!BD63</f>
        <v>Túnez</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Irán</v>
      </c>
      <c r="E61" s="9" t="str">
        <f ca="1">+WORLDCUP!BD59</f>
        <v>Canadá</v>
      </c>
      <c r="F61" s="9" t="str">
        <f ca="1">+WORLDCUP!BD61</f>
        <v>Australia</v>
      </c>
      <c r="G61" s="9" t="str">
        <f ca="1">+WORLDCUP!BD67</f>
        <v>Jordania</v>
      </c>
      <c r="H61" s="9" t="str">
        <f ca="1">+WORLDCUP!BD63</f>
        <v>Túnez</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Costa de Marfil</v>
      </c>
      <c r="D62" s="9" t="str">
        <f ca="1">+WORLDCUP!BD67</f>
        <v>Jordania</v>
      </c>
      <c r="E62" s="9" t="str">
        <f ca="1">+WORLDCUP!BD59</f>
        <v>Canadá</v>
      </c>
      <c r="F62" s="9" t="str">
        <f ca="1">+WORLDCUP!BD61</f>
        <v>Australia</v>
      </c>
      <c r="G62" s="9" t="str">
        <f ca="1">+WORLDCUP!BD66</f>
        <v>Senegal</v>
      </c>
      <c r="H62" s="9" t="str">
        <f ca="1">+WORLDCUP!BD65</f>
        <v>Arabia Saudita</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Costa de Marfil</v>
      </c>
      <c r="D63" s="9" t="str">
        <f ca="1">+WORLDCUP!BD67</f>
        <v>Jordania</v>
      </c>
      <c r="E63" s="9" t="str">
        <f ca="1">+WORLDCUP!BD59</f>
        <v>Canadá</v>
      </c>
      <c r="F63" s="9" t="str">
        <f ca="1">+WORLDCUP!BD61</f>
        <v>Australia</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Costa de Marfil</v>
      </c>
      <c r="D64" s="9" t="str">
        <f ca="1">+WORLDCUP!BD67</f>
        <v>Jordania</v>
      </c>
      <c r="E64" s="9" t="str">
        <f ca="1">+WORLDCUP!BD59</f>
        <v>Canadá</v>
      </c>
      <c r="F64" s="9" t="str">
        <f ca="1">+WORLDCUP!BD61</f>
        <v>Australia</v>
      </c>
      <c r="G64" s="9" t="str">
        <f ca="1">+WORLDCUP!BD65</f>
        <v>Arabia Saudita</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Costa de Marfil</v>
      </c>
      <c r="D65" s="9" t="str">
        <f ca="1">+WORLDCUP!BD64</f>
        <v>Irán</v>
      </c>
      <c r="E65" s="9" t="str">
        <f ca="1">+WORLDCUP!BD59</f>
        <v>Canadá</v>
      </c>
      <c r="F65" s="9" t="str">
        <f ca="1">+WORLDCUP!BD61</f>
        <v>Australia</v>
      </c>
      <c r="G65" s="9" t="str">
        <f ca="1">+WORLDCUP!BD66</f>
        <v>Senegal</v>
      </c>
      <c r="H65" s="9" t="str">
        <f ca="1">+WORLDCUP!BD65</f>
        <v>Arabia Saudita</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Costa de Marfil</v>
      </c>
      <c r="D66" s="9" t="str">
        <f ca="1">+WORLDCUP!BD67</f>
        <v>Jordania</v>
      </c>
      <c r="E66" s="9" t="str">
        <f ca="1">+WORLDCUP!BD59</f>
        <v>Canadá</v>
      </c>
      <c r="F66" s="9" t="str">
        <f ca="1">+WORLDCUP!BD61</f>
        <v>Australia</v>
      </c>
      <c r="G66" s="9" t="str">
        <f ca="1">+WORLDCUP!BD65</f>
        <v>Arabia Saudita</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Costa de Marfil</v>
      </c>
      <c r="D67" s="9" t="str">
        <f ca="1">+WORLDCUP!BD67</f>
        <v>Jordania</v>
      </c>
      <c r="E67" s="9" t="str">
        <f ca="1">+WORLDCUP!BD59</f>
        <v>Canadá</v>
      </c>
      <c r="F67" s="9" t="str">
        <f ca="1">+WORLDCUP!BD61</f>
        <v>Australia</v>
      </c>
      <c r="G67" s="9" t="str">
        <f ca="1">+WORLDCUP!BD65</f>
        <v>Arabia Saudita</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Costa de Marfil</v>
      </c>
      <c r="D68" s="9" t="str">
        <f ca="1">+WORLDCUP!BD67</f>
        <v>Jordania</v>
      </c>
      <c r="E68" s="9" t="str">
        <f ca="1">+WORLDCUP!BD59</f>
        <v>Canadá</v>
      </c>
      <c r="F68" s="9" t="str">
        <f ca="1">+WORLDCUP!BD61</f>
        <v>Australia</v>
      </c>
      <c r="G68" s="9" t="str">
        <f ca="1">+WORLDCUP!BD66</f>
        <v>Senegal</v>
      </c>
      <c r="H68" s="9" t="str">
        <f ca="1">+WORLDCUP!BD63</f>
        <v>Túnez</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Costa de Marfil</v>
      </c>
      <c r="D69" s="9" t="str">
        <f ca="1">+WORLDCUP!BD67</f>
        <v>Jordania</v>
      </c>
      <c r="E69" s="9" t="str">
        <f ca="1">+WORLDCUP!BD59</f>
        <v>Canadá</v>
      </c>
      <c r="F69" s="9" t="str">
        <f ca="1">+WORLDCUP!BD61</f>
        <v>Australia</v>
      </c>
      <c r="G69" s="9" t="str">
        <f ca="1">+WORLDCUP!BD65</f>
        <v>Arabia Saudita</v>
      </c>
      <c r="H69" s="9" t="str">
        <f ca="1">+WORLDCUP!BD63</f>
        <v>Túnez</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Costa de Marfil</v>
      </c>
      <c r="D70" s="9" t="str">
        <f ca="1">+WORLDCUP!BD66</f>
        <v>Senegal</v>
      </c>
      <c r="E70" s="9" t="str">
        <f ca="1">+WORLDCUP!BD59</f>
        <v>Canadá</v>
      </c>
      <c r="F70" s="9" t="str">
        <f ca="1">+WORLDCUP!BD61</f>
        <v>Australia</v>
      </c>
      <c r="G70" s="9" t="str">
        <f ca="1">+WORLDCUP!BD65</f>
        <v>Arabia Saudita</v>
      </c>
      <c r="H70" s="9" t="str">
        <f ca="1">+WORLDCUP!BD63</f>
        <v>Túnez</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Costa de Marfil</v>
      </c>
      <c r="D71" s="9" t="str">
        <f ca="1">+WORLDCUP!BD67</f>
        <v>Jordania</v>
      </c>
      <c r="E71" s="9" t="str">
        <f ca="1">+WORLDCUP!BD59</f>
        <v>Canadá</v>
      </c>
      <c r="F71" s="9" t="str">
        <f ca="1">+WORLDCUP!BD61</f>
        <v>Australia</v>
      </c>
      <c r="G71" s="9" t="str">
        <f ca="1">+WORLDCUP!BD65</f>
        <v>Arabia Saudita</v>
      </c>
      <c r="H71" s="9" t="str">
        <f ca="1">+WORLDCUP!BD63</f>
        <v>Túnez</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Costa de Marfil</v>
      </c>
      <c r="D72" s="9" t="str">
        <f ca="1">+WORLDCUP!BD67</f>
        <v>Jordania</v>
      </c>
      <c r="E72" s="9" t="str">
        <f ca="1">+WORLDCUP!BD59</f>
        <v>Canadá</v>
      </c>
      <c r="F72" s="9" t="str">
        <f ca="1">+WORLDCUP!BD61</f>
        <v>Australia</v>
      </c>
      <c r="G72" s="9" t="str">
        <f ca="1">+WORLDCUP!BD65</f>
        <v>Arabia Saudita</v>
      </c>
      <c r="H72" s="9" t="str">
        <f ca="1">+WORLDCUP!BD63</f>
        <v>Túnez</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Costa de Marfil</v>
      </c>
      <c r="D73" s="9" t="str">
        <f ca="1">+WORLDCUP!BD64</f>
        <v>Irán</v>
      </c>
      <c r="E73" s="9" t="str">
        <f ca="1">+WORLDCUP!BD59</f>
        <v>Canadá</v>
      </c>
      <c r="F73" s="9" t="str">
        <f ca="1">+WORLDCUP!BD61</f>
        <v>Australia</v>
      </c>
      <c r="G73" s="9" t="str">
        <f ca="1">+WORLDCUP!BD67</f>
        <v>Jordania</v>
      </c>
      <c r="H73" s="9" t="str">
        <f ca="1">+WORLDCUP!BD63</f>
        <v>Túnez</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Costa de Marfil</v>
      </c>
      <c r="D74" s="9" t="str">
        <f ca="1">+WORLDCUP!BD64</f>
        <v>Irán</v>
      </c>
      <c r="E74" s="9" t="str">
        <f ca="1">+WORLDCUP!BD59</f>
        <v>Canadá</v>
      </c>
      <c r="F74" s="9" t="str">
        <f ca="1">+WORLDCUP!BD61</f>
        <v>Australia</v>
      </c>
      <c r="G74" s="9" t="str">
        <f ca="1">+WORLDCUP!BD66</f>
        <v>Senegal</v>
      </c>
      <c r="H74" s="9" t="str">
        <f ca="1">+WORLDCUP!BD63</f>
        <v>Túnez</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Costa de Marfil</v>
      </c>
      <c r="D75" s="9" t="str">
        <f ca="1">+WORLDCUP!BD64</f>
        <v>Irán</v>
      </c>
      <c r="E75" s="9" t="str">
        <f ca="1">+WORLDCUP!BD59</f>
        <v>Canadá</v>
      </c>
      <c r="F75" s="9" t="str">
        <f ca="1">+WORLDCUP!BD61</f>
        <v>Australia</v>
      </c>
      <c r="G75" s="9" t="str">
        <f ca="1">+WORLDCUP!BD67</f>
        <v>Jordania</v>
      </c>
      <c r="H75" s="9" t="str">
        <f ca="1">+WORLDCUP!BD63</f>
        <v>Túnez</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Costa de Marfil</v>
      </c>
      <c r="D76" s="9" t="str">
        <f ca="1">+WORLDCUP!BD64</f>
        <v>Irán</v>
      </c>
      <c r="E76" s="9" t="str">
        <f ca="1">+WORLDCUP!BD59</f>
        <v>Canadá</v>
      </c>
      <c r="F76" s="9" t="str">
        <f ca="1">+WORLDCUP!BD61</f>
        <v>Australia</v>
      </c>
      <c r="G76" s="9" t="str">
        <f ca="1">+WORLDCUP!BD67</f>
        <v>Jordania</v>
      </c>
      <c r="H76" s="9" t="str">
        <f ca="1">+WORLDCUP!BD63</f>
        <v>Túnez</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Costa de Marfil</v>
      </c>
      <c r="D77" s="9" t="str">
        <f ca="1">+WORLDCUP!BD64</f>
        <v>Irán</v>
      </c>
      <c r="E77" s="9" t="str">
        <f ca="1">+WORLDCUP!BD59</f>
        <v>Canadá</v>
      </c>
      <c r="F77" s="9" t="str">
        <f ca="1">+WORLDCUP!BD61</f>
        <v>Australia</v>
      </c>
      <c r="G77" s="9" t="str">
        <f ca="1">+WORLDCUP!BD65</f>
        <v>Arabia Saudita</v>
      </c>
      <c r="H77" s="9" t="str">
        <f ca="1">+WORLDCUP!BD63</f>
        <v>Túnez</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Irán</v>
      </c>
      <c r="E78" s="9" t="str">
        <f ca="1">+WORLDCUP!BD59</f>
        <v>Canadá</v>
      </c>
      <c r="F78" s="9" t="str">
        <f ca="1">+WORLDCUP!BD61</f>
        <v>Australia</v>
      </c>
      <c r="G78" s="9" t="str">
        <f ca="1">+WORLDCUP!BD67</f>
        <v>Jordania</v>
      </c>
      <c r="H78" s="9" t="str">
        <f ca="1">+WORLDCUP!BD63</f>
        <v>Túnez</v>
      </c>
      <c r="I78" s="9" t="str">
        <f ca="1">+WORLDCUP!BD69</f>
        <v>Ghana</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Irán</v>
      </c>
      <c r="E79" s="9" t="str">
        <f ca="1">+WORLDCUP!BD59</f>
        <v>Canadá</v>
      </c>
      <c r="F79" s="9" t="str">
        <f ca="1">+WORLDCUP!BD61</f>
        <v>Australia</v>
      </c>
      <c r="G79" s="9" t="str">
        <f ca="1">+WORLDCUP!BD67</f>
        <v>Jordania</v>
      </c>
      <c r="H79" s="9" t="str">
        <f ca="1">+WORLDCUP!BD63</f>
        <v>Túnez</v>
      </c>
      <c r="I79" s="9" t="str">
        <f ca="1">+WORLDCUP!BD62</f>
        <v>Costa de Marfil</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Costa de Marfil</v>
      </c>
      <c r="D80" s="9" t="str">
        <f ca="1">+WORLDCUP!BD64</f>
        <v>Irán</v>
      </c>
      <c r="E80" s="9" t="str">
        <f ca="1">+WORLDCUP!BD59</f>
        <v>Canadá</v>
      </c>
      <c r="F80" s="9" t="str">
        <f ca="1">+WORLDCUP!BD61</f>
        <v>Australia</v>
      </c>
      <c r="G80" s="9" t="str">
        <f ca="1">+WORLDCUP!BD65</f>
        <v>Arabia Saudita</v>
      </c>
      <c r="H80" s="9" t="str">
        <f ca="1">+WORLDCUP!BD63</f>
        <v>Túnez</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Costa de Marfil</v>
      </c>
      <c r="D81" s="9" t="str">
        <f ca="1">+WORLDCUP!BD64</f>
        <v>Irán</v>
      </c>
      <c r="E81" s="9" t="str">
        <f ca="1">+WORLDCUP!BD59</f>
        <v>Canadá</v>
      </c>
      <c r="F81" s="9" t="str">
        <f ca="1">+WORLDCUP!BD61</f>
        <v>Australia</v>
      </c>
      <c r="G81" s="9" t="str">
        <f ca="1">+WORLDCUP!BD65</f>
        <v>Arabia Saudita</v>
      </c>
      <c r="H81" s="9" t="str">
        <f ca="1">+WORLDCUP!BD63</f>
        <v>Túnez</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Irán</v>
      </c>
      <c r="E82" s="9" t="str">
        <f ca="1">+WORLDCUP!BD59</f>
        <v>Canadá</v>
      </c>
      <c r="F82" s="9" t="str">
        <f ca="1">+WORLDCUP!BD61</f>
        <v>Australia</v>
      </c>
      <c r="G82" s="9" t="str">
        <f ca="1">+WORLDCUP!BD67</f>
        <v>Jordania</v>
      </c>
      <c r="H82" s="9" t="str">
        <f ca="1">+WORLDCUP!BD63</f>
        <v>Túnez</v>
      </c>
      <c r="I82" s="9" t="str">
        <f ca="1">+WORLDCUP!BD62</f>
        <v>Costa de Marfil</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Jordania</v>
      </c>
      <c r="E83" s="9" t="str">
        <f ca="1">+WORLDCUP!BD59</f>
        <v>Canadá</v>
      </c>
      <c r="F83" s="9" t="str">
        <f ca="1">+WORLDCUP!BD60</f>
        <v>Haití</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Jordania</v>
      </c>
      <c r="E84" s="9" t="str">
        <f ca="1">+WORLDCUP!BD59</f>
        <v>Canadá</v>
      </c>
      <c r="F84" s="9" t="str">
        <f ca="1">+WORLDCUP!BD60</f>
        <v>Haití</v>
      </c>
      <c r="G84" s="9" t="str">
        <f ca="1">+WORLDCUP!BD66</f>
        <v>Senegal</v>
      </c>
      <c r="H84" s="9" t="str">
        <f ca="1">+WORLDCUP!BD63</f>
        <v>Túnez</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Irán</v>
      </c>
      <c r="E85" s="9" t="str">
        <f ca="1">+WORLDCUP!BD59</f>
        <v>Canadá</v>
      </c>
      <c r="F85" s="9" t="str">
        <f ca="1">+WORLDCUP!BD60</f>
        <v>Haití</v>
      </c>
      <c r="G85" s="9" t="str">
        <f ca="1">+WORLDCUP!BD67</f>
        <v>Jordania</v>
      </c>
      <c r="H85" s="9" t="str">
        <f ca="1">+WORLDCUP!BD63</f>
        <v>Túnez</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Irán</v>
      </c>
      <c r="E86" s="9" t="str">
        <f ca="1">+WORLDCUP!BD59</f>
        <v>Canadá</v>
      </c>
      <c r="F86" s="9" t="str">
        <f ca="1">+WORLDCUP!BD60</f>
        <v>Haití</v>
      </c>
      <c r="G86" s="9" t="str">
        <f ca="1">+WORLDCUP!BD67</f>
        <v>Jordania</v>
      </c>
      <c r="H86" s="9" t="str">
        <f ca="1">+WORLDCUP!BD63</f>
        <v>Túnez</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Irán</v>
      </c>
      <c r="E87" s="9" t="str">
        <f ca="1">+WORLDCUP!BD59</f>
        <v>Canadá</v>
      </c>
      <c r="F87" s="9" t="str">
        <f ca="1">+WORLDCUP!BD60</f>
        <v>Haití</v>
      </c>
      <c r="G87" s="9" t="str">
        <f ca="1">+WORLDCUP!BD66</f>
        <v>Senegal</v>
      </c>
      <c r="H87" s="9" t="str">
        <f ca="1">+WORLDCUP!BD63</f>
        <v>Túnez</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Irán</v>
      </c>
      <c r="E88" s="9" t="str">
        <f ca="1">+WORLDCUP!BD59</f>
        <v>Canadá</v>
      </c>
      <c r="F88" s="9" t="str">
        <f ca="1">+WORLDCUP!BD60</f>
        <v>Haití</v>
      </c>
      <c r="G88" s="9" t="str">
        <f ca="1">+WORLDCUP!BD67</f>
        <v>Jordania</v>
      </c>
      <c r="H88" s="9" t="str">
        <f ca="1">+WORLDCUP!BD63</f>
        <v>Túnez</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Irán</v>
      </c>
      <c r="E89" s="9" t="str">
        <f ca="1">+WORLDCUP!BD59</f>
        <v>Canadá</v>
      </c>
      <c r="F89" s="9" t="str">
        <f ca="1">+WORLDCUP!BD60</f>
        <v>Haití</v>
      </c>
      <c r="G89" s="9" t="str">
        <f ca="1">+WORLDCUP!BD67</f>
        <v>Jordania</v>
      </c>
      <c r="H89" s="9" t="str">
        <f ca="1">+WORLDCUP!BD63</f>
        <v>Túnez</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Costa de Marfil</v>
      </c>
      <c r="D90" s="9" t="str">
        <f ca="1">+WORLDCUP!BD67</f>
        <v>Jordania</v>
      </c>
      <c r="E90" s="9" t="str">
        <f ca="1">+WORLDCUP!BD59</f>
        <v>Canadá</v>
      </c>
      <c r="F90" s="9" t="str">
        <f ca="1">+WORLDCUP!BD60</f>
        <v>Haití</v>
      </c>
      <c r="G90" s="9" t="str">
        <f ca="1">+WORLDCUP!BD66</f>
        <v>Senegal</v>
      </c>
      <c r="H90" s="9" t="str">
        <f ca="1">+WORLDCUP!BD65</f>
        <v>Arabia Saudita</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Costa de Marfil</v>
      </c>
      <c r="D91" s="9" t="str">
        <f ca="1">+WORLDCUP!BD67</f>
        <v>Jordania</v>
      </c>
      <c r="E91" s="9" t="str">
        <f ca="1">+WORLDCUP!BD59</f>
        <v>Canadá</v>
      </c>
      <c r="F91" s="9" t="str">
        <f ca="1">+WORLDCUP!BD60</f>
        <v>Haití</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Costa de Marfil</v>
      </c>
      <c r="D92" s="9" t="str">
        <f ca="1">+WORLDCUP!BD67</f>
        <v>Jordania</v>
      </c>
      <c r="E92" s="9" t="str">
        <f ca="1">+WORLDCUP!BD59</f>
        <v>Canadá</v>
      </c>
      <c r="F92" s="9" t="str">
        <f ca="1">+WORLDCUP!BD60</f>
        <v>Haití</v>
      </c>
      <c r="G92" s="9" t="str">
        <f ca="1">+WORLDCUP!BD65</f>
        <v>Arabia Saudita</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Costa de Marfil</v>
      </c>
      <c r="D93" s="9" t="str">
        <f ca="1">+WORLDCUP!BD64</f>
        <v>Irán</v>
      </c>
      <c r="E93" s="9" t="str">
        <f ca="1">+WORLDCUP!BD59</f>
        <v>Canadá</v>
      </c>
      <c r="F93" s="9" t="str">
        <f ca="1">+WORLDCUP!BD60</f>
        <v>Haití</v>
      </c>
      <c r="G93" s="9" t="str">
        <f ca="1">+WORLDCUP!BD66</f>
        <v>Senegal</v>
      </c>
      <c r="H93" s="9" t="str">
        <f ca="1">+WORLDCUP!BD65</f>
        <v>Arabia Saudita</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Costa de Marfil</v>
      </c>
      <c r="D94" s="9" t="str">
        <f ca="1">+WORLDCUP!BD67</f>
        <v>Jordania</v>
      </c>
      <c r="E94" s="9" t="str">
        <f ca="1">+WORLDCUP!BD59</f>
        <v>Canadá</v>
      </c>
      <c r="F94" s="9" t="str">
        <f ca="1">+WORLDCUP!BD60</f>
        <v>Haití</v>
      </c>
      <c r="G94" s="9" t="str">
        <f ca="1">+WORLDCUP!BD65</f>
        <v>Arabia Saudita</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Costa de Marfil</v>
      </c>
      <c r="D95" s="9" t="str">
        <f ca="1">+WORLDCUP!BD67</f>
        <v>Jordania</v>
      </c>
      <c r="E95" s="9" t="str">
        <f ca="1">+WORLDCUP!BD59</f>
        <v>Canadá</v>
      </c>
      <c r="F95" s="9" t="str">
        <f ca="1">+WORLDCUP!BD60</f>
        <v>Haití</v>
      </c>
      <c r="G95" s="9" t="str">
        <f ca="1">+WORLDCUP!BD65</f>
        <v>Arabia Saudita</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Costa de Marfil</v>
      </c>
      <c r="D96" s="9" t="str">
        <f ca="1">+WORLDCUP!BD67</f>
        <v>Jordania</v>
      </c>
      <c r="E96" s="9" t="str">
        <f ca="1">+WORLDCUP!BD59</f>
        <v>Canadá</v>
      </c>
      <c r="F96" s="9" t="str">
        <f ca="1">+WORLDCUP!BD60</f>
        <v>Haití</v>
      </c>
      <c r="G96" s="9" t="str">
        <f ca="1">+WORLDCUP!BD66</f>
        <v>Senegal</v>
      </c>
      <c r="H96" s="9" t="str">
        <f ca="1">+WORLDCUP!BD63</f>
        <v>Túnez</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Costa de Marfil</v>
      </c>
      <c r="D97" s="9" t="str">
        <f ca="1">+WORLDCUP!BD67</f>
        <v>Jordania</v>
      </c>
      <c r="E97" s="9" t="str">
        <f ca="1">+WORLDCUP!BD59</f>
        <v>Canadá</v>
      </c>
      <c r="F97" s="9" t="str">
        <f ca="1">+WORLDCUP!BD60</f>
        <v>Haití</v>
      </c>
      <c r="G97" s="9" t="str">
        <f ca="1">+WORLDCUP!BD65</f>
        <v>Arabia Saudita</v>
      </c>
      <c r="H97" s="9" t="str">
        <f ca="1">+WORLDCUP!BD63</f>
        <v>Túnez</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Costa de Marfil</v>
      </c>
      <c r="D98" s="9" t="str">
        <f ca="1">+WORLDCUP!BD66</f>
        <v>Senegal</v>
      </c>
      <c r="E98" s="9" t="str">
        <f ca="1">+WORLDCUP!BD59</f>
        <v>Canadá</v>
      </c>
      <c r="F98" s="9" t="str">
        <f ca="1">+WORLDCUP!BD60</f>
        <v>Haití</v>
      </c>
      <c r="G98" s="9" t="str">
        <f ca="1">+WORLDCUP!BD65</f>
        <v>Arabia Saudita</v>
      </c>
      <c r="H98" s="9" t="str">
        <f ca="1">+WORLDCUP!BD63</f>
        <v>Túnez</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Costa de Marfil</v>
      </c>
      <c r="D99" s="9" t="str">
        <f ca="1">+WORLDCUP!BD67</f>
        <v>Jordania</v>
      </c>
      <c r="E99" s="9" t="str">
        <f ca="1">+WORLDCUP!BD59</f>
        <v>Canadá</v>
      </c>
      <c r="F99" s="9" t="str">
        <f ca="1">+WORLDCUP!BD60</f>
        <v>Haití</v>
      </c>
      <c r="G99" s="9" t="str">
        <f ca="1">+WORLDCUP!BD65</f>
        <v>Arabia Saudita</v>
      </c>
      <c r="H99" s="9" t="str">
        <f ca="1">+WORLDCUP!BD63</f>
        <v>Túnez</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Costa de Marfil</v>
      </c>
      <c r="D100" s="9" t="str">
        <f ca="1">+WORLDCUP!BD67</f>
        <v>Jordania</v>
      </c>
      <c r="E100" s="9" t="str">
        <f ca="1">+WORLDCUP!BD59</f>
        <v>Canadá</v>
      </c>
      <c r="F100" s="9" t="str">
        <f ca="1">+WORLDCUP!BD60</f>
        <v>Haití</v>
      </c>
      <c r="G100" s="9" t="str">
        <f ca="1">+WORLDCUP!BD65</f>
        <v>Arabia Saudita</v>
      </c>
      <c r="H100" s="9" t="str">
        <f ca="1">+WORLDCUP!BD63</f>
        <v>Túnez</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Costa de Marfil</v>
      </c>
      <c r="D101" s="9" t="str">
        <f ca="1">+WORLDCUP!BD64</f>
        <v>Irán</v>
      </c>
      <c r="E101" s="9" t="str">
        <f ca="1">+WORLDCUP!BD59</f>
        <v>Canadá</v>
      </c>
      <c r="F101" s="9" t="str">
        <f ca="1">+WORLDCUP!BD60</f>
        <v>Haití</v>
      </c>
      <c r="G101" s="9" t="str">
        <f ca="1">+WORLDCUP!BD67</f>
        <v>Jordania</v>
      </c>
      <c r="H101" s="9" t="str">
        <f ca="1">+WORLDCUP!BD63</f>
        <v>Túnez</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Costa de Marfil</v>
      </c>
      <c r="D102" s="9" t="str">
        <f ca="1">+WORLDCUP!BD64</f>
        <v>Irán</v>
      </c>
      <c r="E102" s="9" t="str">
        <f ca="1">+WORLDCUP!BD59</f>
        <v>Canadá</v>
      </c>
      <c r="F102" s="9" t="str">
        <f ca="1">+WORLDCUP!BD60</f>
        <v>Haití</v>
      </c>
      <c r="G102" s="9" t="str">
        <f ca="1">+WORLDCUP!BD66</f>
        <v>Senegal</v>
      </c>
      <c r="H102" s="9" t="str">
        <f ca="1">+WORLDCUP!BD63</f>
        <v>Túnez</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Costa de Marfil</v>
      </c>
      <c r="D103" s="9" t="str">
        <f ca="1">+WORLDCUP!BD64</f>
        <v>Irán</v>
      </c>
      <c r="E103" s="9" t="str">
        <f ca="1">+WORLDCUP!BD59</f>
        <v>Canadá</v>
      </c>
      <c r="F103" s="9" t="str">
        <f ca="1">+WORLDCUP!BD60</f>
        <v>Haití</v>
      </c>
      <c r="G103" s="9" t="str">
        <f ca="1">+WORLDCUP!BD67</f>
        <v>Jordania</v>
      </c>
      <c r="H103" s="9" t="str">
        <f ca="1">+WORLDCUP!BD63</f>
        <v>Túnez</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Costa de Marfil</v>
      </c>
      <c r="D104" s="9" t="str">
        <f ca="1">+WORLDCUP!BD64</f>
        <v>Irán</v>
      </c>
      <c r="E104" s="9" t="str">
        <f ca="1">+WORLDCUP!BD59</f>
        <v>Canadá</v>
      </c>
      <c r="F104" s="9" t="str">
        <f ca="1">+WORLDCUP!BD60</f>
        <v>Haití</v>
      </c>
      <c r="G104" s="9" t="str">
        <f ca="1">+WORLDCUP!BD67</f>
        <v>Jordania</v>
      </c>
      <c r="H104" s="9" t="str">
        <f ca="1">+WORLDCUP!BD63</f>
        <v>Túnez</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Costa de Marfil</v>
      </c>
      <c r="D105" s="9" t="str">
        <f ca="1">+WORLDCUP!BD64</f>
        <v>Irán</v>
      </c>
      <c r="E105" s="9" t="str">
        <f ca="1">+WORLDCUP!BD59</f>
        <v>Canadá</v>
      </c>
      <c r="F105" s="9" t="str">
        <f ca="1">+WORLDCUP!BD60</f>
        <v>Haití</v>
      </c>
      <c r="G105" s="9" t="str">
        <f ca="1">+WORLDCUP!BD65</f>
        <v>Arabia Saudita</v>
      </c>
      <c r="H105" s="9" t="str">
        <f ca="1">+WORLDCUP!BD63</f>
        <v>Túnez</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Irán</v>
      </c>
      <c r="E106" s="9" t="str">
        <f ca="1">+WORLDCUP!BD59</f>
        <v>Canadá</v>
      </c>
      <c r="F106" s="9" t="str">
        <f ca="1">+WORLDCUP!BD60</f>
        <v>Haití</v>
      </c>
      <c r="G106" s="9" t="str">
        <f ca="1">+WORLDCUP!BD67</f>
        <v>Jordania</v>
      </c>
      <c r="H106" s="9" t="str">
        <f ca="1">+WORLDCUP!BD63</f>
        <v>Túnez</v>
      </c>
      <c r="I106" s="9" t="str">
        <f ca="1">+WORLDCUP!BD69</f>
        <v>Ghana</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Irán</v>
      </c>
      <c r="E107" s="9" t="str">
        <f ca="1">+WORLDCUP!BD59</f>
        <v>Canadá</v>
      </c>
      <c r="F107" s="9" t="str">
        <f ca="1">+WORLDCUP!BD60</f>
        <v>Haití</v>
      </c>
      <c r="G107" s="9" t="str">
        <f ca="1">+WORLDCUP!BD67</f>
        <v>Jordania</v>
      </c>
      <c r="H107" s="9" t="str">
        <f ca="1">+WORLDCUP!BD63</f>
        <v>Túnez</v>
      </c>
      <c r="I107" s="9" t="str">
        <f ca="1">+WORLDCUP!BD62</f>
        <v>Costa de Marfil</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Costa de Marfil</v>
      </c>
      <c r="D108" s="9" t="str">
        <f ca="1">+WORLDCUP!BD64</f>
        <v>Irán</v>
      </c>
      <c r="E108" s="9" t="str">
        <f ca="1">+WORLDCUP!BD59</f>
        <v>Canadá</v>
      </c>
      <c r="F108" s="9" t="str">
        <f ca="1">+WORLDCUP!BD60</f>
        <v>Haití</v>
      </c>
      <c r="G108" s="9" t="str">
        <f ca="1">+WORLDCUP!BD65</f>
        <v>Arabia Saudita</v>
      </c>
      <c r="H108" s="9" t="str">
        <f ca="1">+WORLDCUP!BD63</f>
        <v>Túnez</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Costa de Marfil</v>
      </c>
      <c r="D109" s="9" t="str">
        <f ca="1">+WORLDCUP!BD64</f>
        <v>Irán</v>
      </c>
      <c r="E109" s="9" t="str">
        <f ca="1">+WORLDCUP!BD59</f>
        <v>Canadá</v>
      </c>
      <c r="F109" s="9" t="str">
        <f ca="1">+WORLDCUP!BD60</f>
        <v>Haití</v>
      </c>
      <c r="G109" s="9" t="str">
        <f ca="1">+WORLDCUP!BD65</f>
        <v>Arabia Saudita</v>
      </c>
      <c r="H109" s="9" t="str">
        <f ca="1">+WORLDCUP!BD63</f>
        <v>Túnez</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Irán</v>
      </c>
      <c r="E110" s="9" t="str">
        <f ca="1">+WORLDCUP!BD59</f>
        <v>Canadá</v>
      </c>
      <c r="F110" s="9" t="str">
        <f ca="1">+WORLDCUP!BD60</f>
        <v>Haití</v>
      </c>
      <c r="G110" s="9" t="str">
        <f ca="1">+WORLDCUP!BD67</f>
        <v>Jordania</v>
      </c>
      <c r="H110" s="9" t="str">
        <f ca="1">+WORLDCUP!BD63</f>
        <v>Túnez</v>
      </c>
      <c r="I110" s="9" t="str">
        <f ca="1">+WORLDCUP!BD62</f>
        <v>Costa de Marfil</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Jordania</v>
      </c>
      <c r="E111" s="9" t="str">
        <f ca="1">+WORLDCUP!BD59</f>
        <v>Canadá</v>
      </c>
      <c r="F111" s="9" t="str">
        <f ca="1">+WORLDCUP!BD60</f>
        <v>Haití</v>
      </c>
      <c r="G111" s="9" t="str">
        <f ca="1">+WORLDCUP!BD66</f>
        <v>Senegal</v>
      </c>
      <c r="H111" s="9" t="str">
        <f ca="1">+WORLDCUP!BD61</f>
        <v>Australia</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Irán</v>
      </c>
      <c r="E112" s="9" t="str">
        <f ca="1">+WORLDCUP!BD59</f>
        <v>Canadá</v>
      </c>
      <c r="F112" s="9" t="str">
        <f ca="1">+WORLDCUP!BD60</f>
        <v>Haití</v>
      </c>
      <c r="G112" s="9" t="str">
        <f ca="1">+WORLDCUP!BD67</f>
        <v>Jordania</v>
      </c>
      <c r="H112" s="9" t="str">
        <f ca="1">+WORLDCUP!BD61</f>
        <v>Australia</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Irán</v>
      </c>
      <c r="E113" s="9" t="str">
        <f ca="1">+WORLDCUP!BD59</f>
        <v>Canadá</v>
      </c>
      <c r="F113" s="9" t="str">
        <f ca="1">+WORLDCUP!BD60</f>
        <v>Haití</v>
      </c>
      <c r="G113" s="9" t="str">
        <f ca="1">+WORLDCUP!BD67</f>
        <v>Jordania</v>
      </c>
      <c r="H113" s="9" t="str">
        <f ca="1">+WORLDCUP!BD61</f>
        <v>Australia</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Irán</v>
      </c>
      <c r="E114" s="9" t="str">
        <f ca="1">+WORLDCUP!BD59</f>
        <v>Canadá</v>
      </c>
      <c r="F114" s="9" t="str">
        <f ca="1">+WORLDCUP!BD60</f>
        <v>Haití</v>
      </c>
      <c r="G114" s="9" t="str">
        <f ca="1">+WORLDCUP!BD66</f>
        <v>Senegal</v>
      </c>
      <c r="H114" s="9" t="str">
        <f ca="1">+WORLDCUP!BD61</f>
        <v>Australia</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Irán</v>
      </c>
      <c r="E115" s="9" t="str">
        <f ca="1">+WORLDCUP!BD59</f>
        <v>Canadá</v>
      </c>
      <c r="F115" s="9" t="str">
        <f ca="1">+WORLDCUP!BD60</f>
        <v>Haití</v>
      </c>
      <c r="G115" s="9" t="str">
        <f ca="1">+WORLDCUP!BD67</f>
        <v>Jordania</v>
      </c>
      <c r="H115" s="9" t="str">
        <f ca="1">+WORLDCUP!BD61</f>
        <v>Australia</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Irán</v>
      </c>
      <c r="E116" s="9" t="str">
        <f ca="1">+WORLDCUP!BD59</f>
        <v>Canadá</v>
      </c>
      <c r="F116" s="9" t="str">
        <f ca="1">+WORLDCUP!BD60</f>
        <v>Haití</v>
      </c>
      <c r="G116" s="9" t="str">
        <f ca="1">+WORLDCUP!BD67</f>
        <v>Jordania</v>
      </c>
      <c r="H116" s="9" t="str">
        <f ca="1">+WORLDCUP!BD61</f>
        <v>Australia</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Haití</v>
      </c>
      <c r="D117" s="9" t="str">
        <f ca="1">+WORLDCUP!BD67</f>
        <v>Jordania</v>
      </c>
      <c r="E117" s="9" t="str">
        <f ca="1">+WORLDCUP!BD59</f>
        <v>Canadá</v>
      </c>
      <c r="F117" s="9" t="str">
        <f ca="1">+WORLDCUP!BD61</f>
        <v>Australia</v>
      </c>
      <c r="G117" s="9" t="str">
        <f ca="1">+WORLDCUP!BD66</f>
        <v>Senegal</v>
      </c>
      <c r="H117" s="9" t="str">
        <f ca="1">+WORLDCUP!BD63</f>
        <v>Túnez</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Haití</v>
      </c>
      <c r="D118" s="9" t="str">
        <f ca="1">+WORLDCUP!BD67</f>
        <v>Jordania</v>
      </c>
      <c r="E118" s="9" t="str">
        <f ca="1">+WORLDCUP!BD59</f>
        <v>Canadá</v>
      </c>
      <c r="F118" s="9" t="str">
        <f ca="1">+WORLDCUP!BD61</f>
        <v>Australia</v>
      </c>
      <c r="G118" s="9" t="str">
        <f ca="1">+WORLDCUP!BD65</f>
        <v>Arabia Saudita</v>
      </c>
      <c r="H118" s="9" t="str">
        <f ca="1">+WORLDCUP!BD63</f>
        <v>Túnez</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Haití</v>
      </c>
      <c r="D119" s="9" t="str">
        <f ca="1">+WORLDCUP!BD66</f>
        <v>Senegal</v>
      </c>
      <c r="E119" s="9" t="str">
        <f ca="1">+WORLDCUP!BD59</f>
        <v>Canadá</v>
      </c>
      <c r="F119" s="9" t="str">
        <f ca="1">+WORLDCUP!BD61</f>
        <v>Australia</v>
      </c>
      <c r="G119" s="9" t="str">
        <f ca="1">+WORLDCUP!BD65</f>
        <v>Arabia Saudita</v>
      </c>
      <c r="H119" s="9" t="str">
        <f ca="1">+WORLDCUP!BD63</f>
        <v>Túnez</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Haití</v>
      </c>
      <c r="D120" s="9" t="str">
        <f ca="1">+WORLDCUP!BD67</f>
        <v>Jordania</v>
      </c>
      <c r="E120" s="9" t="str">
        <f ca="1">+WORLDCUP!BD59</f>
        <v>Canadá</v>
      </c>
      <c r="F120" s="9" t="str">
        <f ca="1">+WORLDCUP!BD61</f>
        <v>Australia</v>
      </c>
      <c r="G120" s="9" t="str">
        <f ca="1">+WORLDCUP!BD65</f>
        <v>Arabia Saudita</v>
      </c>
      <c r="H120" s="9" t="str">
        <f ca="1">+WORLDCUP!BD63</f>
        <v>Túnez</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Haití</v>
      </c>
      <c r="D121" s="9" t="str">
        <f ca="1">+WORLDCUP!BD67</f>
        <v>Jordania</v>
      </c>
      <c r="E121" s="9" t="str">
        <f ca="1">+WORLDCUP!BD59</f>
        <v>Canadá</v>
      </c>
      <c r="F121" s="9" t="str">
        <f ca="1">+WORLDCUP!BD61</f>
        <v>Australia</v>
      </c>
      <c r="G121" s="9" t="str">
        <f ca="1">+WORLDCUP!BD65</f>
        <v>Arabia Saudita</v>
      </c>
      <c r="H121" s="9" t="str">
        <f ca="1">+WORLDCUP!BD63</f>
        <v>Túnez</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Haití</v>
      </c>
      <c r="D122" s="9" t="str">
        <f ca="1">+WORLDCUP!BD64</f>
        <v>Irán</v>
      </c>
      <c r="E122" s="9" t="str">
        <f ca="1">+WORLDCUP!BD59</f>
        <v>Canadá</v>
      </c>
      <c r="F122" s="9" t="str">
        <f ca="1">+WORLDCUP!BD61</f>
        <v>Australia</v>
      </c>
      <c r="G122" s="9" t="str">
        <f ca="1">+WORLDCUP!BD67</f>
        <v>Jordania</v>
      </c>
      <c r="H122" s="9" t="str">
        <f ca="1">+WORLDCUP!BD63</f>
        <v>Túnez</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Haití</v>
      </c>
      <c r="D123" s="9" t="str">
        <f ca="1">+WORLDCUP!BD64</f>
        <v>Irán</v>
      </c>
      <c r="E123" s="9" t="str">
        <f ca="1">+WORLDCUP!BD59</f>
        <v>Canadá</v>
      </c>
      <c r="F123" s="9" t="str">
        <f ca="1">+WORLDCUP!BD61</f>
        <v>Australia</v>
      </c>
      <c r="G123" s="9" t="str">
        <f ca="1">+WORLDCUP!BD66</f>
        <v>Senegal</v>
      </c>
      <c r="H123" s="9" t="str">
        <f ca="1">+WORLDCUP!BD63</f>
        <v>Túnez</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Haití</v>
      </c>
      <c r="D124" s="9" t="str">
        <f ca="1">+WORLDCUP!BD64</f>
        <v>Irán</v>
      </c>
      <c r="E124" s="9" t="str">
        <f ca="1">+WORLDCUP!BD59</f>
        <v>Canadá</v>
      </c>
      <c r="F124" s="9" t="str">
        <f ca="1">+WORLDCUP!BD61</f>
        <v>Australia</v>
      </c>
      <c r="G124" s="9" t="str">
        <f ca="1">+WORLDCUP!BD67</f>
        <v>Jordania</v>
      </c>
      <c r="H124" s="9" t="str">
        <f ca="1">+WORLDCUP!BD63</f>
        <v>Túnez</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Haití</v>
      </c>
      <c r="D125" s="9" t="str">
        <f ca="1">+WORLDCUP!BD64</f>
        <v>Irán</v>
      </c>
      <c r="E125" s="9" t="str">
        <f ca="1">+WORLDCUP!BD59</f>
        <v>Canadá</v>
      </c>
      <c r="F125" s="9" t="str">
        <f ca="1">+WORLDCUP!BD61</f>
        <v>Australia</v>
      </c>
      <c r="G125" s="9" t="str">
        <f ca="1">+WORLDCUP!BD67</f>
        <v>Jordania</v>
      </c>
      <c r="H125" s="9" t="str">
        <f ca="1">+WORLDCUP!BD63</f>
        <v>Túnez</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Haití</v>
      </c>
      <c r="D126" s="9" t="str">
        <f ca="1">+WORLDCUP!BD64</f>
        <v>Irán</v>
      </c>
      <c r="E126" s="9" t="str">
        <f ca="1">+WORLDCUP!BD59</f>
        <v>Canadá</v>
      </c>
      <c r="F126" s="9" t="str">
        <f ca="1">+WORLDCUP!BD61</f>
        <v>Australia</v>
      </c>
      <c r="G126" s="9" t="str">
        <f ca="1">+WORLDCUP!BD65</f>
        <v>Arabia Saudita</v>
      </c>
      <c r="H126" s="9" t="str">
        <f ca="1">+WORLDCUP!BD63</f>
        <v>Túnez</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Haití</v>
      </c>
      <c r="D127" s="9" t="str">
        <f ca="1">+WORLDCUP!BD64</f>
        <v>Irán</v>
      </c>
      <c r="E127" s="9" t="str">
        <f ca="1">+WORLDCUP!BD59</f>
        <v>Canadá</v>
      </c>
      <c r="F127" s="9" t="str">
        <f ca="1">+WORLDCUP!BD61</f>
        <v>Australia</v>
      </c>
      <c r="G127" s="9" t="str">
        <f ca="1">+WORLDCUP!BD65</f>
        <v>Arabia Saudita</v>
      </c>
      <c r="H127" s="9" t="str">
        <f ca="1">+WORLDCUP!BD63</f>
        <v>Túnez</v>
      </c>
      <c r="I127" s="9" t="str">
        <f ca="1">+WORLDCUP!BD69</f>
        <v>Ghana</v>
      </c>
      <c r="J127" s="9" t="str">
        <f ca="1">+WORLDCUP!BD67</f>
        <v>Jordania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Irán</v>
      </c>
      <c r="E128" s="9" t="str">
        <f ca="1">+WORLDCUP!BD59</f>
        <v>Canadá</v>
      </c>
      <c r="F128" s="9" t="str">
        <f ca="1">+WORLDCUP!BD60</f>
        <v>Haití</v>
      </c>
      <c r="G128" s="9" t="str">
        <f ca="1">+WORLDCUP!BD67</f>
        <v>Jordania</v>
      </c>
      <c r="H128" s="9" t="str">
        <f ca="1">+WORLDCUP!BD63</f>
        <v>Túnez</v>
      </c>
      <c r="I128" s="9" t="str">
        <f ca="1">+WORLDCUP!BD61</f>
        <v>Australia</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Haití</v>
      </c>
      <c r="D129" s="9" t="str">
        <f ca="1">+WORLDCUP!BD64</f>
        <v>Irán</v>
      </c>
      <c r="E129" s="9" t="str">
        <f ca="1">+WORLDCUP!BD59</f>
        <v>Canadá</v>
      </c>
      <c r="F129" s="9" t="str">
        <f ca="1">+WORLDCUP!BD61</f>
        <v>Australia</v>
      </c>
      <c r="G129" s="9" t="str">
        <f ca="1">+WORLDCUP!BD65</f>
        <v>Arabia Saudita</v>
      </c>
      <c r="H129" s="9" t="str">
        <f ca="1">+WORLDCUP!BD63</f>
        <v>Túnez</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Haití</v>
      </c>
      <c r="D130" s="9" t="str">
        <f ca="1">+WORLDCUP!BD64</f>
        <v>Irán</v>
      </c>
      <c r="E130" s="9" t="str">
        <f ca="1">+WORLDCUP!BD59</f>
        <v>Canadá</v>
      </c>
      <c r="F130" s="9" t="str">
        <f ca="1">+WORLDCUP!BD61</f>
        <v>Australia</v>
      </c>
      <c r="G130" s="9" t="str">
        <f ca="1">+WORLDCUP!BD65</f>
        <v>Arabia Saudita</v>
      </c>
      <c r="H130" s="9" t="str">
        <f ca="1">+WORLDCUP!BD63</f>
        <v>Túnez</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Irán</v>
      </c>
      <c r="E131" s="9" t="str">
        <f ca="1">+WORLDCUP!BD59</f>
        <v>Canadá</v>
      </c>
      <c r="F131" s="9" t="str">
        <f ca="1">+WORLDCUP!BD60</f>
        <v>Haití</v>
      </c>
      <c r="G131" s="9" t="str">
        <f ca="1">+WORLDCUP!BD67</f>
        <v>Jordania</v>
      </c>
      <c r="H131" s="9" t="str">
        <f ca="1">+WORLDCUP!BD63</f>
        <v>Túnez</v>
      </c>
      <c r="I131" s="9" t="str">
        <f ca="1">+WORLDCUP!BD61</f>
        <v>Australia</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Costa de Marfil</v>
      </c>
      <c r="D132" s="9" t="str">
        <f ca="1">+WORLDCUP!BD67</f>
        <v>Jordania</v>
      </c>
      <c r="E132" s="9" t="str">
        <f ca="1">+WORLDCUP!BD59</f>
        <v>Canadá</v>
      </c>
      <c r="F132" s="9" t="str">
        <f ca="1">+WORLDCUP!BD60</f>
        <v>Haití</v>
      </c>
      <c r="G132" s="9" t="str">
        <f ca="1">+WORLDCUP!BD66</f>
        <v>Senegal</v>
      </c>
      <c r="H132" s="9" t="str">
        <f ca="1">+WORLDCUP!BD61</f>
        <v>Australia</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Costa de Marfil</v>
      </c>
      <c r="D133" s="9" t="str">
        <f ca="1">+WORLDCUP!BD67</f>
        <v>Jordania</v>
      </c>
      <c r="E133" s="9" t="str">
        <f ca="1">+WORLDCUP!BD59</f>
        <v>Canadá</v>
      </c>
      <c r="F133" s="9" t="str">
        <f ca="1">+WORLDCUP!BD60</f>
        <v>Haití</v>
      </c>
      <c r="G133" s="9" t="str">
        <f ca="1">+WORLDCUP!BD65</f>
        <v>Arabia Saudita</v>
      </c>
      <c r="H133" s="9" t="str">
        <f ca="1">+WORLDCUP!BD61</f>
        <v>Australia</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Costa de Marfil</v>
      </c>
      <c r="D134" s="9" t="str">
        <f ca="1">+WORLDCUP!BD66</f>
        <v>Senegal</v>
      </c>
      <c r="E134" s="9" t="str">
        <f ca="1">+WORLDCUP!BD59</f>
        <v>Canadá</v>
      </c>
      <c r="F134" s="9" t="str">
        <f ca="1">+WORLDCUP!BD60</f>
        <v>Haití</v>
      </c>
      <c r="G134" s="9" t="str">
        <f ca="1">+WORLDCUP!BD65</f>
        <v>Arabia Saudita</v>
      </c>
      <c r="H134" s="9" t="str">
        <f ca="1">+WORLDCUP!BD61</f>
        <v>Australia</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Costa de Marfil</v>
      </c>
      <c r="D135" s="9" t="str">
        <f ca="1">+WORLDCUP!BD67</f>
        <v>Jordania</v>
      </c>
      <c r="E135" s="9" t="str">
        <f ca="1">+WORLDCUP!BD59</f>
        <v>Canadá</v>
      </c>
      <c r="F135" s="9" t="str">
        <f ca="1">+WORLDCUP!BD60</f>
        <v>Haití</v>
      </c>
      <c r="G135" s="9" t="str">
        <f ca="1">+WORLDCUP!BD65</f>
        <v>Arabia Saudita</v>
      </c>
      <c r="H135" s="9" t="str">
        <f ca="1">+WORLDCUP!BD61</f>
        <v>Australia</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Costa de Marfil</v>
      </c>
      <c r="D136" s="9" t="str">
        <f ca="1">+WORLDCUP!BD67</f>
        <v>Jordania</v>
      </c>
      <c r="E136" s="9" t="str">
        <f ca="1">+WORLDCUP!BD59</f>
        <v>Canadá</v>
      </c>
      <c r="F136" s="9" t="str">
        <f ca="1">+WORLDCUP!BD60</f>
        <v>Haití</v>
      </c>
      <c r="G136" s="9" t="str">
        <f ca="1">+WORLDCUP!BD65</f>
        <v>Arabia Saudita</v>
      </c>
      <c r="H136" s="9" t="str">
        <f ca="1">+WORLDCUP!BD61</f>
        <v>Australia</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Costa de Marfil</v>
      </c>
      <c r="D137" s="9" t="str">
        <f ca="1">+WORLDCUP!BD64</f>
        <v>Irán</v>
      </c>
      <c r="E137" s="9" t="str">
        <f ca="1">+WORLDCUP!BD59</f>
        <v>Canadá</v>
      </c>
      <c r="F137" s="9" t="str">
        <f ca="1">+WORLDCUP!BD60</f>
        <v>Haití</v>
      </c>
      <c r="G137" s="9" t="str">
        <f ca="1">+WORLDCUP!BD67</f>
        <v>Jordania</v>
      </c>
      <c r="H137" s="9" t="str">
        <f ca="1">+WORLDCUP!BD61</f>
        <v>Australia</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Costa de Marfil</v>
      </c>
      <c r="D138" s="9" t="str">
        <f ca="1">+WORLDCUP!BD64</f>
        <v>Irán</v>
      </c>
      <c r="E138" s="9" t="str">
        <f ca="1">+WORLDCUP!BD59</f>
        <v>Canadá</v>
      </c>
      <c r="F138" s="9" t="str">
        <f ca="1">+WORLDCUP!BD60</f>
        <v>Haití</v>
      </c>
      <c r="G138" s="9" t="str">
        <f ca="1">+WORLDCUP!BD66</f>
        <v>Senegal</v>
      </c>
      <c r="H138" s="9" t="str">
        <f ca="1">+WORLDCUP!BD61</f>
        <v>Australia</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Costa de Marfil</v>
      </c>
      <c r="D139" s="9" t="str">
        <f ca="1">+WORLDCUP!BD64</f>
        <v>Irán</v>
      </c>
      <c r="E139" s="9" t="str">
        <f ca="1">+WORLDCUP!BD59</f>
        <v>Canadá</v>
      </c>
      <c r="F139" s="9" t="str">
        <f ca="1">+WORLDCUP!BD60</f>
        <v>Haití</v>
      </c>
      <c r="G139" s="9" t="str">
        <f ca="1">+WORLDCUP!BD67</f>
        <v>Jordania</v>
      </c>
      <c r="H139" s="9" t="str">
        <f ca="1">+WORLDCUP!BD61</f>
        <v>Australia</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Costa de Marfil</v>
      </c>
      <c r="D140" s="9" t="str">
        <f ca="1">+WORLDCUP!BD64</f>
        <v>Irán</v>
      </c>
      <c r="E140" s="9" t="str">
        <f ca="1">+WORLDCUP!BD59</f>
        <v>Canadá</v>
      </c>
      <c r="F140" s="9" t="str">
        <f ca="1">+WORLDCUP!BD60</f>
        <v>Haití</v>
      </c>
      <c r="G140" s="9" t="str">
        <f ca="1">+WORLDCUP!BD67</f>
        <v>Jordania</v>
      </c>
      <c r="H140" s="9" t="str">
        <f ca="1">+WORLDCUP!BD61</f>
        <v>Australia</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Costa de Marfil</v>
      </c>
      <c r="D141" s="9" t="str">
        <f ca="1">+WORLDCUP!BD64</f>
        <v>Irán</v>
      </c>
      <c r="E141" s="9" t="str">
        <f ca="1">+WORLDCUP!BD59</f>
        <v>Canadá</v>
      </c>
      <c r="F141" s="9" t="str">
        <f ca="1">+WORLDCUP!BD60</f>
        <v>Haití</v>
      </c>
      <c r="G141" s="9" t="str">
        <f ca="1">+WORLDCUP!BD65</f>
        <v>Arabia Saudita</v>
      </c>
      <c r="H141" s="9" t="str">
        <f ca="1">+WORLDCUP!BD61</f>
        <v>Australia</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Irán</v>
      </c>
      <c r="E142" s="9" t="str">
        <f ca="1">+WORLDCUP!BD59</f>
        <v>Canadá</v>
      </c>
      <c r="F142" s="9" t="str">
        <f ca="1">+WORLDCUP!BD60</f>
        <v>Haití</v>
      </c>
      <c r="G142" s="9" t="str">
        <f ca="1">+WORLDCUP!BD67</f>
        <v>Jordania</v>
      </c>
      <c r="H142" s="9" t="str">
        <f ca="1">+WORLDCUP!BD61</f>
        <v>Australia</v>
      </c>
      <c r="I142" s="9" t="str">
        <f ca="1">+WORLDCUP!BD69</f>
        <v>Ghana</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Irán</v>
      </c>
      <c r="E143" s="9" t="str">
        <f ca="1">+WORLDCUP!BD59</f>
        <v>Canadá</v>
      </c>
      <c r="F143" s="9" t="str">
        <f ca="1">+WORLDCUP!BD60</f>
        <v>Haití</v>
      </c>
      <c r="G143" s="9" t="str">
        <f ca="1">+WORLDCUP!BD67</f>
        <v>Jordania</v>
      </c>
      <c r="H143" s="9" t="str">
        <f ca="1">+WORLDCUP!BD61</f>
        <v>Australia</v>
      </c>
      <c r="I143" s="9" t="str">
        <f ca="1">+WORLDCUP!BD62</f>
        <v>Costa de Marfil</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Costa de Marfil</v>
      </c>
      <c r="D144" s="9" t="str">
        <f ca="1">+WORLDCUP!BD64</f>
        <v>Irán</v>
      </c>
      <c r="E144" s="9" t="str">
        <f ca="1">+WORLDCUP!BD59</f>
        <v>Canadá</v>
      </c>
      <c r="F144" s="9" t="str">
        <f ca="1">+WORLDCUP!BD60</f>
        <v>Haití</v>
      </c>
      <c r="G144" s="9" t="str">
        <f ca="1">+WORLDCUP!BD65</f>
        <v>Arabia Saudita</v>
      </c>
      <c r="H144" s="9" t="str">
        <f ca="1">+WORLDCUP!BD61</f>
        <v>Australia</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Costa de Marfil</v>
      </c>
      <c r="D145" s="9" t="str">
        <f ca="1">+WORLDCUP!BD64</f>
        <v>Irán</v>
      </c>
      <c r="E145" s="9" t="str">
        <f ca="1">+WORLDCUP!BD59</f>
        <v>Canadá</v>
      </c>
      <c r="F145" s="9" t="str">
        <f ca="1">+WORLDCUP!BD60</f>
        <v>Haití</v>
      </c>
      <c r="G145" s="9" t="str">
        <f ca="1">+WORLDCUP!BD65</f>
        <v>Arabia Saudita</v>
      </c>
      <c r="H145" s="9" t="str">
        <f ca="1">+WORLDCUP!BD61</f>
        <v>Australia</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Irán</v>
      </c>
      <c r="E146" s="9" t="str">
        <f ca="1">+WORLDCUP!BD59</f>
        <v>Canadá</v>
      </c>
      <c r="F146" s="9" t="str">
        <f ca="1">+WORLDCUP!BD60</f>
        <v>Haití</v>
      </c>
      <c r="G146" s="9" t="str">
        <f ca="1">+WORLDCUP!BD67</f>
        <v>Jordania</v>
      </c>
      <c r="H146" s="9" t="str">
        <f ca="1">+WORLDCUP!BD61</f>
        <v>Australia</v>
      </c>
      <c r="I146" s="9" t="str">
        <f ca="1">+WORLDCUP!BD62</f>
        <v>Costa de Marfil</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Haití</v>
      </c>
      <c r="D147" s="9" t="str">
        <f ca="1">+WORLDCUP!BD67</f>
        <v>Jordania</v>
      </c>
      <c r="E147" s="9" t="str">
        <f ca="1">+WORLDCUP!BD59</f>
        <v>Canadá</v>
      </c>
      <c r="F147" s="9" t="str">
        <f ca="1">+WORLDCUP!BD61</f>
        <v>Australia</v>
      </c>
      <c r="G147" s="9" t="str">
        <f ca="1">+WORLDCUP!BD62</f>
        <v>Costa de Marfil</v>
      </c>
      <c r="H147" s="9" t="str">
        <f ca="1">+WORLDCUP!BD63</f>
        <v>Túnez</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Haití</v>
      </c>
      <c r="D148" s="9" t="str">
        <f ca="1">+WORLDCUP!BD62</f>
        <v>Costa de Marfil</v>
      </c>
      <c r="E148" s="9" t="str">
        <f ca="1">+WORLDCUP!BD59</f>
        <v>Canadá</v>
      </c>
      <c r="F148" s="9" t="str">
        <f ca="1">+WORLDCUP!BD61</f>
        <v>Australia</v>
      </c>
      <c r="G148" s="9" t="str">
        <f ca="1">+WORLDCUP!BD66</f>
        <v>Senegal</v>
      </c>
      <c r="H148" s="9" t="str">
        <f ca="1">+WORLDCUP!BD63</f>
        <v>Túnez</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Haití</v>
      </c>
      <c r="D149" s="9" t="str">
        <f ca="1">+WORLDCUP!BD67</f>
        <v>Jordania</v>
      </c>
      <c r="E149" s="9" t="str">
        <f ca="1">+WORLDCUP!BD59</f>
        <v>Canadá</v>
      </c>
      <c r="F149" s="9" t="str">
        <f ca="1">+WORLDCUP!BD61</f>
        <v>Australia</v>
      </c>
      <c r="G149" s="9" t="str">
        <f ca="1">+WORLDCUP!BD62</f>
        <v>Costa de Marfil</v>
      </c>
      <c r="H149" s="9" t="str">
        <f ca="1">+WORLDCUP!BD63</f>
        <v>Túnez</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Haití</v>
      </c>
      <c r="D150" s="9" t="str">
        <f ca="1">+WORLDCUP!BD67</f>
        <v>Jordania</v>
      </c>
      <c r="E150" s="9" t="str">
        <f ca="1">+WORLDCUP!BD59</f>
        <v>Canadá</v>
      </c>
      <c r="F150" s="9" t="str">
        <f ca="1">+WORLDCUP!BD61</f>
        <v>Australia</v>
      </c>
      <c r="G150" s="9" t="str">
        <f ca="1">+WORLDCUP!BD62</f>
        <v>Costa de Marfil</v>
      </c>
      <c r="H150" s="9" t="str">
        <f ca="1">+WORLDCUP!BD63</f>
        <v>Túnez</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Haití</v>
      </c>
      <c r="D151" s="9" t="str">
        <f ca="1">+WORLDCUP!BD62</f>
        <v>Costa de Marfil</v>
      </c>
      <c r="E151" s="9" t="str">
        <f ca="1">+WORLDCUP!BD59</f>
        <v>Canadá</v>
      </c>
      <c r="F151" s="9" t="str">
        <f ca="1">+WORLDCUP!BD61</f>
        <v>Australia</v>
      </c>
      <c r="G151" s="9" t="str">
        <f ca="1">+WORLDCUP!BD65</f>
        <v>Arabia Saudita</v>
      </c>
      <c r="H151" s="9" t="str">
        <f ca="1">+WORLDCUP!BD63</f>
        <v>Túnez</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Haití</v>
      </c>
      <c r="D152" s="9" t="str">
        <f ca="1">+WORLDCUP!BD67</f>
        <v>Jordania</v>
      </c>
      <c r="E152" s="9" t="str">
        <f ca="1">+WORLDCUP!BD59</f>
        <v>Canadá</v>
      </c>
      <c r="F152" s="9" t="str">
        <f ca="1">+WORLDCUP!BD61</f>
        <v>Australia</v>
      </c>
      <c r="G152" s="9" t="str">
        <f ca="1">+WORLDCUP!BD65</f>
        <v>Arabia Saudita</v>
      </c>
      <c r="H152" s="9" t="str">
        <f ca="1">+WORLDCUP!BD63</f>
        <v>Túnez</v>
      </c>
      <c r="I152" s="9" t="str">
        <f ca="1">+WORLDCUP!BD69</f>
        <v>Ghana</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Haití</v>
      </c>
      <c r="D153" s="9" t="str">
        <f ca="1">+WORLDCUP!BD67</f>
        <v>Jordania</v>
      </c>
      <c r="E153" s="9" t="str">
        <f ca="1">+WORLDCUP!BD59</f>
        <v>Canadá</v>
      </c>
      <c r="F153" s="9" t="str">
        <f ca="1">+WORLDCUP!BD61</f>
        <v>Australia</v>
      </c>
      <c r="G153" s="9" t="str">
        <f ca="1">+WORLDCUP!BD65</f>
        <v>Arabia Saudita</v>
      </c>
      <c r="H153" s="9" t="str">
        <f ca="1">+WORLDCUP!BD63</f>
        <v>Túnez</v>
      </c>
      <c r="I153" s="9" t="str">
        <f ca="1">+WORLDCUP!BD62</f>
        <v>Costa de Marfil</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Haití</v>
      </c>
      <c r="D154" s="9" t="str">
        <f ca="1">+WORLDCUP!BD62</f>
        <v>Costa de Marfil</v>
      </c>
      <c r="E154" s="9" t="str">
        <f ca="1">+WORLDCUP!BD59</f>
        <v>Canadá</v>
      </c>
      <c r="F154" s="9" t="str">
        <f ca="1">+WORLDCUP!BD61</f>
        <v>Australia</v>
      </c>
      <c r="G154" s="9" t="str">
        <f ca="1">+WORLDCUP!BD65</f>
        <v>Arabia Saudita</v>
      </c>
      <c r="H154" s="9" t="str">
        <f ca="1">+WORLDCUP!BD63</f>
        <v>Túnez</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Haití</v>
      </c>
      <c r="D155" s="9" t="str">
        <f ca="1">+WORLDCUP!BD62</f>
        <v>Costa de Marfil</v>
      </c>
      <c r="E155" s="9" t="str">
        <f ca="1">+WORLDCUP!BD59</f>
        <v>Canadá</v>
      </c>
      <c r="F155" s="9" t="str">
        <f ca="1">+WORLDCUP!BD61</f>
        <v>Australia</v>
      </c>
      <c r="G155" s="9" t="str">
        <f ca="1">+WORLDCUP!BD65</f>
        <v>Arabia Saudita</v>
      </c>
      <c r="H155" s="9" t="str">
        <f ca="1">+WORLDCUP!BD63</f>
        <v>Túnez</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Haití</v>
      </c>
      <c r="D156" s="9" t="str">
        <f ca="1">+WORLDCUP!BD67</f>
        <v>Jordania</v>
      </c>
      <c r="E156" s="9" t="str">
        <f ca="1">+WORLDCUP!BD59</f>
        <v>Canadá</v>
      </c>
      <c r="F156" s="9" t="str">
        <f ca="1">+WORLDCUP!BD61</f>
        <v>Australia</v>
      </c>
      <c r="G156" s="9" t="str">
        <f ca="1">+WORLDCUP!BD65</f>
        <v>Arabia Saudita</v>
      </c>
      <c r="H156" s="9" t="str">
        <f ca="1">+WORLDCUP!BD63</f>
        <v>Túnez</v>
      </c>
      <c r="I156" s="9" t="str">
        <f ca="1">+WORLDCUP!BD62</f>
        <v>Costa de Marfil</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Haití</v>
      </c>
      <c r="D157" s="9" t="str">
        <f ca="1">+WORLDCUP!BD64</f>
        <v>Irán</v>
      </c>
      <c r="E157" s="9" t="str">
        <f ca="1">+WORLDCUP!BD59</f>
        <v>Canadá</v>
      </c>
      <c r="F157" s="9" t="str">
        <f ca="1">+WORLDCUP!BD61</f>
        <v>Australia</v>
      </c>
      <c r="G157" s="9" t="str">
        <f ca="1">+WORLDCUP!BD62</f>
        <v>Costa de Marfil</v>
      </c>
      <c r="H157" s="9" t="str">
        <f ca="1">+WORLDCUP!BD63</f>
        <v>Túnez</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Haití</v>
      </c>
      <c r="D158" s="9" t="str">
        <f ca="1">+WORLDCUP!BD64</f>
        <v>Irán</v>
      </c>
      <c r="E158" s="9" t="str">
        <f ca="1">+WORLDCUP!BD59</f>
        <v>Canadá</v>
      </c>
      <c r="F158" s="9" t="str">
        <f ca="1">+WORLDCUP!BD61</f>
        <v>Australia</v>
      </c>
      <c r="G158" s="9" t="str">
        <f ca="1">+WORLDCUP!BD67</f>
        <v>Jordania</v>
      </c>
      <c r="H158" s="9" t="str">
        <f ca="1">+WORLDCUP!BD63</f>
        <v>Túnez</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Haití</v>
      </c>
      <c r="D159" s="9" t="str">
        <f ca="1">+WORLDCUP!BD64</f>
        <v>Irán</v>
      </c>
      <c r="E159" s="9" t="str">
        <f ca="1">+WORLDCUP!BD59</f>
        <v>Canadá</v>
      </c>
      <c r="F159" s="9" t="str">
        <f ca="1">+WORLDCUP!BD61</f>
        <v>Australia</v>
      </c>
      <c r="G159" s="9" t="str">
        <f ca="1">+WORLDCUP!BD67</f>
        <v>Jordania</v>
      </c>
      <c r="H159" s="9" t="str">
        <f ca="1">+WORLDCUP!BD63</f>
        <v>Túnez</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Haití</v>
      </c>
      <c r="D160" s="9" t="str">
        <f ca="1">+WORLDCUP!BD64</f>
        <v>Irán</v>
      </c>
      <c r="E160" s="9" t="str">
        <f ca="1">+WORLDCUP!BD59</f>
        <v>Canadá</v>
      </c>
      <c r="F160" s="9" t="str">
        <f ca="1">+WORLDCUP!BD61</f>
        <v>Australia</v>
      </c>
      <c r="G160" s="9" t="str">
        <f ca="1">+WORLDCUP!BD62</f>
        <v>Costa de Marfil</v>
      </c>
      <c r="H160" s="9" t="str">
        <f ca="1">+WORLDCUP!BD63</f>
        <v>Túnez</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Haití</v>
      </c>
      <c r="D161" s="9" t="str">
        <f ca="1">+WORLDCUP!BD64</f>
        <v>Irán</v>
      </c>
      <c r="E161" s="9" t="str">
        <f ca="1">+WORLDCUP!BD59</f>
        <v>Canadá</v>
      </c>
      <c r="F161" s="9" t="str">
        <f ca="1">+WORLDCUP!BD61</f>
        <v>Australia</v>
      </c>
      <c r="G161" s="9" t="str">
        <f ca="1">+WORLDCUP!BD62</f>
        <v>Costa de Marfil</v>
      </c>
      <c r="H161" s="9" t="str">
        <f ca="1">+WORLDCUP!BD63</f>
        <v>Túnez</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Haití</v>
      </c>
      <c r="D162" s="9" t="str">
        <f ca="1">+WORLDCUP!BD64</f>
        <v>Irán</v>
      </c>
      <c r="E162" s="9" t="str">
        <f ca="1">+WORLDCUP!BD59</f>
        <v>Canadá</v>
      </c>
      <c r="F162" s="9" t="str">
        <f ca="1">+WORLDCUP!BD61</f>
        <v>Australia</v>
      </c>
      <c r="G162" s="9" t="str">
        <f ca="1">+WORLDCUP!BD67</f>
        <v>Jordania</v>
      </c>
      <c r="H162" s="9" t="str">
        <f ca="1">+WORLDCUP!BD63</f>
        <v>Túnez</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Haití</v>
      </c>
      <c r="D163" s="9" t="str">
        <f ca="1">+WORLDCUP!BD64</f>
        <v>Irán</v>
      </c>
      <c r="E163" s="9" t="str">
        <f ca="1">+WORLDCUP!BD59</f>
        <v>Canadá</v>
      </c>
      <c r="F163" s="9" t="str">
        <f ca="1">+WORLDCUP!BD61</f>
        <v>Australia</v>
      </c>
      <c r="G163" s="9" t="str">
        <f ca="1">+WORLDCUP!BD65</f>
        <v>Arabia Saudita</v>
      </c>
      <c r="H163" s="9" t="str">
        <f ca="1">+WORLDCUP!BD63</f>
        <v>Túnez</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Haití</v>
      </c>
      <c r="D164" s="9" t="str">
        <f ca="1">+WORLDCUP!BD64</f>
        <v>Irán</v>
      </c>
      <c r="E164" s="9" t="str">
        <f ca="1">+WORLDCUP!BD59</f>
        <v>Canadá</v>
      </c>
      <c r="F164" s="9" t="str">
        <f ca="1">+WORLDCUP!BD61</f>
        <v>Australia</v>
      </c>
      <c r="G164" s="9" t="str">
        <f ca="1">+WORLDCUP!BD65</f>
        <v>Arabia Saudita</v>
      </c>
      <c r="H164" s="9" t="str">
        <f ca="1">+WORLDCUP!BD63</f>
        <v>Túnez</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Canadá</v>
      </c>
      <c r="F165" s="9" t="str">
        <f ca="1">+WORLDCUP!BD60</f>
        <v>Haití</v>
      </c>
      <c r="G165" s="9" t="str">
        <f ca="1">+WORLDCUP!BD67</f>
        <v>Jordania</v>
      </c>
      <c r="H165" s="9" t="str">
        <f ca="1">+WORLDCUP!BD63</f>
        <v>Túnez</v>
      </c>
      <c r="I165" s="9" t="str">
        <f ca="1">+WORLDCUP!BD61</f>
        <v>Australia</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Haití</v>
      </c>
      <c r="D166" s="9" t="str">
        <f ca="1">+WORLDCUP!BD64</f>
        <v>Irán</v>
      </c>
      <c r="E166" s="9" t="str">
        <f ca="1">+WORLDCUP!BD59</f>
        <v>Canadá</v>
      </c>
      <c r="F166" s="9" t="str">
        <f ca="1">+WORLDCUP!BD61</f>
        <v>Australia</v>
      </c>
      <c r="G166" s="9" t="str">
        <f ca="1">+WORLDCUP!BD65</f>
        <v>Arabia Saudita</v>
      </c>
      <c r="H166" s="9" t="str">
        <f ca="1">+WORLDCUP!BD63</f>
        <v>Túnez</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Jordania</v>
      </c>
      <c r="E167" s="9" t="str">
        <f ca="1">+WORLDCUP!BD66</f>
        <v>Senegal</v>
      </c>
      <c r="F167" s="9" t="str">
        <f ca="1">+WORLDCUP!BD63</f>
        <v>Túnez</v>
      </c>
      <c r="G167" s="9" t="str">
        <f ca="1">+WORLDCUP!BD58</f>
        <v>México</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Costa de Marfil</v>
      </c>
      <c r="D168" s="9" t="str">
        <f ca="1">+WORLDCUP!BD67</f>
        <v>Jordania</v>
      </c>
      <c r="E168" s="9" t="str">
        <f ca="1">+WORLDCUP!BD66</f>
        <v>Senegal</v>
      </c>
      <c r="F168" s="9" t="str">
        <f ca="1">+WORLDCUP!BD58</f>
        <v>México</v>
      </c>
      <c r="G168" s="9" t="str">
        <f ca="1">+WORLDCUP!BD65</f>
        <v>Arabia Saudita</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Costa de Marfil</v>
      </c>
      <c r="D169" s="9" t="str">
        <f ca="1">+WORLDCUP!BD67</f>
        <v>Jordania</v>
      </c>
      <c r="E169" s="9" t="str">
        <f ca="1">+WORLDCUP!BD66</f>
        <v>Senegal</v>
      </c>
      <c r="F169" s="9" t="str">
        <f ca="1">+WORLDCUP!BD63</f>
        <v>Túnez</v>
      </c>
      <c r="G169" s="9" t="str">
        <f ca="1">+WORLDCUP!BD58</f>
        <v>México</v>
      </c>
      <c r="H169" s="9" t="str">
        <f ca="1">+WORLDCUP!BD65</f>
        <v>Arabia Saudita</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Costa de Marfil</v>
      </c>
      <c r="D170" s="9" t="str">
        <f ca="1">+WORLDCUP!BD67</f>
        <v>Jordania</v>
      </c>
      <c r="E170" s="9" t="str">
        <f ca="1">+WORLDCUP!BD66</f>
        <v>Senegal</v>
      </c>
      <c r="F170" s="9" t="str">
        <f ca="1">+WORLDCUP!BD63</f>
        <v>Túnez</v>
      </c>
      <c r="G170" s="9" t="str">
        <f ca="1">+WORLDCUP!BD58</f>
        <v>México</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Costa de Marfil</v>
      </c>
      <c r="D171" s="9" t="str">
        <f ca="1">+WORLDCUP!BD64</f>
        <v>Irán</v>
      </c>
      <c r="E171" s="9" t="str">
        <f ca="1">+WORLDCUP!BD67</f>
        <v>Jordania</v>
      </c>
      <c r="F171" s="9" t="str">
        <f ca="1">+WORLDCUP!BD63</f>
        <v>Túnez</v>
      </c>
      <c r="G171" s="9" t="str">
        <f ca="1">+WORLDCUP!BD58</f>
        <v>México</v>
      </c>
      <c r="H171" s="9" t="str">
        <f ca="1">+WORLDCUP!BD65</f>
        <v>Arabia Saudita</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Costa de Marfil</v>
      </c>
      <c r="D172" s="9" t="str">
        <f ca="1">+WORLDCUP!BD64</f>
        <v>Irán</v>
      </c>
      <c r="E172" s="9" t="str">
        <f ca="1">+WORLDCUP!BD66</f>
        <v>Senegal</v>
      </c>
      <c r="F172" s="9" t="str">
        <f ca="1">+WORLDCUP!BD63</f>
        <v>Túnez</v>
      </c>
      <c r="G172" s="9" t="str">
        <f ca="1">+WORLDCUP!BD58</f>
        <v>México</v>
      </c>
      <c r="H172" s="9" t="str">
        <f ca="1">+WORLDCUP!BD65</f>
        <v>Arabia Saudita</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Costa de Marfil</v>
      </c>
      <c r="D173" s="9" t="str">
        <f ca="1">+WORLDCUP!BD64</f>
        <v>Irán</v>
      </c>
      <c r="E173" s="9" t="str">
        <f ca="1">+WORLDCUP!BD67</f>
        <v>Jordania</v>
      </c>
      <c r="F173" s="9" t="str">
        <f ca="1">+WORLDCUP!BD63</f>
        <v>Túnez</v>
      </c>
      <c r="G173" s="9" t="str">
        <f ca="1">+WORLDCUP!BD58</f>
        <v>México</v>
      </c>
      <c r="H173" s="9" t="str">
        <f ca="1">+WORLDCUP!BD65</f>
        <v>Arabia Saudita</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Costa de Marfil</v>
      </c>
      <c r="D174" s="9" t="str">
        <f ca="1">+WORLDCUP!BD64</f>
        <v>Irán</v>
      </c>
      <c r="E174" s="9" t="str">
        <f ca="1">+WORLDCUP!BD67</f>
        <v>Jordania</v>
      </c>
      <c r="F174" s="9" t="str">
        <f ca="1">+WORLDCUP!BD63</f>
        <v>Túnez</v>
      </c>
      <c r="G174" s="9" t="str">
        <f ca="1">+WORLDCUP!BD58</f>
        <v>México</v>
      </c>
      <c r="H174" s="9" t="str">
        <f ca="1">+WORLDCUP!BD65</f>
        <v>Arabia Saudita</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Jordania</v>
      </c>
      <c r="E175" s="9" t="str">
        <f ca="1">+WORLDCUP!BD66</f>
        <v>Senegal</v>
      </c>
      <c r="F175" s="9" t="str">
        <f ca="1">+WORLDCUP!BD61</f>
        <v>Australia</v>
      </c>
      <c r="G175" s="9" t="str">
        <f ca="1">+WORLDCUP!BD58</f>
        <v>México</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Jordania</v>
      </c>
      <c r="E176" s="9" t="str">
        <f ca="1">+WORLDCUP!BD66</f>
        <v>Senegal</v>
      </c>
      <c r="F176" s="9" t="str">
        <f ca="1">+WORLDCUP!BD61</f>
        <v>Australia</v>
      </c>
      <c r="G176" s="9" t="str">
        <f ca="1">+WORLDCUP!BD58</f>
        <v>México</v>
      </c>
      <c r="H176" s="9" t="str">
        <f ca="1">+WORLDCUP!BD63</f>
        <v>Túnez</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Irán</v>
      </c>
      <c r="E177" s="9" t="str">
        <f ca="1">+WORLDCUP!BD67</f>
        <v>Jordania</v>
      </c>
      <c r="F177" s="9" t="str">
        <f ca="1">+WORLDCUP!BD61</f>
        <v>Australia</v>
      </c>
      <c r="G177" s="9" t="str">
        <f ca="1">+WORLDCUP!BD58</f>
        <v>México</v>
      </c>
      <c r="H177" s="9" t="str">
        <f ca="1">+WORLDCUP!BD63</f>
        <v>Túnez</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Irán</v>
      </c>
      <c r="E178" s="9" t="str">
        <f ca="1">+WORLDCUP!BD67</f>
        <v>Jordania</v>
      </c>
      <c r="F178" s="9" t="str">
        <f ca="1">+WORLDCUP!BD61</f>
        <v>Australia</v>
      </c>
      <c r="G178" s="9" t="str">
        <f ca="1">+WORLDCUP!BD58</f>
        <v>México</v>
      </c>
      <c r="H178" s="9" t="str">
        <f ca="1">+WORLDCUP!BD63</f>
        <v>Túnez</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Irán</v>
      </c>
      <c r="E179" s="9" t="str">
        <f ca="1">+WORLDCUP!BD66</f>
        <v>Senegal</v>
      </c>
      <c r="F179" s="9" t="str">
        <f ca="1">+WORLDCUP!BD61</f>
        <v>Australia</v>
      </c>
      <c r="G179" s="9" t="str">
        <f ca="1">+WORLDCUP!BD58</f>
        <v>México</v>
      </c>
      <c r="H179" s="9" t="str">
        <f ca="1">+WORLDCUP!BD63</f>
        <v>Túnez</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Irán</v>
      </c>
      <c r="E180" s="9" t="str">
        <f ca="1">+WORLDCUP!BD67</f>
        <v>Jordania</v>
      </c>
      <c r="F180" s="9" t="str">
        <f ca="1">+WORLDCUP!BD61</f>
        <v>Australia</v>
      </c>
      <c r="G180" s="9" t="str">
        <f ca="1">+WORLDCUP!BD58</f>
        <v>México</v>
      </c>
      <c r="H180" s="9" t="str">
        <f ca="1">+WORLDCUP!BD63</f>
        <v>Túnez</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Irán</v>
      </c>
      <c r="E181" s="9" t="str">
        <f ca="1">+WORLDCUP!BD67</f>
        <v>Jordania</v>
      </c>
      <c r="F181" s="9" t="str">
        <f ca="1">+WORLDCUP!BD61</f>
        <v>Australia</v>
      </c>
      <c r="G181" s="9" t="str">
        <f ca="1">+WORLDCUP!BD58</f>
        <v>México</v>
      </c>
      <c r="H181" s="9" t="str">
        <f ca="1">+WORLDCUP!BD63</f>
        <v>Túnez</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Costa de Marfil</v>
      </c>
      <c r="D182" s="9" t="str">
        <f ca="1">+WORLDCUP!BD67</f>
        <v>Jordania</v>
      </c>
      <c r="E182" s="9" t="str">
        <f ca="1">+WORLDCUP!BD66</f>
        <v>Senegal</v>
      </c>
      <c r="F182" s="9" t="str">
        <f ca="1">+WORLDCUP!BD61</f>
        <v>Australia</v>
      </c>
      <c r="G182" s="9" t="str">
        <f ca="1">+WORLDCUP!BD58</f>
        <v>México</v>
      </c>
      <c r="H182" s="9" t="str">
        <f ca="1">+WORLDCUP!BD65</f>
        <v>Arabia Saudita</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Costa de Marfil</v>
      </c>
      <c r="D183" s="9" t="str">
        <f ca="1">+WORLDCUP!BD67</f>
        <v>Jordania</v>
      </c>
      <c r="E183" s="9" t="str">
        <f ca="1">+WORLDCUP!BD66</f>
        <v>Senegal</v>
      </c>
      <c r="F183" s="9" t="str">
        <f ca="1">+WORLDCUP!BD61</f>
        <v>Australia</v>
      </c>
      <c r="G183" s="9" t="str">
        <f ca="1">+WORLDCUP!BD58</f>
        <v>México</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Costa de Marfil</v>
      </c>
      <c r="D184" s="9" t="str">
        <f ca="1">+WORLDCUP!BD64</f>
        <v>Irán</v>
      </c>
      <c r="E184" s="9" t="str">
        <f ca="1">+WORLDCUP!BD67</f>
        <v>Jordania</v>
      </c>
      <c r="F184" s="9" t="str">
        <f ca="1">+WORLDCUP!BD61</f>
        <v>Australia</v>
      </c>
      <c r="G184" s="9" t="str">
        <f ca="1">+WORLDCUP!BD58</f>
        <v>México</v>
      </c>
      <c r="H184" s="9" t="str">
        <f ca="1">+WORLDCUP!BD65</f>
        <v>Arabia Saudita</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Costa de Marfil</v>
      </c>
      <c r="D185" s="9" t="str">
        <f ca="1">+WORLDCUP!BD64</f>
        <v>Irán</v>
      </c>
      <c r="E185" s="9" t="str">
        <f ca="1">+WORLDCUP!BD66</f>
        <v>Senegal</v>
      </c>
      <c r="F185" s="9" t="str">
        <f ca="1">+WORLDCUP!BD61</f>
        <v>Australia</v>
      </c>
      <c r="G185" s="9" t="str">
        <f ca="1">+WORLDCUP!BD58</f>
        <v>México</v>
      </c>
      <c r="H185" s="9" t="str">
        <f ca="1">+WORLDCUP!BD65</f>
        <v>Arabia Saudita</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Costa de Marfil</v>
      </c>
      <c r="D186" s="9" t="str">
        <f ca="1">+WORLDCUP!BD64</f>
        <v>Irán</v>
      </c>
      <c r="E186" s="9" t="str">
        <f ca="1">+WORLDCUP!BD67</f>
        <v>Jordania</v>
      </c>
      <c r="F186" s="9" t="str">
        <f ca="1">+WORLDCUP!BD61</f>
        <v>Australia</v>
      </c>
      <c r="G186" s="9" t="str">
        <f ca="1">+WORLDCUP!BD58</f>
        <v>México</v>
      </c>
      <c r="H186" s="9" t="str">
        <f ca="1">+WORLDCUP!BD65</f>
        <v>Arabia Saudita</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Costa de Marfil</v>
      </c>
      <c r="D187" s="9" t="str">
        <f ca="1">+WORLDCUP!BD64</f>
        <v>Irán</v>
      </c>
      <c r="E187" s="9" t="str">
        <f ca="1">+WORLDCUP!BD67</f>
        <v>Jordania</v>
      </c>
      <c r="F187" s="9" t="str">
        <f ca="1">+WORLDCUP!BD61</f>
        <v>Australia</v>
      </c>
      <c r="G187" s="9" t="str">
        <f ca="1">+WORLDCUP!BD58</f>
        <v>México</v>
      </c>
      <c r="H187" s="9" t="str">
        <f ca="1">+WORLDCUP!BD65</f>
        <v>Arabia Saudita</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Costa de Marfil</v>
      </c>
      <c r="D188" s="9" t="str">
        <f ca="1">+WORLDCUP!BD67</f>
        <v>Jordania</v>
      </c>
      <c r="E188" s="9" t="str">
        <f ca="1">+WORLDCUP!BD66</f>
        <v>Senegal</v>
      </c>
      <c r="F188" s="9" t="str">
        <f ca="1">+WORLDCUP!BD61</f>
        <v>Australia</v>
      </c>
      <c r="G188" s="9" t="str">
        <f ca="1">+WORLDCUP!BD58</f>
        <v>México</v>
      </c>
      <c r="H188" s="9" t="str">
        <f ca="1">+WORLDCUP!BD63</f>
        <v>Túnez</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Jordania</v>
      </c>
      <c r="E189" s="9" t="str">
        <f ca="1">+WORLDCUP!BD62</f>
        <v>Costa de Marfil</v>
      </c>
      <c r="F189" s="9" t="str">
        <f ca="1">+WORLDCUP!BD61</f>
        <v>Australia</v>
      </c>
      <c r="G189" s="9" t="str">
        <f ca="1">+WORLDCUP!BD58</f>
        <v>México</v>
      </c>
      <c r="H189" s="9" t="str">
        <f ca="1">+WORLDCUP!BD63</f>
        <v>Túnez</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Costa de Marfil</v>
      </c>
      <c r="E190" s="9" t="str">
        <f ca="1">+WORLDCUP!BD66</f>
        <v>Senegal</v>
      </c>
      <c r="F190" s="9" t="str">
        <f ca="1">+WORLDCUP!BD61</f>
        <v>Australia</v>
      </c>
      <c r="G190" s="9" t="str">
        <f ca="1">+WORLDCUP!BD58</f>
        <v>México</v>
      </c>
      <c r="H190" s="9" t="str">
        <f ca="1">+WORLDCUP!BD63</f>
        <v>Túnez</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Jordania</v>
      </c>
      <c r="E191" s="9" t="str">
        <f ca="1">+WORLDCUP!BD62</f>
        <v>Costa de Marfil</v>
      </c>
      <c r="F191" s="9" t="str">
        <f ca="1">+WORLDCUP!BD61</f>
        <v>Australia</v>
      </c>
      <c r="G191" s="9" t="str">
        <f ca="1">+WORLDCUP!BD58</f>
        <v>México</v>
      </c>
      <c r="H191" s="9" t="str">
        <f ca="1">+WORLDCUP!BD63</f>
        <v>Túnez</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Jordania</v>
      </c>
      <c r="E192" s="9" t="str">
        <f ca="1">+WORLDCUP!BD62</f>
        <v>Costa de Marfil</v>
      </c>
      <c r="F192" s="9" t="str">
        <f ca="1">+WORLDCUP!BD61</f>
        <v>Australia</v>
      </c>
      <c r="G192" s="9" t="str">
        <f ca="1">+WORLDCUP!BD58</f>
        <v>México</v>
      </c>
      <c r="H192" s="9" t="str">
        <f ca="1">+WORLDCUP!BD63</f>
        <v>Túnez</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Costa de Marfil</v>
      </c>
      <c r="D193" s="9" t="str">
        <f ca="1">+WORLDCUP!BD64</f>
        <v>Irán</v>
      </c>
      <c r="E193" s="9" t="str">
        <f ca="1">+WORLDCUP!BD67</f>
        <v>Jordania</v>
      </c>
      <c r="F193" s="9" t="str">
        <f ca="1">+WORLDCUP!BD61</f>
        <v>Australia</v>
      </c>
      <c r="G193" s="9" t="str">
        <f ca="1">+WORLDCUP!BD58</f>
        <v>México</v>
      </c>
      <c r="H193" s="9" t="str">
        <f ca="1">+WORLDCUP!BD63</f>
        <v>Túnez</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Costa de Marfil</v>
      </c>
      <c r="D194" s="9" t="str">
        <f ca="1">+WORLDCUP!BD64</f>
        <v>Irán</v>
      </c>
      <c r="E194" s="9" t="str">
        <f ca="1">+WORLDCUP!BD66</f>
        <v>Senegal</v>
      </c>
      <c r="F194" s="9" t="str">
        <f ca="1">+WORLDCUP!BD61</f>
        <v>Australia</v>
      </c>
      <c r="G194" s="9" t="str">
        <f ca="1">+WORLDCUP!BD58</f>
        <v>México</v>
      </c>
      <c r="H194" s="9" t="str">
        <f ca="1">+WORLDCUP!BD63</f>
        <v>Túnez</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Costa de Marfil</v>
      </c>
      <c r="D195" s="9" t="str">
        <f ca="1">+WORLDCUP!BD64</f>
        <v>Irán</v>
      </c>
      <c r="E195" s="9" t="str">
        <f ca="1">+WORLDCUP!BD67</f>
        <v>Jordania</v>
      </c>
      <c r="F195" s="9" t="str">
        <f ca="1">+WORLDCUP!BD61</f>
        <v>Australia</v>
      </c>
      <c r="G195" s="9" t="str">
        <f ca="1">+WORLDCUP!BD58</f>
        <v>México</v>
      </c>
      <c r="H195" s="9" t="str">
        <f ca="1">+WORLDCUP!BD63</f>
        <v>Túnez</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Costa de Marfil</v>
      </c>
      <c r="D196" s="9" t="str">
        <f ca="1">+WORLDCUP!BD64</f>
        <v>Irán</v>
      </c>
      <c r="E196" s="9" t="str">
        <f ca="1">+WORLDCUP!BD67</f>
        <v>Jordania</v>
      </c>
      <c r="F196" s="9" t="str">
        <f ca="1">+WORLDCUP!BD61</f>
        <v>Australia</v>
      </c>
      <c r="G196" s="9" t="str">
        <f ca="1">+WORLDCUP!BD58</f>
        <v>México</v>
      </c>
      <c r="H196" s="9" t="str">
        <f ca="1">+WORLDCUP!BD63</f>
        <v>Túnez</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Irán</v>
      </c>
      <c r="E197" s="9" t="str">
        <f ca="1">+WORLDCUP!BD62</f>
        <v>Costa de Marfil</v>
      </c>
      <c r="F197" s="9" t="str">
        <f ca="1">+WORLDCUP!BD61</f>
        <v>Australia</v>
      </c>
      <c r="G197" s="9" t="str">
        <f ca="1">+WORLDCUP!BD58</f>
        <v>México</v>
      </c>
      <c r="H197" s="9" t="str">
        <f ca="1">+WORLDCUP!BD63</f>
        <v>Túnez</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Irán</v>
      </c>
      <c r="E198" s="9" t="str">
        <f ca="1">+WORLDCUP!BD67</f>
        <v>Jordania</v>
      </c>
      <c r="F198" s="9" t="str">
        <f ca="1">+WORLDCUP!BD61</f>
        <v>Australia</v>
      </c>
      <c r="G198" s="9" t="str">
        <f ca="1">+WORLDCUP!BD58</f>
        <v>México</v>
      </c>
      <c r="H198" s="9" t="str">
        <f ca="1">+WORLDCUP!BD63</f>
        <v>Túnez</v>
      </c>
      <c r="I198" s="9" t="str">
        <f ca="1">+WORLDCUP!BD69</f>
        <v>Ghana</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Irán</v>
      </c>
      <c r="E199" s="9" t="str">
        <f ca="1">+WORLDCUP!BD67</f>
        <v>Jordania</v>
      </c>
      <c r="F199" s="9" t="str">
        <f ca="1">+WORLDCUP!BD61</f>
        <v>Australia</v>
      </c>
      <c r="G199" s="9" t="str">
        <f ca="1">+WORLDCUP!BD58</f>
        <v>México</v>
      </c>
      <c r="H199" s="9" t="str">
        <f ca="1">+WORLDCUP!BD63</f>
        <v>Túnez</v>
      </c>
      <c r="I199" s="9" t="str">
        <f ca="1">+WORLDCUP!BD62</f>
        <v>Costa de Marfil</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Irán</v>
      </c>
      <c r="E200" s="9" t="str">
        <f ca="1">+WORLDCUP!BD62</f>
        <v>Costa de Marfil</v>
      </c>
      <c r="F200" s="9" t="str">
        <f ca="1">+WORLDCUP!BD61</f>
        <v>Australia</v>
      </c>
      <c r="G200" s="9" t="str">
        <f ca="1">+WORLDCUP!BD58</f>
        <v>México</v>
      </c>
      <c r="H200" s="9" t="str">
        <f ca="1">+WORLDCUP!BD63</f>
        <v>Túnez</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Irán</v>
      </c>
      <c r="E201" s="9" t="str">
        <f ca="1">+WORLDCUP!BD62</f>
        <v>Costa de Marfil</v>
      </c>
      <c r="F201" s="9" t="str">
        <f ca="1">+WORLDCUP!BD61</f>
        <v>Australia</v>
      </c>
      <c r="G201" s="9" t="str">
        <f ca="1">+WORLDCUP!BD58</f>
        <v>México</v>
      </c>
      <c r="H201" s="9" t="str">
        <f ca="1">+WORLDCUP!BD63</f>
        <v>Túnez</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Irán</v>
      </c>
      <c r="E202" s="9" t="str">
        <f ca="1">+WORLDCUP!BD67</f>
        <v>Jordania</v>
      </c>
      <c r="F202" s="9" t="str">
        <f ca="1">+WORLDCUP!BD61</f>
        <v>Australia</v>
      </c>
      <c r="G202" s="9" t="str">
        <f ca="1">+WORLDCUP!BD58</f>
        <v>México</v>
      </c>
      <c r="H202" s="9" t="str">
        <f ca="1">+WORLDCUP!BD63</f>
        <v>Túnez</v>
      </c>
      <c r="I202" s="9" t="str">
        <f ca="1">+WORLDCUP!BD62</f>
        <v>Costa de Marfil</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Jordania</v>
      </c>
      <c r="E203" s="9" t="str">
        <f ca="1">+WORLDCUP!BD66</f>
        <v>Senegal</v>
      </c>
      <c r="F203" s="9" t="str">
        <f ca="1">+WORLDCUP!BD60</f>
        <v>Haití</v>
      </c>
      <c r="G203" s="9" t="str">
        <f ca="1">+WORLDCUP!BD58</f>
        <v>México</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Jordania</v>
      </c>
      <c r="E204" s="9" t="str">
        <f ca="1">+WORLDCUP!BD66</f>
        <v>Senegal</v>
      </c>
      <c r="F204" s="9" t="str">
        <f ca="1">+WORLDCUP!BD60</f>
        <v>Haití</v>
      </c>
      <c r="G204" s="9" t="str">
        <f ca="1">+WORLDCUP!BD58</f>
        <v>México</v>
      </c>
      <c r="H204" s="9" t="str">
        <f ca="1">+WORLDCUP!BD63</f>
        <v>Túnez</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Irán</v>
      </c>
      <c r="E205" s="9" t="str">
        <f ca="1">+WORLDCUP!BD67</f>
        <v>Jordania</v>
      </c>
      <c r="F205" s="9" t="str">
        <f ca="1">+WORLDCUP!BD60</f>
        <v>Haití</v>
      </c>
      <c r="G205" s="9" t="str">
        <f ca="1">+WORLDCUP!BD58</f>
        <v>México</v>
      </c>
      <c r="H205" s="9" t="str">
        <f ca="1">+WORLDCUP!BD63</f>
        <v>Túnez</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Irán</v>
      </c>
      <c r="E206" s="9" t="str">
        <f ca="1">+WORLDCUP!BD67</f>
        <v>Jordania</v>
      </c>
      <c r="F206" s="9" t="str">
        <f ca="1">+WORLDCUP!BD60</f>
        <v>Haití</v>
      </c>
      <c r="G206" s="9" t="str">
        <f ca="1">+WORLDCUP!BD58</f>
        <v>México</v>
      </c>
      <c r="H206" s="9" t="str">
        <f ca="1">+WORLDCUP!BD63</f>
        <v>Túnez</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Irán</v>
      </c>
      <c r="E207" s="9" t="str">
        <f ca="1">+WORLDCUP!BD66</f>
        <v>Senegal</v>
      </c>
      <c r="F207" s="9" t="str">
        <f ca="1">+WORLDCUP!BD60</f>
        <v>Haití</v>
      </c>
      <c r="G207" s="9" t="str">
        <f ca="1">+WORLDCUP!BD58</f>
        <v>México</v>
      </c>
      <c r="H207" s="9" t="str">
        <f ca="1">+WORLDCUP!BD63</f>
        <v>Túnez</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Irán</v>
      </c>
      <c r="E208" s="9" t="str">
        <f ca="1">+WORLDCUP!BD67</f>
        <v>Jordania</v>
      </c>
      <c r="F208" s="9" t="str">
        <f ca="1">+WORLDCUP!BD60</f>
        <v>Haití</v>
      </c>
      <c r="G208" s="9" t="str">
        <f ca="1">+WORLDCUP!BD58</f>
        <v>México</v>
      </c>
      <c r="H208" s="9" t="str">
        <f ca="1">+WORLDCUP!BD63</f>
        <v>Túnez</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Irán</v>
      </c>
      <c r="E209" s="9" t="str">
        <f ca="1">+WORLDCUP!BD67</f>
        <v>Jordania</v>
      </c>
      <c r="F209" s="9" t="str">
        <f ca="1">+WORLDCUP!BD60</f>
        <v>Haití</v>
      </c>
      <c r="G209" s="9" t="str">
        <f ca="1">+WORLDCUP!BD58</f>
        <v>México</v>
      </c>
      <c r="H209" s="9" t="str">
        <f ca="1">+WORLDCUP!BD63</f>
        <v>Túnez</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Costa de Marfil</v>
      </c>
      <c r="D210" s="9" t="str">
        <f ca="1">+WORLDCUP!BD67</f>
        <v>Jordania</v>
      </c>
      <c r="E210" s="9" t="str">
        <f ca="1">+WORLDCUP!BD66</f>
        <v>Senegal</v>
      </c>
      <c r="F210" s="9" t="str">
        <f ca="1">+WORLDCUP!BD60</f>
        <v>Haití</v>
      </c>
      <c r="G210" s="9" t="str">
        <f ca="1">+WORLDCUP!BD58</f>
        <v>México</v>
      </c>
      <c r="H210" s="9" t="str">
        <f ca="1">+WORLDCUP!BD65</f>
        <v>Arabia Saudita</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Costa de Marfil</v>
      </c>
      <c r="D211" s="9" t="str">
        <f ca="1">+WORLDCUP!BD67</f>
        <v>Jordania</v>
      </c>
      <c r="E211" s="9" t="str">
        <f ca="1">+WORLDCUP!BD66</f>
        <v>Senegal</v>
      </c>
      <c r="F211" s="9" t="str">
        <f ca="1">+WORLDCUP!BD60</f>
        <v>Haití</v>
      </c>
      <c r="G211" s="9" t="str">
        <f ca="1">+WORLDCUP!BD58</f>
        <v>México</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Costa de Marfil</v>
      </c>
      <c r="D212" s="9" t="str">
        <f ca="1">+WORLDCUP!BD64</f>
        <v>Irán</v>
      </c>
      <c r="E212" s="9" t="str">
        <f ca="1">+WORLDCUP!BD67</f>
        <v>Jordania</v>
      </c>
      <c r="F212" s="9" t="str">
        <f ca="1">+WORLDCUP!BD60</f>
        <v>Haití</v>
      </c>
      <c r="G212" s="9" t="str">
        <f ca="1">+WORLDCUP!BD58</f>
        <v>México</v>
      </c>
      <c r="H212" s="9" t="str">
        <f ca="1">+WORLDCUP!BD65</f>
        <v>Arabia Saudita</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Costa de Marfil</v>
      </c>
      <c r="D213" s="9" t="str">
        <f ca="1">+WORLDCUP!BD64</f>
        <v>Irán</v>
      </c>
      <c r="E213" s="9" t="str">
        <f ca="1">+WORLDCUP!BD66</f>
        <v>Senegal</v>
      </c>
      <c r="F213" s="9" t="str">
        <f ca="1">+WORLDCUP!BD60</f>
        <v>Haití</v>
      </c>
      <c r="G213" s="9" t="str">
        <f ca="1">+WORLDCUP!BD58</f>
        <v>México</v>
      </c>
      <c r="H213" s="9" t="str">
        <f ca="1">+WORLDCUP!BD65</f>
        <v>Arabia Saudita</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Costa de Marfil</v>
      </c>
      <c r="D214" s="9" t="str">
        <f ca="1">+WORLDCUP!BD64</f>
        <v>Irán</v>
      </c>
      <c r="E214" s="9" t="str">
        <f ca="1">+WORLDCUP!BD67</f>
        <v>Jordania</v>
      </c>
      <c r="F214" s="9" t="str">
        <f ca="1">+WORLDCUP!BD60</f>
        <v>Haití</v>
      </c>
      <c r="G214" s="9" t="str">
        <f ca="1">+WORLDCUP!BD58</f>
        <v>México</v>
      </c>
      <c r="H214" s="9" t="str">
        <f ca="1">+WORLDCUP!BD65</f>
        <v>Arabia Saudita</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Costa de Marfil</v>
      </c>
      <c r="D215" s="9" t="str">
        <f ca="1">+WORLDCUP!BD64</f>
        <v>Irán</v>
      </c>
      <c r="E215" s="9" t="str">
        <f ca="1">+WORLDCUP!BD67</f>
        <v>Jordania</v>
      </c>
      <c r="F215" s="9" t="str">
        <f ca="1">+WORLDCUP!BD60</f>
        <v>Haití</v>
      </c>
      <c r="G215" s="9" t="str">
        <f ca="1">+WORLDCUP!BD58</f>
        <v>México</v>
      </c>
      <c r="H215" s="9" t="str">
        <f ca="1">+WORLDCUP!BD65</f>
        <v>Arabia Saudita</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Costa de Marfil</v>
      </c>
      <c r="D216" s="9" t="str">
        <f ca="1">+WORLDCUP!BD67</f>
        <v>Jordania</v>
      </c>
      <c r="E216" s="9" t="str">
        <f ca="1">+WORLDCUP!BD66</f>
        <v>Senegal</v>
      </c>
      <c r="F216" s="9" t="str">
        <f ca="1">+WORLDCUP!BD60</f>
        <v>Haití</v>
      </c>
      <c r="G216" s="9" t="str">
        <f ca="1">+WORLDCUP!BD58</f>
        <v>México</v>
      </c>
      <c r="H216" s="9" t="str">
        <f ca="1">+WORLDCUP!BD63</f>
        <v>Túnez</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Jordania</v>
      </c>
      <c r="E217" s="9" t="str">
        <f ca="1">+WORLDCUP!BD62</f>
        <v>Costa de Marfil</v>
      </c>
      <c r="F217" s="9" t="str">
        <f ca="1">+WORLDCUP!BD60</f>
        <v>Haití</v>
      </c>
      <c r="G217" s="9" t="str">
        <f ca="1">+WORLDCUP!BD58</f>
        <v>México</v>
      </c>
      <c r="H217" s="9" t="str">
        <f ca="1">+WORLDCUP!BD63</f>
        <v>Túnez</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Costa de Marfil</v>
      </c>
      <c r="E218" s="9" t="str">
        <f ca="1">+WORLDCUP!BD66</f>
        <v>Senegal</v>
      </c>
      <c r="F218" s="9" t="str">
        <f ca="1">+WORLDCUP!BD60</f>
        <v>Haití</v>
      </c>
      <c r="G218" s="9" t="str">
        <f ca="1">+WORLDCUP!BD58</f>
        <v>México</v>
      </c>
      <c r="H218" s="9" t="str">
        <f ca="1">+WORLDCUP!BD63</f>
        <v>Túnez</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Jordania</v>
      </c>
      <c r="E219" s="9" t="str">
        <f ca="1">+WORLDCUP!BD62</f>
        <v>Costa de Marfil</v>
      </c>
      <c r="F219" s="9" t="str">
        <f ca="1">+WORLDCUP!BD60</f>
        <v>Haití</v>
      </c>
      <c r="G219" s="9" t="str">
        <f ca="1">+WORLDCUP!BD58</f>
        <v>México</v>
      </c>
      <c r="H219" s="9" t="str">
        <f ca="1">+WORLDCUP!BD63</f>
        <v>Túnez</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Jordania</v>
      </c>
      <c r="E220" s="9" t="str">
        <f ca="1">+WORLDCUP!BD62</f>
        <v>Costa de Marfil</v>
      </c>
      <c r="F220" s="9" t="str">
        <f ca="1">+WORLDCUP!BD60</f>
        <v>Haití</v>
      </c>
      <c r="G220" s="9" t="str">
        <f ca="1">+WORLDCUP!BD58</f>
        <v>México</v>
      </c>
      <c r="H220" s="9" t="str">
        <f ca="1">+WORLDCUP!BD63</f>
        <v>Túnez</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Costa de Marfil</v>
      </c>
      <c r="D221" s="9" t="str">
        <f ca="1">+WORLDCUP!BD64</f>
        <v>Irán</v>
      </c>
      <c r="E221" s="9" t="str">
        <f ca="1">+WORLDCUP!BD67</f>
        <v>Jordania</v>
      </c>
      <c r="F221" s="9" t="str">
        <f ca="1">+WORLDCUP!BD60</f>
        <v>Haití</v>
      </c>
      <c r="G221" s="9" t="str">
        <f ca="1">+WORLDCUP!BD58</f>
        <v>México</v>
      </c>
      <c r="H221" s="9" t="str">
        <f ca="1">+WORLDCUP!BD63</f>
        <v>Túnez</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Costa de Marfil</v>
      </c>
      <c r="D222" s="9" t="str">
        <f ca="1">+WORLDCUP!BD64</f>
        <v>Irán</v>
      </c>
      <c r="E222" s="9" t="str">
        <f ca="1">+WORLDCUP!BD66</f>
        <v>Senegal</v>
      </c>
      <c r="F222" s="9" t="str">
        <f ca="1">+WORLDCUP!BD60</f>
        <v>Haití</v>
      </c>
      <c r="G222" s="9" t="str">
        <f ca="1">+WORLDCUP!BD58</f>
        <v>México</v>
      </c>
      <c r="H222" s="9" t="str">
        <f ca="1">+WORLDCUP!BD63</f>
        <v>Túnez</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Costa de Marfil</v>
      </c>
      <c r="D223" s="9" t="str">
        <f ca="1">+WORLDCUP!BD64</f>
        <v>Irán</v>
      </c>
      <c r="E223" s="9" t="str">
        <f ca="1">+WORLDCUP!BD67</f>
        <v>Jordania</v>
      </c>
      <c r="F223" s="9" t="str">
        <f ca="1">+WORLDCUP!BD60</f>
        <v>Haití</v>
      </c>
      <c r="G223" s="9" t="str">
        <f ca="1">+WORLDCUP!BD58</f>
        <v>México</v>
      </c>
      <c r="H223" s="9" t="str">
        <f ca="1">+WORLDCUP!BD63</f>
        <v>Túnez</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Costa de Marfil</v>
      </c>
      <c r="D224" s="9" t="str">
        <f ca="1">+WORLDCUP!BD64</f>
        <v>Irán</v>
      </c>
      <c r="E224" s="9" t="str">
        <f ca="1">+WORLDCUP!BD67</f>
        <v>Jordania</v>
      </c>
      <c r="F224" s="9" t="str">
        <f ca="1">+WORLDCUP!BD60</f>
        <v>Haití</v>
      </c>
      <c r="G224" s="9" t="str">
        <f ca="1">+WORLDCUP!BD58</f>
        <v>México</v>
      </c>
      <c r="H224" s="9" t="str">
        <f ca="1">+WORLDCUP!BD63</f>
        <v>Túnez</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Irán</v>
      </c>
      <c r="E225" s="9" t="str">
        <f ca="1">+WORLDCUP!BD62</f>
        <v>Costa de Marfil</v>
      </c>
      <c r="F225" s="9" t="str">
        <f ca="1">+WORLDCUP!BD60</f>
        <v>Haití</v>
      </c>
      <c r="G225" s="9" t="str">
        <f ca="1">+WORLDCUP!BD58</f>
        <v>México</v>
      </c>
      <c r="H225" s="9" t="str">
        <f ca="1">+WORLDCUP!BD63</f>
        <v>Túnez</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Irán</v>
      </c>
      <c r="E226" s="9" t="str">
        <f ca="1">+WORLDCUP!BD67</f>
        <v>Jordania</v>
      </c>
      <c r="F226" s="9" t="str">
        <f ca="1">+WORLDCUP!BD60</f>
        <v>Haití</v>
      </c>
      <c r="G226" s="9" t="str">
        <f ca="1">+WORLDCUP!BD58</f>
        <v>México</v>
      </c>
      <c r="H226" s="9" t="str">
        <f ca="1">+WORLDCUP!BD63</f>
        <v>Túnez</v>
      </c>
      <c r="I226" s="9" t="str">
        <f ca="1">+WORLDCUP!BD69</f>
        <v>Ghana</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Irán</v>
      </c>
      <c r="E227" s="9" t="str">
        <f ca="1">+WORLDCUP!BD67</f>
        <v>Jordania</v>
      </c>
      <c r="F227" s="9" t="str">
        <f ca="1">+WORLDCUP!BD60</f>
        <v>Haití</v>
      </c>
      <c r="G227" s="9" t="str">
        <f ca="1">+WORLDCUP!BD58</f>
        <v>México</v>
      </c>
      <c r="H227" s="9" t="str">
        <f ca="1">+WORLDCUP!BD63</f>
        <v>Túnez</v>
      </c>
      <c r="I227" s="9" t="str">
        <f ca="1">+WORLDCUP!BD62</f>
        <v>Costa de Marfil</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Irán</v>
      </c>
      <c r="E228" s="9" t="str">
        <f ca="1">+WORLDCUP!BD62</f>
        <v>Costa de Marfil</v>
      </c>
      <c r="F228" s="9" t="str">
        <f ca="1">+WORLDCUP!BD60</f>
        <v>Haití</v>
      </c>
      <c r="G228" s="9" t="str">
        <f ca="1">+WORLDCUP!BD58</f>
        <v>México</v>
      </c>
      <c r="H228" s="9" t="str">
        <f ca="1">+WORLDCUP!BD63</f>
        <v>Túnez</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Irán</v>
      </c>
      <c r="E229" s="9" t="str">
        <f ca="1">+WORLDCUP!BD62</f>
        <v>Costa de Marfil</v>
      </c>
      <c r="F229" s="9" t="str">
        <f ca="1">+WORLDCUP!BD60</f>
        <v>Haití</v>
      </c>
      <c r="G229" s="9" t="str">
        <f ca="1">+WORLDCUP!BD58</f>
        <v>México</v>
      </c>
      <c r="H229" s="9" t="str">
        <f ca="1">+WORLDCUP!BD63</f>
        <v>Túnez</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Irán</v>
      </c>
      <c r="E230" s="9" t="str">
        <f ca="1">+WORLDCUP!BD67</f>
        <v>Jordania</v>
      </c>
      <c r="F230" s="9" t="str">
        <f ca="1">+WORLDCUP!BD60</f>
        <v>Haití</v>
      </c>
      <c r="G230" s="9" t="str">
        <f ca="1">+WORLDCUP!BD58</f>
        <v>México</v>
      </c>
      <c r="H230" s="9" t="str">
        <f ca="1">+WORLDCUP!BD63</f>
        <v>Túnez</v>
      </c>
      <c r="I230" s="9" t="str">
        <f ca="1">+WORLDCUP!BD62</f>
        <v>Costa de Marfil</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Jordania</v>
      </c>
      <c r="E231" s="9" t="str">
        <f ca="1">+WORLDCUP!BD66</f>
        <v>Senegal</v>
      </c>
      <c r="F231" s="9" t="str">
        <f ca="1">+WORLDCUP!BD60</f>
        <v>Haití</v>
      </c>
      <c r="G231" s="9" t="str">
        <f ca="1">+WORLDCUP!BD58</f>
        <v>México</v>
      </c>
      <c r="H231" s="9" t="str">
        <f ca="1">+WORLDCUP!BD61</f>
        <v>Australia</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Irán</v>
      </c>
      <c r="E232" s="9" t="str">
        <f ca="1">+WORLDCUP!BD67</f>
        <v>Jordania</v>
      </c>
      <c r="F232" s="9" t="str">
        <f ca="1">+WORLDCUP!BD60</f>
        <v>Haití</v>
      </c>
      <c r="G232" s="9" t="str">
        <f ca="1">+WORLDCUP!BD58</f>
        <v>México</v>
      </c>
      <c r="H232" s="9" t="str">
        <f ca="1">+WORLDCUP!BD61</f>
        <v>Australia</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Irán</v>
      </c>
      <c r="E233" s="9" t="str">
        <f ca="1">+WORLDCUP!BD67</f>
        <v>Jordania</v>
      </c>
      <c r="F233" s="9" t="str">
        <f ca="1">+WORLDCUP!BD60</f>
        <v>Haití</v>
      </c>
      <c r="G233" s="9" t="str">
        <f ca="1">+WORLDCUP!BD58</f>
        <v>México</v>
      </c>
      <c r="H233" s="9" t="str">
        <f ca="1">+WORLDCUP!BD61</f>
        <v>Australia</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Irán</v>
      </c>
      <c r="E234" s="9" t="str">
        <f ca="1">+WORLDCUP!BD66</f>
        <v>Senegal</v>
      </c>
      <c r="F234" s="9" t="str">
        <f ca="1">+WORLDCUP!BD60</f>
        <v>Haití</v>
      </c>
      <c r="G234" s="9" t="str">
        <f ca="1">+WORLDCUP!BD58</f>
        <v>México</v>
      </c>
      <c r="H234" s="9" t="str">
        <f ca="1">+WORLDCUP!BD61</f>
        <v>Australia</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Irán</v>
      </c>
      <c r="E235" s="9" t="str">
        <f ca="1">+WORLDCUP!BD67</f>
        <v>Jordania</v>
      </c>
      <c r="F235" s="9" t="str">
        <f ca="1">+WORLDCUP!BD60</f>
        <v>Haití</v>
      </c>
      <c r="G235" s="9" t="str">
        <f ca="1">+WORLDCUP!BD58</f>
        <v>México</v>
      </c>
      <c r="H235" s="9" t="str">
        <f ca="1">+WORLDCUP!BD61</f>
        <v>Australia</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Irán</v>
      </c>
      <c r="E236" s="9" t="str">
        <f ca="1">+WORLDCUP!BD67</f>
        <v>Jordania</v>
      </c>
      <c r="F236" s="9" t="str">
        <f ca="1">+WORLDCUP!BD60</f>
        <v>Haití</v>
      </c>
      <c r="G236" s="9" t="str">
        <f ca="1">+WORLDCUP!BD58</f>
        <v>México</v>
      </c>
      <c r="H236" s="9" t="str">
        <f ca="1">+WORLDCUP!BD61</f>
        <v>Australia</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Haití</v>
      </c>
      <c r="D237" s="9" t="str">
        <f ca="1">+WORLDCUP!BD67</f>
        <v>Jordania</v>
      </c>
      <c r="E237" s="9" t="str">
        <f ca="1">+WORLDCUP!BD66</f>
        <v>Senegal</v>
      </c>
      <c r="F237" s="9" t="str">
        <f ca="1">+WORLDCUP!BD61</f>
        <v>Australia</v>
      </c>
      <c r="G237" s="9" t="str">
        <f ca="1">+WORLDCUP!BD58</f>
        <v>México</v>
      </c>
      <c r="H237" s="9" t="str">
        <f ca="1">+WORLDCUP!BD63</f>
        <v>Túnez</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Jordania</v>
      </c>
      <c r="E238" s="9" t="str">
        <f ca="1">+WORLDCUP!BD63</f>
        <v>Túnez</v>
      </c>
      <c r="F238" s="9" t="str">
        <f ca="1">+WORLDCUP!BD60</f>
        <v>Haití</v>
      </c>
      <c r="G238" s="9" t="str">
        <f ca="1">+WORLDCUP!BD58</f>
        <v>México</v>
      </c>
      <c r="H238" s="9" t="str">
        <f ca="1">+WORLDCUP!BD61</f>
        <v>Australia</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Túnez</v>
      </c>
      <c r="E239" s="9" t="str">
        <f ca="1">+WORLDCUP!BD66</f>
        <v>Senegal</v>
      </c>
      <c r="F239" s="9" t="str">
        <f ca="1">+WORLDCUP!BD60</f>
        <v>Haití</v>
      </c>
      <c r="G239" s="9" t="str">
        <f ca="1">+WORLDCUP!BD58</f>
        <v>México</v>
      </c>
      <c r="H239" s="9" t="str">
        <f ca="1">+WORLDCUP!BD61</f>
        <v>Australia</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Jordania</v>
      </c>
      <c r="E240" s="9" t="str">
        <f ca="1">+WORLDCUP!BD63</f>
        <v>Túnez</v>
      </c>
      <c r="F240" s="9" t="str">
        <f ca="1">+WORLDCUP!BD60</f>
        <v>Haití</v>
      </c>
      <c r="G240" s="9" t="str">
        <f ca="1">+WORLDCUP!BD58</f>
        <v>México</v>
      </c>
      <c r="H240" s="9" t="str">
        <f ca="1">+WORLDCUP!BD61</f>
        <v>Australia</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Jordania</v>
      </c>
      <c r="E241" s="9" t="str">
        <f ca="1">+WORLDCUP!BD63</f>
        <v>Túnez</v>
      </c>
      <c r="F241" s="9" t="str">
        <f ca="1">+WORLDCUP!BD60</f>
        <v>Haití</v>
      </c>
      <c r="G241" s="9" t="str">
        <f ca="1">+WORLDCUP!BD58</f>
        <v>México</v>
      </c>
      <c r="H241" s="9" t="str">
        <f ca="1">+WORLDCUP!BD61</f>
        <v>Australia</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Haití</v>
      </c>
      <c r="D242" s="9" t="str">
        <f ca="1">+WORLDCUP!BD64</f>
        <v>Irán</v>
      </c>
      <c r="E242" s="9" t="str">
        <f ca="1">+WORLDCUP!BD67</f>
        <v>Jordania</v>
      </c>
      <c r="F242" s="9" t="str">
        <f ca="1">+WORLDCUP!BD61</f>
        <v>Australia</v>
      </c>
      <c r="G242" s="9" t="str">
        <f ca="1">+WORLDCUP!BD58</f>
        <v>México</v>
      </c>
      <c r="H242" s="9" t="str">
        <f ca="1">+WORLDCUP!BD63</f>
        <v>Túnez</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Haití</v>
      </c>
      <c r="D243" s="9" t="str">
        <f ca="1">+WORLDCUP!BD64</f>
        <v>Irán</v>
      </c>
      <c r="E243" s="9" t="str">
        <f ca="1">+WORLDCUP!BD66</f>
        <v>Senegal</v>
      </c>
      <c r="F243" s="9" t="str">
        <f ca="1">+WORLDCUP!BD61</f>
        <v>Australia</v>
      </c>
      <c r="G243" s="9" t="str">
        <f ca="1">+WORLDCUP!BD58</f>
        <v>México</v>
      </c>
      <c r="H243" s="9" t="str">
        <f ca="1">+WORLDCUP!BD63</f>
        <v>Túnez</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Haití</v>
      </c>
      <c r="D244" s="9" t="str">
        <f ca="1">+WORLDCUP!BD64</f>
        <v>Irán</v>
      </c>
      <c r="E244" s="9" t="str">
        <f ca="1">+WORLDCUP!BD67</f>
        <v>Jordania</v>
      </c>
      <c r="F244" s="9" t="str">
        <f ca="1">+WORLDCUP!BD61</f>
        <v>Australia</v>
      </c>
      <c r="G244" s="9" t="str">
        <f ca="1">+WORLDCUP!BD58</f>
        <v>México</v>
      </c>
      <c r="H244" s="9" t="str">
        <f ca="1">+WORLDCUP!BD63</f>
        <v>Túnez</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Haití</v>
      </c>
      <c r="D245" s="9" t="str">
        <f ca="1">+WORLDCUP!BD64</f>
        <v>Irán</v>
      </c>
      <c r="E245" s="9" t="str">
        <f ca="1">+WORLDCUP!BD67</f>
        <v>Jordania</v>
      </c>
      <c r="F245" s="9" t="str">
        <f ca="1">+WORLDCUP!BD61</f>
        <v>Australia</v>
      </c>
      <c r="G245" s="9" t="str">
        <f ca="1">+WORLDCUP!BD58</f>
        <v>México</v>
      </c>
      <c r="H245" s="9" t="str">
        <f ca="1">+WORLDCUP!BD63</f>
        <v>Túnez</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Irán</v>
      </c>
      <c r="E246" s="9" t="str">
        <f ca="1">+WORLDCUP!BD63</f>
        <v>Túnez</v>
      </c>
      <c r="F246" s="9" t="str">
        <f ca="1">+WORLDCUP!BD60</f>
        <v>Haití</v>
      </c>
      <c r="G246" s="9" t="str">
        <f ca="1">+WORLDCUP!BD58</f>
        <v>México</v>
      </c>
      <c r="H246" s="9" t="str">
        <f ca="1">+WORLDCUP!BD61</f>
        <v>Australia</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Haití</v>
      </c>
      <c r="D247" s="9" t="str">
        <f ca="1">+WORLDCUP!BD64</f>
        <v>Irán</v>
      </c>
      <c r="E247" s="9" t="str">
        <f ca="1">+WORLDCUP!BD67</f>
        <v>Jordania</v>
      </c>
      <c r="F247" s="9" t="str">
        <f ca="1">+WORLDCUP!BD61</f>
        <v>Australia</v>
      </c>
      <c r="G247" s="9" t="str">
        <f ca="1">+WORLDCUP!BD58</f>
        <v>México</v>
      </c>
      <c r="H247" s="9" t="str">
        <f ca="1">+WORLDCUP!BD63</f>
        <v>Túnez</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Irán</v>
      </c>
      <c r="E248" s="9" t="str">
        <f ca="1">+WORLDCUP!BD67</f>
        <v>Jordania</v>
      </c>
      <c r="F248" s="9" t="str">
        <f ca="1">+WORLDCUP!BD60</f>
        <v>Haití</v>
      </c>
      <c r="G248" s="9" t="str">
        <f ca="1">+WORLDCUP!BD58</f>
        <v>México</v>
      </c>
      <c r="H248" s="9" t="str">
        <f ca="1">+WORLDCUP!BD63</f>
        <v>Túnez</v>
      </c>
      <c r="I248" s="9" t="str">
        <f ca="1">+WORLDCUP!BD61</f>
        <v>Australia</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Irán</v>
      </c>
      <c r="E249" s="9" t="str">
        <f ca="1">+WORLDCUP!BD63</f>
        <v>Túnez</v>
      </c>
      <c r="F249" s="9" t="str">
        <f ca="1">+WORLDCUP!BD60</f>
        <v>Haití</v>
      </c>
      <c r="G249" s="9" t="str">
        <f ca="1">+WORLDCUP!BD58</f>
        <v>México</v>
      </c>
      <c r="H249" s="9" t="str">
        <f ca="1">+WORLDCUP!BD61</f>
        <v>Australia</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Irán</v>
      </c>
      <c r="E250" s="9" t="str">
        <f ca="1">+WORLDCUP!BD63</f>
        <v>Túnez</v>
      </c>
      <c r="F250" s="9" t="str">
        <f ca="1">+WORLDCUP!BD60</f>
        <v>Haití</v>
      </c>
      <c r="G250" s="9" t="str">
        <f ca="1">+WORLDCUP!BD58</f>
        <v>México</v>
      </c>
      <c r="H250" s="9" t="str">
        <f ca="1">+WORLDCUP!BD61</f>
        <v>Australia</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Irán</v>
      </c>
      <c r="E251" s="9" t="str">
        <f ca="1">+WORLDCUP!BD67</f>
        <v>Jordania</v>
      </c>
      <c r="F251" s="9" t="str">
        <f ca="1">+WORLDCUP!BD60</f>
        <v>Haití</v>
      </c>
      <c r="G251" s="9" t="str">
        <f ca="1">+WORLDCUP!BD58</f>
        <v>México</v>
      </c>
      <c r="H251" s="9" t="str">
        <f ca="1">+WORLDCUP!BD63</f>
        <v>Túnez</v>
      </c>
      <c r="I251" s="9" t="str">
        <f ca="1">+WORLDCUP!BD61</f>
        <v>Australia</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Costa de Marfil</v>
      </c>
      <c r="D252" s="9" t="str">
        <f ca="1">+WORLDCUP!BD67</f>
        <v>Jordania</v>
      </c>
      <c r="E252" s="9" t="str">
        <f ca="1">+WORLDCUP!BD66</f>
        <v>Senegal</v>
      </c>
      <c r="F252" s="9" t="str">
        <f ca="1">+WORLDCUP!BD60</f>
        <v>Haití</v>
      </c>
      <c r="G252" s="9" t="str">
        <f ca="1">+WORLDCUP!BD58</f>
        <v>México</v>
      </c>
      <c r="H252" s="9" t="str">
        <f ca="1">+WORLDCUP!BD61</f>
        <v>Australia</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Jordania</v>
      </c>
      <c r="E253" s="9" t="str">
        <f ca="1">+WORLDCUP!BD62</f>
        <v>Costa de Marfil</v>
      </c>
      <c r="F253" s="9" t="str">
        <f ca="1">+WORLDCUP!BD60</f>
        <v>Haití</v>
      </c>
      <c r="G253" s="9" t="str">
        <f ca="1">+WORLDCUP!BD58</f>
        <v>México</v>
      </c>
      <c r="H253" s="9" t="str">
        <f ca="1">+WORLDCUP!BD61</f>
        <v>Australia</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Costa de Marfil</v>
      </c>
      <c r="E254" s="9" t="str">
        <f ca="1">+WORLDCUP!BD66</f>
        <v>Senegal</v>
      </c>
      <c r="F254" s="9" t="str">
        <f ca="1">+WORLDCUP!BD60</f>
        <v>Haití</v>
      </c>
      <c r="G254" s="9" t="str">
        <f ca="1">+WORLDCUP!BD58</f>
        <v>México</v>
      </c>
      <c r="H254" s="9" t="str">
        <f ca="1">+WORLDCUP!BD61</f>
        <v>Australia</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Jordania</v>
      </c>
      <c r="E255" s="9" t="str">
        <f ca="1">+WORLDCUP!BD62</f>
        <v>Costa de Marfil</v>
      </c>
      <c r="F255" s="9" t="str">
        <f ca="1">+WORLDCUP!BD60</f>
        <v>Haití</v>
      </c>
      <c r="G255" s="9" t="str">
        <f ca="1">+WORLDCUP!BD58</f>
        <v>México</v>
      </c>
      <c r="H255" s="9" t="str">
        <f ca="1">+WORLDCUP!BD61</f>
        <v>Australia</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Jordania</v>
      </c>
      <c r="E256" s="9" t="str">
        <f ca="1">+WORLDCUP!BD62</f>
        <v>Costa de Marfil</v>
      </c>
      <c r="F256" s="9" t="str">
        <f ca="1">+WORLDCUP!BD60</f>
        <v>Haití</v>
      </c>
      <c r="G256" s="9" t="str">
        <f ca="1">+WORLDCUP!BD58</f>
        <v>México</v>
      </c>
      <c r="H256" s="9" t="str">
        <f ca="1">+WORLDCUP!BD61</f>
        <v>Australia</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Costa de Marfil</v>
      </c>
      <c r="D257" s="9" t="str">
        <f ca="1">+WORLDCUP!BD64</f>
        <v>Irán</v>
      </c>
      <c r="E257" s="9" t="str">
        <f ca="1">+WORLDCUP!BD67</f>
        <v>Jordania</v>
      </c>
      <c r="F257" s="9" t="str">
        <f ca="1">+WORLDCUP!BD60</f>
        <v>Haití</v>
      </c>
      <c r="G257" s="9" t="str">
        <f ca="1">+WORLDCUP!BD58</f>
        <v>México</v>
      </c>
      <c r="H257" s="9" t="str">
        <f ca="1">+WORLDCUP!BD61</f>
        <v>Australia</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Costa de Marfil</v>
      </c>
      <c r="D258" s="9" t="str">
        <f ca="1">+WORLDCUP!BD64</f>
        <v>Irán</v>
      </c>
      <c r="E258" s="9" t="str">
        <f ca="1">+WORLDCUP!BD66</f>
        <v>Senegal</v>
      </c>
      <c r="F258" s="9" t="str">
        <f ca="1">+WORLDCUP!BD60</f>
        <v>Haití</v>
      </c>
      <c r="G258" s="9" t="str">
        <f ca="1">+WORLDCUP!BD58</f>
        <v>México</v>
      </c>
      <c r="H258" s="9" t="str">
        <f ca="1">+WORLDCUP!BD61</f>
        <v>Australia</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Costa de Marfil</v>
      </c>
      <c r="D259" s="9" t="str">
        <f ca="1">+WORLDCUP!BD64</f>
        <v>Irán</v>
      </c>
      <c r="E259" s="9" t="str">
        <f ca="1">+WORLDCUP!BD67</f>
        <v>Jordania</v>
      </c>
      <c r="F259" s="9" t="str">
        <f ca="1">+WORLDCUP!BD60</f>
        <v>Haití</v>
      </c>
      <c r="G259" s="9" t="str">
        <f ca="1">+WORLDCUP!BD58</f>
        <v>México</v>
      </c>
      <c r="H259" s="9" t="str">
        <f ca="1">+WORLDCUP!BD61</f>
        <v>Australia</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Costa de Marfil</v>
      </c>
      <c r="D260" s="9" t="str">
        <f ca="1">+WORLDCUP!BD64</f>
        <v>Irán</v>
      </c>
      <c r="E260" s="9" t="str">
        <f ca="1">+WORLDCUP!BD67</f>
        <v>Jordania</v>
      </c>
      <c r="F260" s="9" t="str">
        <f ca="1">+WORLDCUP!BD60</f>
        <v>Haití</v>
      </c>
      <c r="G260" s="9" t="str">
        <f ca="1">+WORLDCUP!BD58</f>
        <v>México</v>
      </c>
      <c r="H260" s="9" t="str">
        <f ca="1">+WORLDCUP!BD61</f>
        <v>Australia</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Irán</v>
      </c>
      <c r="E261" s="9" t="str">
        <f ca="1">+WORLDCUP!BD62</f>
        <v>Costa de Marfil</v>
      </c>
      <c r="F261" s="9" t="str">
        <f ca="1">+WORLDCUP!BD60</f>
        <v>Haití</v>
      </c>
      <c r="G261" s="9" t="str">
        <f ca="1">+WORLDCUP!BD58</f>
        <v>México</v>
      </c>
      <c r="H261" s="9" t="str">
        <f ca="1">+WORLDCUP!BD61</f>
        <v>Australia</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Irán</v>
      </c>
      <c r="E262" s="9" t="str">
        <f ca="1">+WORLDCUP!BD67</f>
        <v>Jordania</v>
      </c>
      <c r="F262" s="9" t="str">
        <f ca="1">+WORLDCUP!BD60</f>
        <v>Haití</v>
      </c>
      <c r="G262" s="9" t="str">
        <f ca="1">+WORLDCUP!BD58</f>
        <v>México</v>
      </c>
      <c r="H262" s="9" t="str">
        <f ca="1">+WORLDCUP!BD61</f>
        <v>Australia</v>
      </c>
      <c r="I262" s="9" t="str">
        <f ca="1">+WORLDCUP!BD69</f>
        <v>Ghana</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Irán</v>
      </c>
      <c r="E263" s="9" t="str">
        <f ca="1">+WORLDCUP!BD67</f>
        <v>Jordania</v>
      </c>
      <c r="F263" s="9" t="str">
        <f ca="1">+WORLDCUP!BD60</f>
        <v>Haití</v>
      </c>
      <c r="G263" s="9" t="str">
        <f ca="1">+WORLDCUP!BD58</f>
        <v>México</v>
      </c>
      <c r="H263" s="9" t="str">
        <f ca="1">+WORLDCUP!BD61</f>
        <v>Australia</v>
      </c>
      <c r="I263" s="9" t="str">
        <f ca="1">+WORLDCUP!BD62</f>
        <v>Costa de Marfil</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Irán</v>
      </c>
      <c r="E264" s="9" t="str">
        <f ca="1">+WORLDCUP!BD62</f>
        <v>Costa de Marfil</v>
      </c>
      <c r="F264" s="9" t="str">
        <f ca="1">+WORLDCUP!BD60</f>
        <v>Haití</v>
      </c>
      <c r="G264" s="9" t="str">
        <f ca="1">+WORLDCUP!BD58</f>
        <v>México</v>
      </c>
      <c r="H264" s="9" t="str">
        <f ca="1">+WORLDCUP!BD61</f>
        <v>Australia</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Irán</v>
      </c>
      <c r="E265" s="9" t="str">
        <f ca="1">+WORLDCUP!BD62</f>
        <v>Costa de Marfil</v>
      </c>
      <c r="F265" s="9" t="str">
        <f ca="1">+WORLDCUP!BD60</f>
        <v>Haití</v>
      </c>
      <c r="G265" s="9" t="str">
        <f ca="1">+WORLDCUP!BD58</f>
        <v>México</v>
      </c>
      <c r="H265" s="9" t="str">
        <f ca="1">+WORLDCUP!BD61</f>
        <v>Australia</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Irán</v>
      </c>
      <c r="E266" s="9" t="str">
        <f ca="1">+WORLDCUP!BD67</f>
        <v>Jordania</v>
      </c>
      <c r="F266" s="9" t="str">
        <f ca="1">+WORLDCUP!BD60</f>
        <v>Haití</v>
      </c>
      <c r="G266" s="9" t="str">
        <f ca="1">+WORLDCUP!BD58</f>
        <v>México</v>
      </c>
      <c r="H266" s="9" t="str">
        <f ca="1">+WORLDCUP!BD61</f>
        <v>Australia</v>
      </c>
      <c r="I266" s="9" t="str">
        <f ca="1">+WORLDCUP!BD62</f>
        <v>Costa de Marfil</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Haití</v>
      </c>
      <c r="D267" s="9" t="str">
        <f ca="1">+WORLDCUP!BD67</f>
        <v>Jordania</v>
      </c>
      <c r="E267" s="9" t="str">
        <f ca="1">+WORLDCUP!BD62</f>
        <v>Costa de Marfil</v>
      </c>
      <c r="F267" s="9" t="str">
        <f ca="1">+WORLDCUP!BD61</f>
        <v>Australia</v>
      </c>
      <c r="G267" s="9" t="str">
        <f ca="1">+WORLDCUP!BD58</f>
        <v>México</v>
      </c>
      <c r="H267" s="9" t="str">
        <f ca="1">+WORLDCUP!BD63</f>
        <v>Túnez</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Haití</v>
      </c>
      <c r="D268" s="9" t="str">
        <f ca="1">+WORLDCUP!BD62</f>
        <v>Costa de Marfil</v>
      </c>
      <c r="E268" s="9" t="str">
        <f ca="1">+WORLDCUP!BD66</f>
        <v>Senegal</v>
      </c>
      <c r="F268" s="9" t="str">
        <f ca="1">+WORLDCUP!BD61</f>
        <v>Australia</v>
      </c>
      <c r="G268" s="9" t="str">
        <f ca="1">+WORLDCUP!BD58</f>
        <v>México</v>
      </c>
      <c r="H268" s="9" t="str">
        <f ca="1">+WORLDCUP!BD63</f>
        <v>Túnez</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Haití</v>
      </c>
      <c r="D269" s="9" t="str">
        <f ca="1">+WORLDCUP!BD67</f>
        <v>Jordania</v>
      </c>
      <c r="E269" s="9" t="str">
        <f ca="1">+WORLDCUP!BD62</f>
        <v>Costa de Marfil</v>
      </c>
      <c r="F269" s="9" t="str">
        <f ca="1">+WORLDCUP!BD61</f>
        <v>Australia</v>
      </c>
      <c r="G269" s="9" t="str">
        <f ca="1">+WORLDCUP!BD58</f>
        <v>México</v>
      </c>
      <c r="H269" s="9" t="str">
        <f ca="1">+WORLDCUP!BD63</f>
        <v>Túnez</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Haití</v>
      </c>
      <c r="D270" s="9" t="str">
        <f ca="1">+WORLDCUP!BD67</f>
        <v>Jordania</v>
      </c>
      <c r="E270" s="9" t="str">
        <f ca="1">+WORLDCUP!BD62</f>
        <v>Costa de Marfil</v>
      </c>
      <c r="F270" s="9" t="str">
        <f ca="1">+WORLDCUP!BD61</f>
        <v>Australia</v>
      </c>
      <c r="G270" s="9" t="str">
        <f ca="1">+WORLDCUP!BD58</f>
        <v>México</v>
      </c>
      <c r="H270" s="9" t="str">
        <f ca="1">+WORLDCUP!BD63</f>
        <v>Túnez</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Costa de Marfil</v>
      </c>
      <c r="E271" s="9" t="str">
        <f ca="1">+WORLDCUP!BD63</f>
        <v>Túnez</v>
      </c>
      <c r="F271" s="9" t="str">
        <f ca="1">+WORLDCUP!BD60</f>
        <v>Haití</v>
      </c>
      <c r="G271" s="9" t="str">
        <f ca="1">+WORLDCUP!BD58</f>
        <v>México</v>
      </c>
      <c r="H271" s="9" t="str">
        <f ca="1">+WORLDCUP!BD61</f>
        <v>Australia</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Jordania</v>
      </c>
      <c r="E272" s="9" t="str">
        <f ca="1">+WORLDCUP!BD63</f>
        <v>Túnez</v>
      </c>
      <c r="F272" s="9" t="str">
        <f ca="1">+WORLDCUP!BD60</f>
        <v>Haití</v>
      </c>
      <c r="G272" s="9" t="str">
        <f ca="1">+WORLDCUP!BD58</f>
        <v>México</v>
      </c>
      <c r="H272" s="9" t="str">
        <f ca="1">+WORLDCUP!BD61</f>
        <v>Australia</v>
      </c>
      <c r="I272" s="9" t="str">
        <f ca="1">+WORLDCUP!BD69</f>
        <v>Ghana</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Jordania</v>
      </c>
      <c r="E273" s="9" t="str">
        <f ca="1">+WORLDCUP!BD62</f>
        <v>Costa de Marfil</v>
      </c>
      <c r="F273" s="9" t="str">
        <f ca="1">+WORLDCUP!BD60</f>
        <v>Haití</v>
      </c>
      <c r="G273" s="9" t="str">
        <f ca="1">+WORLDCUP!BD58</f>
        <v>México</v>
      </c>
      <c r="H273" s="9" t="str">
        <f ca="1">+WORLDCUP!BD63</f>
        <v>Túnez</v>
      </c>
      <c r="I273" s="9" t="str">
        <f ca="1">+WORLDCUP!BD61</f>
        <v>Australia</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Costa de Marfil</v>
      </c>
      <c r="E274" s="9" t="str">
        <f ca="1">+WORLDCUP!BD63</f>
        <v>Túnez</v>
      </c>
      <c r="F274" s="9" t="str">
        <f ca="1">+WORLDCUP!BD60</f>
        <v>Haití</v>
      </c>
      <c r="G274" s="9" t="str">
        <f ca="1">+WORLDCUP!BD58</f>
        <v>México</v>
      </c>
      <c r="H274" s="9" t="str">
        <f ca="1">+WORLDCUP!BD61</f>
        <v>Australia</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Costa de Marfil</v>
      </c>
      <c r="E275" s="9" t="str">
        <f ca="1">+WORLDCUP!BD63</f>
        <v>Túnez</v>
      </c>
      <c r="F275" s="9" t="str">
        <f ca="1">+WORLDCUP!BD60</f>
        <v>Haití</v>
      </c>
      <c r="G275" s="9" t="str">
        <f ca="1">+WORLDCUP!BD58</f>
        <v>México</v>
      </c>
      <c r="H275" s="9" t="str">
        <f ca="1">+WORLDCUP!BD61</f>
        <v>Australia</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Jordania</v>
      </c>
      <c r="E276" s="9" t="str">
        <f ca="1">+WORLDCUP!BD62</f>
        <v>Costa de Marfil</v>
      </c>
      <c r="F276" s="9" t="str">
        <f ca="1">+WORLDCUP!BD60</f>
        <v>Haití</v>
      </c>
      <c r="G276" s="9" t="str">
        <f ca="1">+WORLDCUP!BD58</f>
        <v>México</v>
      </c>
      <c r="H276" s="9" t="str">
        <f ca="1">+WORLDCUP!BD63</f>
        <v>Túnez</v>
      </c>
      <c r="I276" s="9" t="str">
        <f ca="1">+WORLDCUP!BD61</f>
        <v>Australia</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Haití</v>
      </c>
      <c r="D277" s="9" t="str">
        <f ca="1">+WORLDCUP!BD64</f>
        <v>Irán</v>
      </c>
      <c r="E277" s="9" t="str">
        <f ca="1">+WORLDCUP!BD62</f>
        <v>Costa de Marfil</v>
      </c>
      <c r="F277" s="9" t="str">
        <f ca="1">+WORLDCUP!BD61</f>
        <v>Australia</v>
      </c>
      <c r="G277" s="9" t="str">
        <f ca="1">+WORLDCUP!BD58</f>
        <v>México</v>
      </c>
      <c r="H277" s="9" t="str">
        <f ca="1">+WORLDCUP!BD63</f>
        <v>Túnez</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Haití</v>
      </c>
      <c r="D278" s="9" t="str">
        <f ca="1">+WORLDCUP!BD64</f>
        <v>Irán</v>
      </c>
      <c r="E278" s="9" t="str">
        <f ca="1">+WORLDCUP!BD67</f>
        <v>Jordania</v>
      </c>
      <c r="F278" s="9" t="str">
        <f ca="1">+WORLDCUP!BD61</f>
        <v>Australia</v>
      </c>
      <c r="G278" s="9" t="str">
        <f ca="1">+WORLDCUP!BD58</f>
        <v>México</v>
      </c>
      <c r="H278" s="9" t="str">
        <f ca="1">+WORLDCUP!BD63</f>
        <v>Túnez</v>
      </c>
      <c r="I278" s="9" t="str">
        <f ca="1">+WORLDCUP!BD69</f>
        <v>Ghana</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Haití</v>
      </c>
      <c r="D279" s="9" t="str">
        <f ca="1">+WORLDCUP!BD64</f>
        <v>Irán</v>
      </c>
      <c r="E279" s="9" t="str">
        <f ca="1">+WORLDCUP!BD67</f>
        <v>Jordania</v>
      </c>
      <c r="F279" s="9" t="str">
        <f ca="1">+WORLDCUP!BD61</f>
        <v>Australia</v>
      </c>
      <c r="G279" s="9" t="str">
        <f ca="1">+WORLDCUP!BD58</f>
        <v>México</v>
      </c>
      <c r="H279" s="9" t="str">
        <f ca="1">+WORLDCUP!BD63</f>
        <v>Túnez</v>
      </c>
      <c r="I279" s="9" t="str">
        <f ca="1">+WORLDCUP!BD62</f>
        <v>Costa de Marfil</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Haití</v>
      </c>
      <c r="D280" s="9" t="str">
        <f ca="1">+WORLDCUP!BD64</f>
        <v>Irán</v>
      </c>
      <c r="E280" s="9" t="str">
        <f ca="1">+WORLDCUP!BD62</f>
        <v>Costa de Marfil</v>
      </c>
      <c r="F280" s="9" t="str">
        <f ca="1">+WORLDCUP!BD61</f>
        <v>Australia</v>
      </c>
      <c r="G280" s="9" t="str">
        <f ca="1">+WORLDCUP!BD58</f>
        <v>México</v>
      </c>
      <c r="H280" s="9" t="str">
        <f ca="1">+WORLDCUP!BD63</f>
        <v>Túnez</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Haití</v>
      </c>
      <c r="D281" s="9" t="str">
        <f ca="1">+WORLDCUP!BD64</f>
        <v>Irán</v>
      </c>
      <c r="E281" s="9" t="str">
        <f ca="1">+WORLDCUP!BD62</f>
        <v>Costa de Marfil</v>
      </c>
      <c r="F281" s="9" t="str">
        <f ca="1">+WORLDCUP!BD61</f>
        <v>Australia</v>
      </c>
      <c r="G281" s="9" t="str">
        <f ca="1">+WORLDCUP!BD58</f>
        <v>México</v>
      </c>
      <c r="H281" s="9" t="str">
        <f ca="1">+WORLDCUP!BD63</f>
        <v>Túnez</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Haití</v>
      </c>
      <c r="D282" s="9" t="str">
        <f ca="1">+WORLDCUP!BD64</f>
        <v>Irán</v>
      </c>
      <c r="E282" s="9" t="str">
        <f ca="1">+WORLDCUP!BD67</f>
        <v>Jordania</v>
      </c>
      <c r="F282" s="9" t="str">
        <f ca="1">+WORLDCUP!BD61</f>
        <v>Australia</v>
      </c>
      <c r="G282" s="9" t="str">
        <f ca="1">+WORLDCUP!BD58</f>
        <v>México</v>
      </c>
      <c r="H282" s="9" t="str">
        <f ca="1">+WORLDCUP!BD63</f>
        <v>Túnez</v>
      </c>
      <c r="I282" s="9" t="str">
        <f ca="1">+WORLDCUP!BD62</f>
        <v>Costa de Marfil</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Irán</v>
      </c>
      <c r="E283" s="9" t="str">
        <f ca="1">+WORLDCUP!BD63</f>
        <v>Túnez</v>
      </c>
      <c r="F283" s="9" t="str">
        <f ca="1">+WORLDCUP!BD60</f>
        <v>Haití</v>
      </c>
      <c r="G283" s="9" t="str">
        <f ca="1">+WORLDCUP!BD58</f>
        <v>México</v>
      </c>
      <c r="H283" s="9" t="str">
        <f ca="1">+WORLDCUP!BD61</f>
        <v>Australia</v>
      </c>
      <c r="I283" s="9" t="str">
        <f ca="1">+WORLDCUP!BD69</f>
        <v>Ghana</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Irán</v>
      </c>
      <c r="E284" s="9" t="str">
        <f ca="1">+WORLDCUP!BD62</f>
        <v>Costa de Marfil</v>
      </c>
      <c r="F284" s="9" t="str">
        <f ca="1">+WORLDCUP!BD60</f>
        <v>Haití</v>
      </c>
      <c r="G284" s="9" t="str">
        <f ca="1">+WORLDCUP!BD58</f>
        <v>México</v>
      </c>
      <c r="H284" s="9" t="str">
        <f ca="1">+WORLDCUP!BD63</f>
        <v>Túnez</v>
      </c>
      <c r="I284" s="9" t="str">
        <f ca="1">+WORLDCUP!BD61</f>
        <v>Australia</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Irán</v>
      </c>
      <c r="E285" s="9" t="str">
        <f ca="1">+WORLDCUP!BD67</f>
        <v>Jordania</v>
      </c>
      <c r="F285" s="9" t="str">
        <f ca="1">+WORLDCUP!BD60</f>
        <v>Haití</v>
      </c>
      <c r="G285" s="9" t="str">
        <f ca="1">+WORLDCUP!BD58</f>
        <v>México</v>
      </c>
      <c r="H285" s="9" t="str">
        <f ca="1">+WORLDCUP!BD63</f>
        <v>Túnez</v>
      </c>
      <c r="I285" s="9" t="str">
        <f ca="1">+WORLDCUP!BD61</f>
        <v>Australia</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Irán</v>
      </c>
      <c r="E286" s="9" t="str">
        <f ca="1">+WORLDCUP!BD62</f>
        <v>Costa de Marfil</v>
      </c>
      <c r="F286" s="9" t="str">
        <f ca="1">+WORLDCUP!BD60</f>
        <v>Haití</v>
      </c>
      <c r="G286" s="9" t="str">
        <f ca="1">+WORLDCUP!BD58</f>
        <v>México</v>
      </c>
      <c r="H286" s="9" t="str">
        <f ca="1">+WORLDCUP!BD63</f>
        <v>Túnez</v>
      </c>
      <c r="I286" s="9" t="str">
        <f ca="1">+WORLDCUP!BD61</f>
        <v>Australia</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Jordania</v>
      </c>
      <c r="E287" s="9" t="str">
        <f ca="1">+WORLDCUP!BD59</f>
        <v>Canadá</v>
      </c>
      <c r="F287" s="9" t="str">
        <f ca="1">+WORLDCUP!BD58</f>
        <v>México</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Jordania</v>
      </c>
      <c r="E288" s="9" t="str">
        <f ca="1">+WORLDCUP!BD59</f>
        <v>Canadá</v>
      </c>
      <c r="F288" s="9" t="str">
        <f ca="1">+WORLDCUP!BD58</f>
        <v>México</v>
      </c>
      <c r="G288" s="9" t="str">
        <f ca="1">+WORLDCUP!BD66</f>
        <v>Senegal</v>
      </c>
      <c r="H288" s="9" t="str">
        <f ca="1">+WORLDCUP!BD63</f>
        <v>Túnez</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Jordania</v>
      </c>
      <c r="E289" s="9" t="str">
        <f ca="1">+WORLDCUP!BD59</f>
        <v>Canadá</v>
      </c>
      <c r="F289" s="9" t="str">
        <f ca="1">+WORLDCUP!BD63</f>
        <v>Túnez</v>
      </c>
      <c r="G289" s="9" t="str">
        <f ca="1">+WORLDCUP!BD58</f>
        <v>México</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Jordania</v>
      </c>
      <c r="E290" s="9" t="str">
        <f ca="1">+WORLDCUP!BD59</f>
        <v>Canadá</v>
      </c>
      <c r="F290" s="9" t="str">
        <f ca="1">+WORLDCUP!BD63</f>
        <v>Túnez</v>
      </c>
      <c r="G290" s="9" t="str">
        <f ca="1">+WORLDCUP!BD58</f>
        <v>México</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Irán</v>
      </c>
      <c r="E291" s="9" t="str">
        <f ca="1">+WORLDCUP!BD59</f>
        <v>Canadá</v>
      </c>
      <c r="F291" s="9" t="str">
        <f ca="1">+WORLDCUP!BD58</f>
        <v>México</v>
      </c>
      <c r="G291" s="9" t="str">
        <f ca="1">+WORLDCUP!BD66</f>
        <v>Senegal</v>
      </c>
      <c r="H291" s="9" t="str">
        <f ca="1">+WORLDCUP!BD63</f>
        <v>Túnez</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Jordania</v>
      </c>
      <c r="E292" s="9" t="str">
        <f ca="1">+WORLDCUP!BD59</f>
        <v>Canadá</v>
      </c>
      <c r="F292" s="9" t="str">
        <f ca="1">+WORLDCUP!BD63</f>
        <v>Túnez</v>
      </c>
      <c r="G292" s="9" t="str">
        <f ca="1">+WORLDCUP!BD58</f>
        <v>México</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Jordania</v>
      </c>
      <c r="E293" s="9" t="str">
        <f ca="1">+WORLDCUP!BD59</f>
        <v>Canadá</v>
      </c>
      <c r="F293" s="9" t="str">
        <f ca="1">+WORLDCUP!BD63</f>
        <v>Túnez</v>
      </c>
      <c r="G293" s="9" t="str">
        <f ca="1">+WORLDCUP!BD58</f>
        <v>México</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Costa de Marfil</v>
      </c>
      <c r="D294" s="9" t="str">
        <f ca="1">+WORLDCUP!BD67</f>
        <v>Jordania</v>
      </c>
      <c r="E294" s="9" t="str">
        <f ca="1">+WORLDCUP!BD59</f>
        <v>Canadá</v>
      </c>
      <c r="F294" s="9" t="str">
        <f ca="1">+WORLDCUP!BD58</f>
        <v>México</v>
      </c>
      <c r="G294" s="9" t="str">
        <f ca="1">+WORLDCUP!BD66</f>
        <v>Senegal</v>
      </c>
      <c r="H294" s="9" t="str">
        <f ca="1">+WORLDCUP!BD65</f>
        <v>Arabia Saudita</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Costa de Marfil</v>
      </c>
      <c r="D295" s="9" t="str">
        <f ca="1">+WORLDCUP!BD67</f>
        <v>Jordania</v>
      </c>
      <c r="E295" s="9" t="str">
        <f ca="1">+WORLDCUP!BD59</f>
        <v>Canadá</v>
      </c>
      <c r="F295" s="9" t="str">
        <f ca="1">+WORLDCUP!BD58</f>
        <v>México</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Costa de Marfil</v>
      </c>
      <c r="D296" s="9" t="str">
        <f ca="1">+WORLDCUP!BD67</f>
        <v>Jordania</v>
      </c>
      <c r="E296" s="9" t="str">
        <f ca="1">+WORLDCUP!BD59</f>
        <v>Canadá</v>
      </c>
      <c r="F296" s="9" t="str">
        <f ca="1">+WORLDCUP!BD58</f>
        <v>México</v>
      </c>
      <c r="G296" s="9" t="str">
        <f ca="1">+WORLDCUP!BD65</f>
        <v>Arabia Saudita</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Costa de Marfil</v>
      </c>
      <c r="D297" s="9" t="str">
        <f ca="1">+WORLDCUP!BD64</f>
        <v>Irán</v>
      </c>
      <c r="E297" s="9" t="str">
        <f ca="1">+WORLDCUP!BD59</f>
        <v>Canadá</v>
      </c>
      <c r="F297" s="9" t="str">
        <f ca="1">+WORLDCUP!BD58</f>
        <v>México</v>
      </c>
      <c r="G297" s="9" t="str">
        <f ca="1">+WORLDCUP!BD66</f>
        <v>Senegal</v>
      </c>
      <c r="H297" s="9" t="str">
        <f ca="1">+WORLDCUP!BD65</f>
        <v>Arabia Saudita</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Costa de Marfil</v>
      </c>
      <c r="D298" s="9" t="str">
        <f ca="1">+WORLDCUP!BD67</f>
        <v>Jordania</v>
      </c>
      <c r="E298" s="9" t="str">
        <f ca="1">+WORLDCUP!BD59</f>
        <v>Canadá</v>
      </c>
      <c r="F298" s="9" t="str">
        <f ca="1">+WORLDCUP!BD58</f>
        <v>México</v>
      </c>
      <c r="G298" s="9" t="str">
        <f ca="1">+WORLDCUP!BD65</f>
        <v>Arabia Saudita</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Costa de Marfil</v>
      </c>
      <c r="D299" s="9" t="str">
        <f ca="1">+WORLDCUP!BD67</f>
        <v>Jordania</v>
      </c>
      <c r="E299" s="9" t="str">
        <f ca="1">+WORLDCUP!BD59</f>
        <v>Canadá</v>
      </c>
      <c r="F299" s="9" t="str">
        <f ca="1">+WORLDCUP!BD58</f>
        <v>México</v>
      </c>
      <c r="G299" s="9" t="str">
        <f ca="1">+WORLDCUP!BD65</f>
        <v>Arabia Saudita</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Costa de Marfil</v>
      </c>
      <c r="D300" s="9" t="str">
        <f ca="1">+WORLDCUP!BD67</f>
        <v>Jordania</v>
      </c>
      <c r="E300" s="9" t="str">
        <f ca="1">+WORLDCUP!BD59</f>
        <v>Canadá</v>
      </c>
      <c r="F300" s="9" t="str">
        <f ca="1">+WORLDCUP!BD58</f>
        <v>México</v>
      </c>
      <c r="G300" s="9" t="str">
        <f ca="1">+WORLDCUP!BD66</f>
        <v>Senegal</v>
      </c>
      <c r="H300" s="9" t="str">
        <f ca="1">+WORLDCUP!BD63</f>
        <v>Túnez</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Costa de Marfil</v>
      </c>
      <c r="D301" s="9" t="str">
        <f ca="1">+WORLDCUP!BD67</f>
        <v>Jordania</v>
      </c>
      <c r="E301" s="9" t="str">
        <f ca="1">+WORLDCUP!BD59</f>
        <v>Canadá</v>
      </c>
      <c r="F301" s="9" t="str">
        <f ca="1">+WORLDCUP!BD63</f>
        <v>Túnez</v>
      </c>
      <c r="G301" s="9" t="str">
        <f ca="1">+WORLDCUP!BD58</f>
        <v>México</v>
      </c>
      <c r="H301" s="9" t="str">
        <f ca="1">+WORLDCUP!BD65</f>
        <v>Arabia Saudita</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Costa de Marfil</v>
      </c>
      <c r="D302" s="9" t="str">
        <f ca="1">+WORLDCUP!BD66</f>
        <v>Senegal</v>
      </c>
      <c r="E302" s="9" t="str">
        <f ca="1">+WORLDCUP!BD59</f>
        <v>Canadá</v>
      </c>
      <c r="F302" s="9" t="str">
        <f ca="1">+WORLDCUP!BD63</f>
        <v>Túnez</v>
      </c>
      <c r="G302" s="9" t="str">
        <f ca="1">+WORLDCUP!BD58</f>
        <v>México</v>
      </c>
      <c r="H302" s="9" t="str">
        <f ca="1">+WORLDCUP!BD65</f>
        <v>Arabia Saudita</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Costa de Marfil</v>
      </c>
      <c r="D303" s="9" t="str">
        <f ca="1">+WORLDCUP!BD67</f>
        <v>Jordania</v>
      </c>
      <c r="E303" s="9" t="str">
        <f ca="1">+WORLDCUP!BD59</f>
        <v>Canadá</v>
      </c>
      <c r="F303" s="9" t="str">
        <f ca="1">+WORLDCUP!BD63</f>
        <v>Túnez</v>
      </c>
      <c r="G303" s="9" t="str">
        <f ca="1">+WORLDCUP!BD58</f>
        <v>México</v>
      </c>
      <c r="H303" s="9" t="str">
        <f ca="1">+WORLDCUP!BD65</f>
        <v>Arabia Saudita</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Costa de Marfil</v>
      </c>
      <c r="D304" s="9" t="str">
        <f ca="1">+WORLDCUP!BD67</f>
        <v>Jordania</v>
      </c>
      <c r="E304" s="9" t="str">
        <f ca="1">+WORLDCUP!BD59</f>
        <v>Canadá</v>
      </c>
      <c r="F304" s="9" t="str">
        <f ca="1">+WORLDCUP!BD63</f>
        <v>Túnez</v>
      </c>
      <c r="G304" s="9" t="str">
        <f ca="1">+WORLDCUP!BD58</f>
        <v>México</v>
      </c>
      <c r="H304" s="9" t="str">
        <f ca="1">+WORLDCUP!BD65</f>
        <v>Arabia Saudita</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Costa de Marfil</v>
      </c>
      <c r="D305" s="9" t="str">
        <f ca="1">+WORLDCUP!BD67</f>
        <v>Jordania</v>
      </c>
      <c r="E305" s="9" t="str">
        <f ca="1">+WORLDCUP!BD59</f>
        <v>Canadá</v>
      </c>
      <c r="F305" s="9" t="str">
        <f ca="1">+WORLDCUP!BD63</f>
        <v>Túnez</v>
      </c>
      <c r="G305" s="9" t="str">
        <f ca="1">+WORLDCUP!BD58</f>
        <v>México</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Costa de Marfil</v>
      </c>
      <c r="D306" s="9" t="str">
        <f ca="1">+WORLDCUP!BD64</f>
        <v>Irán</v>
      </c>
      <c r="E306" s="9" t="str">
        <f ca="1">+WORLDCUP!BD59</f>
        <v>Canadá</v>
      </c>
      <c r="F306" s="9" t="str">
        <f ca="1">+WORLDCUP!BD58</f>
        <v>México</v>
      </c>
      <c r="G306" s="9" t="str">
        <f ca="1">+WORLDCUP!BD66</f>
        <v>Senegal</v>
      </c>
      <c r="H306" s="9" t="str">
        <f ca="1">+WORLDCUP!BD63</f>
        <v>Túnez</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Costa de Marfil</v>
      </c>
      <c r="D307" s="9" t="str">
        <f ca="1">+WORLDCUP!BD67</f>
        <v>Jordania</v>
      </c>
      <c r="E307" s="9" t="str">
        <f ca="1">+WORLDCUP!BD59</f>
        <v>Canadá</v>
      </c>
      <c r="F307" s="9" t="str">
        <f ca="1">+WORLDCUP!BD63</f>
        <v>Túnez</v>
      </c>
      <c r="G307" s="9" t="str">
        <f ca="1">+WORLDCUP!BD58</f>
        <v>México</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Costa de Marfil</v>
      </c>
      <c r="D308" s="9" t="str">
        <f ca="1">+WORLDCUP!BD67</f>
        <v>Jordania</v>
      </c>
      <c r="E308" s="9" t="str">
        <f ca="1">+WORLDCUP!BD59</f>
        <v>Canadá</v>
      </c>
      <c r="F308" s="9" t="str">
        <f ca="1">+WORLDCUP!BD63</f>
        <v>Túnez</v>
      </c>
      <c r="G308" s="9" t="str">
        <f ca="1">+WORLDCUP!BD58</f>
        <v>México</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Costa de Marfil</v>
      </c>
      <c r="D309" s="9" t="str">
        <f ca="1">+WORLDCUP!BD64</f>
        <v>Irán</v>
      </c>
      <c r="E309" s="9" t="str">
        <f ca="1">+WORLDCUP!BD59</f>
        <v>Canadá</v>
      </c>
      <c r="F309" s="9" t="str">
        <f ca="1">+WORLDCUP!BD63</f>
        <v>Túnez</v>
      </c>
      <c r="G309" s="9" t="str">
        <f ca="1">+WORLDCUP!BD58</f>
        <v>México</v>
      </c>
      <c r="H309" s="9" t="str">
        <f ca="1">+WORLDCUP!BD65</f>
        <v>Arabia Saudita</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Jordania</v>
      </c>
      <c r="E310" s="9" t="str">
        <f ca="1">+WORLDCUP!BD59</f>
        <v>Canadá</v>
      </c>
      <c r="F310" s="9" t="str">
        <f ca="1">+WORLDCUP!BD63</f>
        <v>Túnez</v>
      </c>
      <c r="G310" s="9" t="str">
        <f ca="1">+WORLDCUP!BD58</f>
        <v>México</v>
      </c>
      <c r="H310" s="9" t="str">
        <f ca="1">+WORLDCUP!BD64</f>
        <v>Irán</v>
      </c>
      <c r="I310" s="9" t="str">
        <f ca="1">+WORLDCUP!BD69</f>
        <v>Ghana</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Jordania</v>
      </c>
      <c r="E311" s="9" t="str">
        <f ca="1">+WORLDCUP!BD59</f>
        <v>Canadá</v>
      </c>
      <c r="F311" s="9" t="str">
        <f ca="1">+WORLDCUP!BD63</f>
        <v>Túnez</v>
      </c>
      <c r="G311" s="9" t="str">
        <f ca="1">+WORLDCUP!BD58</f>
        <v>México</v>
      </c>
      <c r="H311" s="9" t="str">
        <f ca="1">+WORLDCUP!BD64</f>
        <v>Irán</v>
      </c>
      <c r="I311" s="9" t="str">
        <f ca="1">+WORLDCUP!BD62</f>
        <v>Costa de Marfil</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Costa de Marfil</v>
      </c>
      <c r="D312" s="9" t="str">
        <f ca="1">+WORLDCUP!BD64</f>
        <v>Irán</v>
      </c>
      <c r="E312" s="9" t="str">
        <f ca="1">+WORLDCUP!BD59</f>
        <v>Canadá</v>
      </c>
      <c r="F312" s="9" t="str">
        <f ca="1">+WORLDCUP!BD63</f>
        <v>Túnez</v>
      </c>
      <c r="G312" s="9" t="str">
        <f ca="1">+WORLDCUP!BD58</f>
        <v>México</v>
      </c>
      <c r="H312" s="9" t="str">
        <f ca="1">+WORLDCUP!BD65</f>
        <v>Arabia Saudita</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Costa de Marfil</v>
      </c>
      <c r="D313" s="9" t="str">
        <f ca="1">+WORLDCUP!BD64</f>
        <v>Irán</v>
      </c>
      <c r="E313" s="9" t="str">
        <f ca="1">+WORLDCUP!BD59</f>
        <v>Canadá</v>
      </c>
      <c r="F313" s="9" t="str">
        <f ca="1">+WORLDCUP!BD63</f>
        <v>Túnez</v>
      </c>
      <c r="G313" s="9" t="str">
        <f ca="1">+WORLDCUP!BD58</f>
        <v>México</v>
      </c>
      <c r="H313" s="9" t="str">
        <f ca="1">+WORLDCUP!BD65</f>
        <v>Arabia Saudita</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Jordania</v>
      </c>
      <c r="E314" s="9" t="str">
        <f ca="1">+WORLDCUP!BD59</f>
        <v>Canadá</v>
      </c>
      <c r="F314" s="9" t="str">
        <f ca="1">+WORLDCUP!BD63</f>
        <v>Túnez</v>
      </c>
      <c r="G314" s="9" t="str">
        <f ca="1">+WORLDCUP!BD58</f>
        <v>México</v>
      </c>
      <c r="H314" s="9" t="str">
        <f ca="1">+WORLDCUP!BD64</f>
        <v>Irán</v>
      </c>
      <c r="I314" s="9" t="str">
        <f ca="1">+WORLDCUP!BD62</f>
        <v>Costa de Marfil</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Jordania</v>
      </c>
      <c r="E315" s="9" t="str">
        <f ca="1">+WORLDCUP!BD59</f>
        <v>Canadá</v>
      </c>
      <c r="F315" s="9" t="str">
        <f ca="1">+WORLDCUP!BD61</f>
        <v>Australia</v>
      </c>
      <c r="G315" s="9" t="str">
        <f ca="1">+WORLDCUP!BD58</f>
        <v>México</v>
      </c>
      <c r="H315" s="9" t="str">
        <f ca="1">+WORLDCUP!BD65</f>
        <v>Arabia Saudita</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Jordania</v>
      </c>
      <c r="E316" s="9" t="str">
        <f ca="1">+WORLDCUP!BD59</f>
        <v>Canadá</v>
      </c>
      <c r="F316" s="9" t="str">
        <f ca="1">+WORLDCUP!BD61</f>
        <v>Australia</v>
      </c>
      <c r="G316" s="9" t="str">
        <f ca="1">+WORLDCUP!BD58</f>
        <v>México</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Jordania</v>
      </c>
      <c r="E317" s="9" t="str">
        <f ca="1">+WORLDCUP!BD59</f>
        <v>Canadá</v>
      </c>
      <c r="F317" s="9" t="str">
        <f ca="1">+WORLDCUP!BD61</f>
        <v>Australia</v>
      </c>
      <c r="G317" s="9" t="str">
        <f ca="1">+WORLDCUP!BD58</f>
        <v>México</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Irán</v>
      </c>
      <c r="E318" s="9" t="str">
        <f ca="1">+WORLDCUP!BD59</f>
        <v>Canadá</v>
      </c>
      <c r="F318" s="9" t="str">
        <f ca="1">+WORLDCUP!BD61</f>
        <v>Australia</v>
      </c>
      <c r="G318" s="9" t="str">
        <f ca="1">+WORLDCUP!BD58</f>
        <v>México</v>
      </c>
      <c r="H318" s="9" t="str">
        <f ca="1">+WORLDCUP!BD65</f>
        <v>Arabia Saudita</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Jordania</v>
      </c>
      <c r="E319" s="9" t="str">
        <f ca="1">+WORLDCUP!BD59</f>
        <v>Canadá</v>
      </c>
      <c r="F319" s="9" t="str">
        <f ca="1">+WORLDCUP!BD61</f>
        <v>Australia</v>
      </c>
      <c r="G319" s="9" t="str">
        <f ca="1">+WORLDCUP!BD58</f>
        <v>México</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Jordania</v>
      </c>
      <c r="E320" s="9" t="str">
        <f ca="1">+WORLDCUP!BD59</f>
        <v>Canadá</v>
      </c>
      <c r="F320" s="9" t="str">
        <f ca="1">+WORLDCUP!BD61</f>
        <v>Australia</v>
      </c>
      <c r="G320" s="9" t="str">
        <f ca="1">+WORLDCUP!BD58</f>
        <v>México</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Jordania</v>
      </c>
      <c r="E321" s="9" t="str">
        <f ca="1">+WORLDCUP!BD59</f>
        <v>Canadá</v>
      </c>
      <c r="F321" s="9" t="str">
        <f ca="1">+WORLDCUP!BD61</f>
        <v>Australia</v>
      </c>
      <c r="G321" s="9" t="str">
        <f ca="1">+WORLDCUP!BD58</f>
        <v>México</v>
      </c>
      <c r="H321" s="9" t="str">
        <f ca="1">+WORLDCUP!BD63</f>
        <v>Túnez</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Jordania</v>
      </c>
      <c r="E322" s="9" t="str">
        <f ca="1">+WORLDCUP!BD59</f>
        <v>Canadá</v>
      </c>
      <c r="F322" s="9" t="str">
        <f ca="1">+WORLDCUP!BD61</f>
        <v>Australia</v>
      </c>
      <c r="G322" s="9" t="str">
        <f ca="1">+WORLDCUP!BD58</f>
        <v>México</v>
      </c>
      <c r="H322" s="9" t="str">
        <f ca="1">+WORLDCUP!BD63</f>
        <v>Túnez</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Canadá</v>
      </c>
      <c r="F323" s="9" t="str">
        <f ca="1">+WORLDCUP!BD61</f>
        <v>Australia</v>
      </c>
      <c r="G323" s="9" t="str">
        <f ca="1">+WORLDCUP!BD58</f>
        <v>México</v>
      </c>
      <c r="H323" s="9" t="str">
        <f ca="1">+WORLDCUP!BD63</f>
        <v>Túnez</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Jordania</v>
      </c>
      <c r="E324" s="9" t="str">
        <f ca="1">+WORLDCUP!BD59</f>
        <v>Canadá</v>
      </c>
      <c r="F324" s="9" t="str">
        <f ca="1">+WORLDCUP!BD61</f>
        <v>Australia</v>
      </c>
      <c r="G324" s="9" t="str">
        <f ca="1">+WORLDCUP!BD58</f>
        <v>México</v>
      </c>
      <c r="H324" s="9" t="str">
        <f ca="1">+WORLDCUP!BD63</f>
        <v>Túnez</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Jordania</v>
      </c>
      <c r="E325" s="9" t="str">
        <f ca="1">+WORLDCUP!BD59</f>
        <v>Canadá</v>
      </c>
      <c r="F325" s="9" t="str">
        <f ca="1">+WORLDCUP!BD61</f>
        <v>Australia</v>
      </c>
      <c r="G325" s="9" t="str">
        <f ca="1">+WORLDCUP!BD58</f>
        <v>México</v>
      </c>
      <c r="H325" s="9" t="str">
        <f ca="1">+WORLDCUP!BD63</f>
        <v>Túnez</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Túnez</v>
      </c>
      <c r="D326" s="9" t="str">
        <f ca="1">+WORLDCUP!BD67</f>
        <v>Jordania</v>
      </c>
      <c r="E326" s="9" t="str">
        <f ca="1">+WORLDCUP!BD59</f>
        <v>Canadá</v>
      </c>
      <c r="F326" s="9" t="str">
        <f ca="1">+WORLDCUP!BD61</f>
        <v>Australia</v>
      </c>
      <c r="G326" s="9" t="str">
        <f ca="1">+WORLDCUP!BD58</f>
        <v>México</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Irán</v>
      </c>
      <c r="E327" s="9" t="str">
        <f ca="1">+WORLDCUP!BD59</f>
        <v>Canadá</v>
      </c>
      <c r="F327" s="9" t="str">
        <f ca="1">+WORLDCUP!BD61</f>
        <v>Australia</v>
      </c>
      <c r="G327" s="9" t="str">
        <f ca="1">+WORLDCUP!BD58</f>
        <v>México</v>
      </c>
      <c r="H327" s="9" t="str">
        <f ca="1">+WORLDCUP!BD63</f>
        <v>Túnez</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Túnez</v>
      </c>
      <c r="D328" s="9" t="str">
        <f ca="1">+WORLDCUP!BD67</f>
        <v>Jordania</v>
      </c>
      <c r="E328" s="9" t="str">
        <f ca="1">+WORLDCUP!BD59</f>
        <v>Canadá</v>
      </c>
      <c r="F328" s="9" t="str">
        <f ca="1">+WORLDCUP!BD61</f>
        <v>Australia</v>
      </c>
      <c r="G328" s="9" t="str">
        <f ca="1">+WORLDCUP!BD58</f>
        <v>México</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Túnez</v>
      </c>
      <c r="D329" s="9" t="str">
        <f ca="1">+WORLDCUP!BD67</f>
        <v>Jordania</v>
      </c>
      <c r="E329" s="9" t="str">
        <f ca="1">+WORLDCUP!BD59</f>
        <v>Canadá</v>
      </c>
      <c r="F329" s="9" t="str">
        <f ca="1">+WORLDCUP!BD61</f>
        <v>Australia</v>
      </c>
      <c r="G329" s="9" t="str">
        <f ca="1">+WORLDCUP!BD58</f>
        <v>México</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Irán</v>
      </c>
      <c r="E330" s="9" t="str">
        <f ca="1">+WORLDCUP!BD59</f>
        <v>Canadá</v>
      </c>
      <c r="F330" s="9" t="str">
        <f ca="1">+WORLDCUP!BD61</f>
        <v>Australia</v>
      </c>
      <c r="G330" s="9" t="str">
        <f ca="1">+WORLDCUP!BD58</f>
        <v>México</v>
      </c>
      <c r="H330" s="9" t="str">
        <f ca="1">+WORLDCUP!BD63</f>
        <v>Túnez</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Irán</v>
      </c>
      <c r="E331" s="9" t="str">
        <f ca="1">+WORLDCUP!BD59</f>
        <v>Canadá</v>
      </c>
      <c r="F331" s="9" t="str">
        <f ca="1">+WORLDCUP!BD61</f>
        <v>Australia</v>
      </c>
      <c r="G331" s="9" t="str">
        <f ca="1">+WORLDCUP!BD58</f>
        <v>México</v>
      </c>
      <c r="H331" s="9" t="str">
        <f ca="1">+WORLDCUP!BD63</f>
        <v>Túnez</v>
      </c>
      <c r="I331" s="9" t="str">
        <f ca="1">+WORLDCUP!BD69</f>
        <v>Ghana</v>
      </c>
      <c r="J331" s="9" t="str">
        <f ca="1">+WORLDCUP!BD67</f>
        <v>Jordania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Irán</v>
      </c>
      <c r="E332" s="9" t="str">
        <f ca="1">+WORLDCUP!BD59</f>
        <v>Canadá</v>
      </c>
      <c r="F332" s="9" t="str">
        <f ca="1">+WORLDCUP!BD61</f>
        <v>Australia</v>
      </c>
      <c r="G332" s="9" t="str">
        <f ca="1">+WORLDCUP!BD58</f>
        <v>México</v>
      </c>
      <c r="H332" s="9" t="str">
        <f ca="1">+WORLDCUP!BD63</f>
        <v>Túnez</v>
      </c>
      <c r="I332" s="9" t="str">
        <f ca="1">+WORLDCUP!BD67</f>
        <v>Jordania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Irán</v>
      </c>
      <c r="E333" s="9" t="str">
        <f ca="1">+WORLDCUP!BD59</f>
        <v>Canadá</v>
      </c>
      <c r="F333" s="9" t="str">
        <f ca="1">+WORLDCUP!BD61</f>
        <v>Australia</v>
      </c>
      <c r="G333" s="9" t="str">
        <f ca="1">+WORLDCUP!BD58</f>
        <v>México</v>
      </c>
      <c r="H333" s="9" t="str">
        <f ca="1">+WORLDCUP!BD63</f>
        <v>Túnez</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Irán</v>
      </c>
      <c r="E334" s="9" t="str">
        <f ca="1">+WORLDCUP!BD59</f>
        <v>Canadá</v>
      </c>
      <c r="F334" s="9" t="str">
        <f ca="1">+WORLDCUP!BD61</f>
        <v>Australia</v>
      </c>
      <c r="G334" s="9" t="str">
        <f ca="1">+WORLDCUP!BD58</f>
        <v>México</v>
      </c>
      <c r="H334" s="9" t="str">
        <f ca="1">+WORLDCUP!BD63</f>
        <v>Túnez</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Irán</v>
      </c>
      <c r="E335" s="9" t="str">
        <f ca="1">+WORLDCUP!BD59</f>
        <v>Canadá</v>
      </c>
      <c r="F335" s="9" t="str">
        <f ca="1">+WORLDCUP!BD61</f>
        <v>Australia</v>
      </c>
      <c r="G335" s="9" t="str">
        <f ca="1">+WORLDCUP!BD58</f>
        <v>México</v>
      </c>
      <c r="H335" s="9" t="str">
        <f ca="1">+WORLDCUP!BD63</f>
        <v>Túnez</v>
      </c>
      <c r="I335" s="9" t="str">
        <f ca="1">+WORLDCUP!BD66</f>
        <v>Senegal</v>
      </c>
      <c r="J335" s="9" t="str">
        <f ca="1">+WORLDCUP!BD67</f>
        <v>Jordania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Costa de Marfil</v>
      </c>
      <c r="D336" s="9" t="str">
        <f ca="1">+WORLDCUP!BD67</f>
        <v>Jordania</v>
      </c>
      <c r="E336" s="9" t="str">
        <f ca="1">+WORLDCUP!BD59</f>
        <v>Canadá</v>
      </c>
      <c r="F336" s="9" t="str">
        <f ca="1">+WORLDCUP!BD58</f>
        <v>México</v>
      </c>
      <c r="G336" s="9" t="str">
        <f ca="1">+WORLDCUP!BD66</f>
        <v>Senegal</v>
      </c>
      <c r="H336" s="9" t="str">
        <f ca="1">+WORLDCUP!BD61</f>
        <v>Australia</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Costa de Marfil</v>
      </c>
      <c r="D337" s="9" t="str">
        <f ca="1">+WORLDCUP!BD67</f>
        <v>Jordania</v>
      </c>
      <c r="E337" s="9" t="str">
        <f ca="1">+WORLDCUP!BD59</f>
        <v>Canadá</v>
      </c>
      <c r="F337" s="9" t="str">
        <f ca="1">+WORLDCUP!BD61</f>
        <v>Australia</v>
      </c>
      <c r="G337" s="9" t="str">
        <f ca="1">+WORLDCUP!BD58</f>
        <v>México</v>
      </c>
      <c r="H337" s="9" t="str">
        <f ca="1">+WORLDCUP!BD65</f>
        <v>Arabia Saudita</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Costa de Marfil</v>
      </c>
      <c r="D338" s="9" t="str">
        <f ca="1">+WORLDCUP!BD66</f>
        <v>Senegal</v>
      </c>
      <c r="E338" s="9" t="str">
        <f ca="1">+WORLDCUP!BD59</f>
        <v>Canadá</v>
      </c>
      <c r="F338" s="9" t="str">
        <f ca="1">+WORLDCUP!BD61</f>
        <v>Australia</v>
      </c>
      <c r="G338" s="9" t="str">
        <f ca="1">+WORLDCUP!BD58</f>
        <v>México</v>
      </c>
      <c r="H338" s="9" t="str">
        <f ca="1">+WORLDCUP!BD65</f>
        <v>Arabia Saudita</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Costa de Marfil</v>
      </c>
      <c r="D339" s="9" t="str">
        <f ca="1">+WORLDCUP!BD67</f>
        <v>Jordania</v>
      </c>
      <c r="E339" s="9" t="str">
        <f ca="1">+WORLDCUP!BD59</f>
        <v>Canadá</v>
      </c>
      <c r="F339" s="9" t="str">
        <f ca="1">+WORLDCUP!BD61</f>
        <v>Australia</v>
      </c>
      <c r="G339" s="9" t="str">
        <f ca="1">+WORLDCUP!BD58</f>
        <v>México</v>
      </c>
      <c r="H339" s="9" t="str">
        <f ca="1">+WORLDCUP!BD65</f>
        <v>Arabia Saudita</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Costa de Marfil</v>
      </c>
      <c r="D340" s="9" t="str">
        <f ca="1">+WORLDCUP!BD67</f>
        <v>Jordania</v>
      </c>
      <c r="E340" s="9" t="str">
        <f ca="1">+WORLDCUP!BD59</f>
        <v>Canadá</v>
      </c>
      <c r="F340" s="9" t="str">
        <f ca="1">+WORLDCUP!BD61</f>
        <v>Australia</v>
      </c>
      <c r="G340" s="9" t="str">
        <f ca="1">+WORLDCUP!BD58</f>
        <v>México</v>
      </c>
      <c r="H340" s="9" t="str">
        <f ca="1">+WORLDCUP!BD65</f>
        <v>Arabia Saudita</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Costa de Marfil</v>
      </c>
      <c r="D341" s="9" t="str">
        <f ca="1">+WORLDCUP!BD67</f>
        <v>Jordania</v>
      </c>
      <c r="E341" s="9" t="str">
        <f ca="1">+WORLDCUP!BD59</f>
        <v>Canadá</v>
      </c>
      <c r="F341" s="9" t="str">
        <f ca="1">+WORLDCUP!BD61</f>
        <v>Australia</v>
      </c>
      <c r="G341" s="9" t="str">
        <f ca="1">+WORLDCUP!BD58</f>
        <v>México</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Costa de Marfil</v>
      </c>
      <c r="D342" s="9" t="str">
        <f ca="1">+WORLDCUP!BD64</f>
        <v>Irán</v>
      </c>
      <c r="E342" s="9" t="str">
        <f ca="1">+WORLDCUP!BD59</f>
        <v>Canadá</v>
      </c>
      <c r="F342" s="9" t="str">
        <f ca="1">+WORLDCUP!BD58</f>
        <v>México</v>
      </c>
      <c r="G342" s="9" t="str">
        <f ca="1">+WORLDCUP!BD66</f>
        <v>Senegal</v>
      </c>
      <c r="H342" s="9" t="str">
        <f ca="1">+WORLDCUP!BD61</f>
        <v>Australia</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Costa de Marfil</v>
      </c>
      <c r="D343" s="9" t="str">
        <f ca="1">+WORLDCUP!BD67</f>
        <v>Jordania</v>
      </c>
      <c r="E343" s="9" t="str">
        <f ca="1">+WORLDCUP!BD59</f>
        <v>Canadá</v>
      </c>
      <c r="F343" s="9" t="str">
        <f ca="1">+WORLDCUP!BD61</f>
        <v>Australia</v>
      </c>
      <c r="G343" s="9" t="str">
        <f ca="1">+WORLDCUP!BD58</f>
        <v>México</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Costa de Marfil</v>
      </c>
      <c r="D344" s="9" t="str">
        <f ca="1">+WORLDCUP!BD67</f>
        <v>Jordania</v>
      </c>
      <c r="E344" s="9" t="str">
        <f ca="1">+WORLDCUP!BD59</f>
        <v>Canadá</v>
      </c>
      <c r="F344" s="9" t="str">
        <f ca="1">+WORLDCUP!BD61</f>
        <v>Australia</v>
      </c>
      <c r="G344" s="9" t="str">
        <f ca="1">+WORLDCUP!BD58</f>
        <v>México</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Costa de Marfil</v>
      </c>
      <c r="D345" s="9" t="str">
        <f ca="1">+WORLDCUP!BD64</f>
        <v>Irán</v>
      </c>
      <c r="E345" s="9" t="str">
        <f ca="1">+WORLDCUP!BD59</f>
        <v>Canadá</v>
      </c>
      <c r="F345" s="9" t="str">
        <f ca="1">+WORLDCUP!BD61</f>
        <v>Australia</v>
      </c>
      <c r="G345" s="9" t="str">
        <f ca="1">+WORLDCUP!BD58</f>
        <v>México</v>
      </c>
      <c r="H345" s="9" t="str">
        <f ca="1">+WORLDCUP!BD65</f>
        <v>Arabia Saudita</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Jordania</v>
      </c>
      <c r="E346" s="9" t="str">
        <f ca="1">+WORLDCUP!BD59</f>
        <v>Canadá</v>
      </c>
      <c r="F346" s="9" t="str">
        <f ca="1">+WORLDCUP!BD61</f>
        <v>Australia</v>
      </c>
      <c r="G346" s="9" t="str">
        <f ca="1">+WORLDCUP!BD58</f>
        <v>México</v>
      </c>
      <c r="H346" s="9" t="str">
        <f ca="1">+WORLDCUP!BD64</f>
        <v>Irán</v>
      </c>
      <c r="I346" s="9" t="str">
        <f ca="1">+WORLDCUP!BD69</f>
        <v>Ghana</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Jordania</v>
      </c>
      <c r="E347" s="9" t="str">
        <f ca="1">+WORLDCUP!BD59</f>
        <v>Canadá</v>
      </c>
      <c r="F347" s="9" t="str">
        <f ca="1">+WORLDCUP!BD61</f>
        <v>Australia</v>
      </c>
      <c r="G347" s="9" t="str">
        <f ca="1">+WORLDCUP!BD58</f>
        <v>México</v>
      </c>
      <c r="H347" s="9" t="str">
        <f ca="1">+WORLDCUP!BD64</f>
        <v>Irán</v>
      </c>
      <c r="I347" s="9" t="str">
        <f ca="1">+WORLDCUP!BD62</f>
        <v>Costa de Marfil</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Costa de Marfil</v>
      </c>
      <c r="D348" s="9" t="str">
        <f ca="1">+WORLDCUP!BD64</f>
        <v>Irán</v>
      </c>
      <c r="E348" s="9" t="str">
        <f ca="1">+WORLDCUP!BD59</f>
        <v>Canadá</v>
      </c>
      <c r="F348" s="9" t="str">
        <f ca="1">+WORLDCUP!BD61</f>
        <v>Australia</v>
      </c>
      <c r="G348" s="9" t="str">
        <f ca="1">+WORLDCUP!BD58</f>
        <v>México</v>
      </c>
      <c r="H348" s="9" t="str">
        <f ca="1">+WORLDCUP!BD65</f>
        <v>Arabia Saudita</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Costa de Marfil</v>
      </c>
      <c r="D349" s="9" t="str">
        <f ca="1">+WORLDCUP!BD64</f>
        <v>Irán</v>
      </c>
      <c r="E349" s="9" t="str">
        <f ca="1">+WORLDCUP!BD59</f>
        <v>Canadá</v>
      </c>
      <c r="F349" s="9" t="str">
        <f ca="1">+WORLDCUP!BD61</f>
        <v>Australia</v>
      </c>
      <c r="G349" s="9" t="str">
        <f ca="1">+WORLDCUP!BD58</f>
        <v>México</v>
      </c>
      <c r="H349" s="9" t="str">
        <f ca="1">+WORLDCUP!BD65</f>
        <v>Arabia Saudita</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Jordania</v>
      </c>
      <c r="E350" s="9" t="str">
        <f ca="1">+WORLDCUP!BD59</f>
        <v>Canadá</v>
      </c>
      <c r="F350" s="9" t="str">
        <f ca="1">+WORLDCUP!BD61</f>
        <v>Australia</v>
      </c>
      <c r="G350" s="9" t="str">
        <f ca="1">+WORLDCUP!BD58</f>
        <v>México</v>
      </c>
      <c r="H350" s="9" t="str">
        <f ca="1">+WORLDCUP!BD64</f>
        <v>Irán</v>
      </c>
      <c r="I350" s="9" t="str">
        <f ca="1">+WORLDCUP!BD62</f>
        <v>Costa de Marfil</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Costa de Marfil</v>
      </c>
      <c r="D351" s="9" t="str">
        <f ca="1">+WORLDCUP!BD67</f>
        <v>Jordania</v>
      </c>
      <c r="E351" s="9" t="str">
        <f ca="1">+WORLDCUP!BD59</f>
        <v>Canadá</v>
      </c>
      <c r="F351" s="9" t="str">
        <f ca="1">+WORLDCUP!BD61</f>
        <v>Australia</v>
      </c>
      <c r="G351" s="9" t="str">
        <f ca="1">+WORLDCUP!BD58</f>
        <v>México</v>
      </c>
      <c r="H351" s="9" t="str">
        <f ca="1">+WORLDCUP!BD63</f>
        <v>Túnez</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1</v>
      </c>
      <c r="C352" s="9" t="str">
        <f ca="1">+WORLDCUP!BD62</f>
        <v>Costa de Marfil</v>
      </c>
      <c r="D352" s="9" t="str">
        <f ca="1">+WORLDCUP!BD66</f>
        <v>Senegal</v>
      </c>
      <c r="E352" s="9" t="str">
        <f ca="1">+WORLDCUP!BD59</f>
        <v>Canadá</v>
      </c>
      <c r="F352" s="9" t="str">
        <f ca="1">+WORLDCUP!BD61</f>
        <v>Australia</v>
      </c>
      <c r="G352" s="9" t="str">
        <f ca="1">+WORLDCUP!BD58</f>
        <v>México</v>
      </c>
      <c r="H352" s="9" t="str">
        <f ca="1">+WORLDCUP!BD63</f>
        <v>Túnez</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Costa de Marfil</v>
      </c>
      <c r="D353" s="9" t="str">
        <f ca="1">+WORLDCUP!BD67</f>
        <v>Jordania</v>
      </c>
      <c r="E353" s="9" t="str">
        <f ca="1">+WORLDCUP!BD59</f>
        <v>Canadá</v>
      </c>
      <c r="F353" s="9" t="str">
        <f ca="1">+WORLDCUP!BD61</f>
        <v>Australia</v>
      </c>
      <c r="G353" s="9" t="str">
        <f ca="1">+WORLDCUP!BD58</f>
        <v>México</v>
      </c>
      <c r="H353" s="9" t="str">
        <f ca="1">+WORLDCUP!BD63</f>
        <v>Túnez</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Costa de Marfil</v>
      </c>
      <c r="D354" s="9" t="str">
        <f ca="1">+WORLDCUP!BD67</f>
        <v>Jordania</v>
      </c>
      <c r="E354" s="9" t="str">
        <f ca="1">+WORLDCUP!BD59</f>
        <v>Canadá</v>
      </c>
      <c r="F354" s="9" t="str">
        <f ca="1">+WORLDCUP!BD61</f>
        <v>Australia</v>
      </c>
      <c r="G354" s="9" t="str">
        <f ca="1">+WORLDCUP!BD58</f>
        <v>México</v>
      </c>
      <c r="H354" s="9" t="str">
        <f ca="1">+WORLDCUP!BD63</f>
        <v>Túnez</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Costa de Marfil</v>
      </c>
      <c r="E355" s="9" t="str">
        <f ca="1">+WORLDCUP!BD59</f>
        <v>Canadá</v>
      </c>
      <c r="F355" s="9" t="str">
        <f ca="1">+WORLDCUP!BD61</f>
        <v>Australia</v>
      </c>
      <c r="G355" s="9" t="str">
        <f ca="1">+WORLDCUP!BD58</f>
        <v>México</v>
      </c>
      <c r="H355" s="9" t="str">
        <f ca="1">+WORLDCUP!BD63</f>
        <v>Túnez</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Jordania</v>
      </c>
      <c r="E356" s="9" t="str">
        <f ca="1">+WORLDCUP!BD59</f>
        <v>Canadá</v>
      </c>
      <c r="F356" s="9" t="str">
        <f ca="1">+WORLDCUP!BD61</f>
        <v>Australia</v>
      </c>
      <c r="G356" s="9" t="str">
        <f ca="1">+WORLDCUP!BD58</f>
        <v>México</v>
      </c>
      <c r="H356" s="9" t="str">
        <f ca="1">+WORLDCUP!BD63</f>
        <v>Túnez</v>
      </c>
      <c r="I356" s="9" t="str">
        <f ca="1">+WORLDCUP!BD69</f>
        <v>Ghana</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Jordania</v>
      </c>
      <c r="E357" s="9" t="str">
        <f ca="1">+WORLDCUP!BD59</f>
        <v>Canadá</v>
      </c>
      <c r="F357" s="9" t="str">
        <f ca="1">+WORLDCUP!BD61</f>
        <v>Australia</v>
      </c>
      <c r="G357" s="9" t="str">
        <f ca="1">+WORLDCUP!BD58</f>
        <v>México</v>
      </c>
      <c r="H357" s="9" t="str">
        <f ca="1">+WORLDCUP!BD63</f>
        <v>Túnez</v>
      </c>
      <c r="I357" s="9" t="str">
        <f ca="1">+WORLDCUP!BD62</f>
        <v>Costa de Marfil</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Costa de Marfil</v>
      </c>
      <c r="E358" s="9" t="str">
        <f ca="1">+WORLDCUP!BD59</f>
        <v>Canadá</v>
      </c>
      <c r="F358" s="9" t="str">
        <f ca="1">+WORLDCUP!BD61</f>
        <v>Australia</v>
      </c>
      <c r="G358" s="9" t="str">
        <f ca="1">+WORLDCUP!BD58</f>
        <v>México</v>
      </c>
      <c r="H358" s="9" t="str">
        <f ca="1">+WORLDCUP!BD63</f>
        <v>Túnez</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Costa de Marfil</v>
      </c>
      <c r="E359" s="9" t="str">
        <f ca="1">+WORLDCUP!BD59</f>
        <v>Canadá</v>
      </c>
      <c r="F359" s="9" t="str">
        <f ca="1">+WORLDCUP!BD61</f>
        <v>Australia</v>
      </c>
      <c r="G359" s="9" t="str">
        <f ca="1">+WORLDCUP!BD58</f>
        <v>México</v>
      </c>
      <c r="H359" s="9" t="str">
        <f ca="1">+WORLDCUP!BD63</f>
        <v>Túnez</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Jordania</v>
      </c>
      <c r="E360" s="9" t="str">
        <f ca="1">+WORLDCUP!BD59</f>
        <v>Canadá</v>
      </c>
      <c r="F360" s="9" t="str">
        <f ca="1">+WORLDCUP!BD61</f>
        <v>Australia</v>
      </c>
      <c r="G360" s="9" t="str">
        <f ca="1">+WORLDCUP!BD58</f>
        <v>México</v>
      </c>
      <c r="H360" s="9" t="str">
        <f ca="1">+WORLDCUP!BD63</f>
        <v>Túnez</v>
      </c>
      <c r="I360" s="9" t="str">
        <f ca="1">+WORLDCUP!BD62</f>
        <v>Costa de Marfil</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Costa de Marfil</v>
      </c>
      <c r="D361" s="9" t="str">
        <f ca="1">+WORLDCUP!BD64</f>
        <v>Irán</v>
      </c>
      <c r="E361" s="9" t="str">
        <f ca="1">+WORLDCUP!BD59</f>
        <v>Canadá</v>
      </c>
      <c r="F361" s="9" t="str">
        <f ca="1">+WORLDCUP!BD61</f>
        <v>Australia</v>
      </c>
      <c r="G361" s="9" t="str">
        <f ca="1">+WORLDCUP!BD58</f>
        <v>México</v>
      </c>
      <c r="H361" s="9" t="str">
        <f ca="1">+WORLDCUP!BD63</f>
        <v>Túnez</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Costa de Marfil</v>
      </c>
      <c r="D362" s="9" t="str">
        <f ca="1">+WORLDCUP!BD64</f>
        <v>Irán</v>
      </c>
      <c r="E362" s="9" t="str">
        <f ca="1">+WORLDCUP!BD59</f>
        <v>Canadá</v>
      </c>
      <c r="F362" s="9" t="str">
        <f ca="1">+WORLDCUP!BD61</f>
        <v>Australia</v>
      </c>
      <c r="G362" s="9" t="str">
        <f ca="1">+WORLDCUP!BD58</f>
        <v>México</v>
      </c>
      <c r="H362" s="9" t="str">
        <f ca="1">+WORLDCUP!BD63</f>
        <v>Túnez</v>
      </c>
      <c r="I362" s="9" t="str">
        <f ca="1">+WORLDCUP!BD69</f>
        <v>Ghana</v>
      </c>
      <c r="J362" s="9" t="str">
        <f ca="1">+WORLDCUP!BD67</f>
        <v>Jordania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Costa de Marfil</v>
      </c>
      <c r="D363" s="9" t="str">
        <f ca="1">+WORLDCUP!BD64</f>
        <v>Irán</v>
      </c>
      <c r="E363" s="9" t="str">
        <f ca="1">+WORLDCUP!BD59</f>
        <v>Canadá</v>
      </c>
      <c r="F363" s="9" t="str">
        <f ca="1">+WORLDCUP!BD61</f>
        <v>Australia</v>
      </c>
      <c r="G363" s="9" t="str">
        <f ca="1">+WORLDCUP!BD58</f>
        <v>México</v>
      </c>
      <c r="H363" s="9" t="str">
        <f ca="1">+WORLDCUP!BD63</f>
        <v>Túnez</v>
      </c>
      <c r="I363" s="9" t="str">
        <f ca="1">+WORLDCUP!BD67</f>
        <v>Jordania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Costa de Marfil</v>
      </c>
      <c r="D364" s="9" t="str">
        <f ca="1">+WORLDCUP!BD64</f>
        <v>Irán</v>
      </c>
      <c r="E364" s="9" t="str">
        <f ca="1">+WORLDCUP!BD59</f>
        <v>Canadá</v>
      </c>
      <c r="F364" s="9" t="str">
        <f ca="1">+WORLDCUP!BD61</f>
        <v>Australia</v>
      </c>
      <c r="G364" s="9" t="str">
        <f ca="1">+WORLDCUP!BD58</f>
        <v>México</v>
      </c>
      <c r="H364" s="9" t="str">
        <f ca="1">+WORLDCUP!BD63</f>
        <v>Túnez</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Costa de Marfil</v>
      </c>
      <c r="D365" s="9" t="str">
        <f ca="1">+WORLDCUP!BD64</f>
        <v>Irán</v>
      </c>
      <c r="E365" s="9" t="str">
        <f ca="1">+WORLDCUP!BD59</f>
        <v>Canadá</v>
      </c>
      <c r="F365" s="9" t="str">
        <f ca="1">+WORLDCUP!BD61</f>
        <v>Australia</v>
      </c>
      <c r="G365" s="9" t="str">
        <f ca="1">+WORLDCUP!BD58</f>
        <v>México</v>
      </c>
      <c r="H365" s="9" t="str">
        <f ca="1">+WORLDCUP!BD63</f>
        <v>Túnez</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Costa de Marfil</v>
      </c>
      <c r="D366" s="9" t="str">
        <f ca="1">+WORLDCUP!BD64</f>
        <v>Irán</v>
      </c>
      <c r="E366" s="9" t="str">
        <f ca="1">+WORLDCUP!BD59</f>
        <v>Canadá</v>
      </c>
      <c r="F366" s="9" t="str">
        <f ca="1">+WORLDCUP!BD61</f>
        <v>Australia</v>
      </c>
      <c r="G366" s="9" t="str">
        <f ca="1">+WORLDCUP!BD58</f>
        <v>México</v>
      </c>
      <c r="H366" s="9" t="str">
        <f ca="1">+WORLDCUP!BD63</f>
        <v>Túnez</v>
      </c>
      <c r="I366" s="9" t="str">
        <f ca="1">+WORLDCUP!BD66</f>
        <v>Senegal</v>
      </c>
      <c r="J366" s="9" t="str">
        <f ca="1">+WORLDCUP!BD67</f>
        <v>Jordania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Irán</v>
      </c>
      <c r="E367" s="9" t="str">
        <f ca="1">+WORLDCUP!BD59</f>
        <v>Canadá</v>
      </c>
      <c r="F367" s="9" t="str">
        <f ca="1">+WORLDCUP!BD61</f>
        <v>Australia</v>
      </c>
      <c r="G367" s="9" t="str">
        <f ca="1">+WORLDCUP!BD58</f>
        <v>México</v>
      </c>
      <c r="H367" s="9" t="str">
        <f ca="1">+WORLDCUP!BD63</f>
        <v>Túnez</v>
      </c>
      <c r="I367" s="9" t="str">
        <f ca="1">+WORLDCUP!BD69</f>
        <v>Ghana</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Irán</v>
      </c>
      <c r="E368" s="9" t="str">
        <f ca="1">+WORLDCUP!BD59</f>
        <v>Canadá</v>
      </c>
      <c r="F368" s="9" t="str">
        <f ca="1">+WORLDCUP!BD61</f>
        <v>Australia</v>
      </c>
      <c r="G368" s="9" t="str">
        <f ca="1">+WORLDCUP!BD58</f>
        <v>México</v>
      </c>
      <c r="H368" s="9" t="str">
        <f ca="1">+WORLDCUP!BD63</f>
        <v>Túnez</v>
      </c>
      <c r="I368" s="9" t="str">
        <f ca="1">+WORLDCUP!BD62</f>
        <v>Costa de Marfil</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Irán</v>
      </c>
      <c r="E369" s="9" t="str">
        <f ca="1">+WORLDCUP!BD59</f>
        <v>Canadá</v>
      </c>
      <c r="F369" s="9" t="str">
        <f ca="1">+WORLDCUP!BD61</f>
        <v>Australia</v>
      </c>
      <c r="G369" s="9" t="str">
        <f ca="1">+WORLDCUP!BD58</f>
        <v>México</v>
      </c>
      <c r="H369" s="9" t="str">
        <f ca="1">+WORLDCUP!BD63</f>
        <v>Túnez</v>
      </c>
      <c r="I369" s="9" t="str">
        <f ca="1">+WORLDCUP!BD62</f>
        <v>Costa de Marfil</v>
      </c>
      <c r="J369" s="9" t="str">
        <f ca="1">+WORLDCUP!BD67</f>
        <v>Jordania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Irán</v>
      </c>
      <c r="E370" s="9" t="str">
        <f ca="1">+WORLDCUP!BD59</f>
        <v>Canadá</v>
      </c>
      <c r="F370" s="9" t="str">
        <f ca="1">+WORLDCUP!BD61</f>
        <v>Australia</v>
      </c>
      <c r="G370" s="9" t="str">
        <f ca="1">+WORLDCUP!BD58</f>
        <v>México</v>
      </c>
      <c r="H370" s="9" t="str">
        <f ca="1">+WORLDCUP!BD63</f>
        <v>Túnez</v>
      </c>
      <c r="I370" s="9" t="str">
        <f ca="1">+WORLDCUP!BD62</f>
        <v>Costa de Marfil</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Jordania</v>
      </c>
      <c r="E371" s="9" t="str">
        <f ca="1">+WORLDCUP!BD59</f>
        <v>Canadá</v>
      </c>
      <c r="F371" s="9" t="str">
        <f ca="1">+WORLDCUP!BD60</f>
        <v>Haití</v>
      </c>
      <c r="G371" s="9" t="str">
        <f ca="1">+WORLDCUP!BD58</f>
        <v>México</v>
      </c>
      <c r="H371" s="9" t="str">
        <f ca="1">+WORLDCUP!BD65</f>
        <v>Arabia Saudita</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Jordania</v>
      </c>
      <c r="E372" s="9" t="str">
        <f ca="1">+WORLDCUP!BD59</f>
        <v>Canadá</v>
      </c>
      <c r="F372" s="9" t="str">
        <f ca="1">+WORLDCUP!BD60</f>
        <v>Haití</v>
      </c>
      <c r="G372" s="9" t="str">
        <f ca="1">+WORLDCUP!BD58</f>
        <v>México</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Jordania</v>
      </c>
      <c r="E373" s="9" t="str">
        <f ca="1">+WORLDCUP!BD59</f>
        <v>Canadá</v>
      </c>
      <c r="F373" s="9" t="str">
        <f ca="1">+WORLDCUP!BD60</f>
        <v>Haití</v>
      </c>
      <c r="G373" s="9" t="str">
        <f ca="1">+WORLDCUP!BD58</f>
        <v>México</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Irán</v>
      </c>
      <c r="E374" s="9" t="str">
        <f ca="1">+WORLDCUP!BD59</f>
        <v>Canadá</v>
      </c>
      <c r="F374" s="9" t="str">
        <f ca="1">+WORLDCUP!BD60</f>
        <v>Haití</v>
      </c>
      <c r="G374" s="9" t="str">
        <f ca="1">+WORLDCUP!BD58</f>
        <v>México</v>
      </c>
      <c r="H374" s="9" t="str">
        <f ca="1">+WORLDCUP!BD65</f>
        <v>Arabia Saudita</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Jordania</v>
      </c>
      <c r="E375" s="9" t="str">
        <f ca="1">+WORLDCUP!BD59</f>
        <v>Canadá</v>
      </c>
      <c r="F375" s="9" t="str">
        <f ca="1">+WORLDCUP!BD60</f>
        <v>Haití</v>
      </c>
      <c r="G375" s="9" t="str">
        <f ca="1">+WORLDCUP!BD58</f>
        <v>México</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Jordania</v>
      </c>
      <c r="E376" s="9" t="str">
        <f ca="1">+WORLDCUP!BD59</f>
        <v>Canadá</v>
      </c>
      <c r="F376" s="9" t="str">
        <f ca="1">+WORLDCUP!BD60</f>
        <v>Haití</v>
      </c>
      <c r="G376" s="9" t="str">
        <f ca="1">+WORLDCUP!BD58</f>
        <v>México</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Jordania</v>
      </c>
      <c r="E377" s="9" t="str">
        <f ca="1">+WORLDCUP!BD59</f>
        <v>Canadá</v>
      </c>
      <c r="F377" s="9" t="str">
        <f ca="1">+WORLDCUP!BD60</f>
        <v>Haití</v>
      </c>
      <c r="G377" s="9" t="str">
        <f ca="1">+WORLDCUP!BD58</f>
        <v>México</v>
      </c>
      <c r="H377" s="9" t="str">
        <f ca="1">+WORLDCUP!BD63</f>
        <v>Túnez</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Jordania</v>
      </c>
      <c r="E378" s="9" t="str">
        <f ca="1">+WORLDCUP!BD59</f>
        <v>Canadá</v>
      </c>
      <c r="F378" s="9" t="str">
        <f ca="1">+WORLDCUP!BD60</f>
        <v>Haití</v>
      </c>
      <c r="G378" s="9" t="str">
        <f ca="1">+WORLDCUP!BD58</f>
        <v>México</v>
      </c>
      <c r="H378" s="9" t="str">
        <f ca="1">+WORLDCUP!BD63</f>
        <v>Túnez</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Canadá</v>
      </c>
      <c r="F379" s="9" t="str">
        <f ca="1">+WORLDCUP!BD60</f>
        <v>Haití</v>
      </c>
      <c r="G379" s="9" t="str">
        <f ca="1">+WORLDCUP!BD58</f>
        <v>México</v>
      </c>
      <c r="H379" s="9" t="str">
        <f ca="1">+WORLDCUP!BD63</f>
        <v>Túnez</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Jordania</v>
      </c>
      <c r="E380" s="9" t="str">
        <f ca="1">+WORLDCUP!BD59</f>
        <v>Canadá</v>
      </c>
      <c r="F380" s="9" t="str">
        <f ca="1">+WORLDCUP!BD60</f>
        <v>Haití</v>
      </c>
      <c r="G380" s="9" t="str">
        <f ca="1">+WORLDCUP!BD58</f>
        <v>México</v>
      </c>
      <c r="H380" s="9" t="str">
        <f ca="1">+WORLDCUP!BD63</f>
        <v>Túnez</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Jordania</v>
      </c>
      <c r="E381" s="9" t="str">
        <f ca="1">+WORLDCUP!BD59</f>
        <v>Canadá</v>
      </c>
      <c r="F381" s="9" t="str">
        <f ca="1">+WORLDCUP!BD60</f>
        <v>Haití</v>
      </c>
      <c r="G381" s="9" t="str">
        <f ca="1">+WORLDCUP!BD58</f>
        <v>México</v>
      </c>
      <c r="H381" s="9" t="str">
        <f ca="1">+WORLDCUP!BD63</f>
        <v>Túnez</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Haití</v>
      </c>
      <c r="D382" s="9" t="str">
        <f ca="1">+WORLDCUP!BD67</f>
        <v>Jordania</v>
      </c>
      <c r="E382" s="9" t="str">
        <f ca="1">+WORLDCUP!BD59</f>
        <v>Canadá</v>
      </c>
      <c r="F382" s="9" t="str">
        <f ca="1">+WORLDCUP!BD63</f>
        <v>Túnez</v>
      </c>
      <c r="G382" s="9" t="str">
        <f ca="1">+WORLDCUP!BD58</f>
        <v>México</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Irán</v>
      </c>
      <c r="E383" s="9" t="str">
        <f ca="1">+WORLDCUP!BD59</f>
        <v>Canadá</v>
      </c>
      <c r="F383" s="9" t="str">
        <f ca="1">+WORLDCUP!BD60</f>
        <v>Haití</v>
      </c>
      <c r="G383" s="9" t="str">
        <f ca="1">+WORLDCUP!BD58</f>
        <v>México</v>
      </c>
      <c r="H383" s="9" t="str">
        <f ca="1">+WORLDCUP!BD63</f>
        <v>Túnez</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Haití</v>
      </c>
      <c r="D384" s="9" t="str">
        <f ca="1">+WORLDCUP!BD67</f>
        <v>Jordania</v>
      </c>
      <c r="E384" s="9" t="str">
        <f ca="1">+WORLDCUP!BD59</f>
        <v>Canadá</v>
      </c>
      <c r="F384" s="9" t="str">
        <f ca="1">+WORLDCUP!BD63</f>
        <v>Túnez</v>
      </c>
      <c r="G384" s="9" t="str">
        <f ca="1">+WORLDCUP!BD58</f>
        <v>México</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Haití</v>
      </c>
      <c r="D385" s="9" t="str">
        <f ca="1">+WORLDCUP!BD67</f>
        <v>Jordania</v>
      </c>
      <c r="E385" s="9" t="str">
        <f ca="1">+WORLDCUP!BD59</f>
        <v>Canadá</v>
      </c>
      <c r="F385" s="9" t="str">
        <f ca="1">+WORLDCUP!BD63</f>
        <v>Túnez</v>
      </c>
      <c r="G385" s="9" t="str">
        <f ca="1">+WORLDCUP!BD58</f>
        <v>México</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Irán</v>
      </c>
      <c r="E386" s="9" t="str">
        <f ca="1">+WORLDCUP!BD59</f>
        <v>Canadá</v>
      </c>
      <c r="F386" s="9" t="str">
        <f ca="1">+WORLDCUP!BD60</f>
        <v>Haití</v>
      </c>
      <c r="G386" s="9" t="str">
        <f ca="1">+WORLDCUP!BD58</f>
        <v>México</v>
      </c>
      <c r="H386" s="9" t="str">
        <f ca="1">+WORLDCUP!BD63</f>
        <v>Túnez</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Irán</v>
      </c>
      <c r="E387" s="9" t="str">
        <f ca="1">+WORLDCUP!BD59</f>
        <v>Canadá</v>
      </c>
      <c r="F387" s="9" t="str">
        <f ca="1">+WORLDCUP!BD60</f>
        <v>Haití</v>
      </c>
      <c r="G387" s="9" t="str">
        <f ca="1">+WORLDCUP!BD58</f>
        <v>México</v>
      </c>
      <c r="H387" s="9" t="str">
        <f ca="1">+WORLDCUP!BD63</f>
        <v>Túnez</v>
      </c>
      <c r="I387" s="9" t="str">
        <f ca="1">+WORLDCUP!BD69</f>
        <v>Ghana</v>
      </c>
      <c r="J387" s="9" t="str">
        <f ca="1">+WORLDCUP!BD67</f>
        <v>Jordania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Irán</v>
      </c>
      <c r="E388" s="9" t="str">
        <f ca="1">+WORLDCUP!BD59</f>
        <v>Canadá</v>
      </c>
      <c r="F388" s="9" t="str">
        <f ca="1">+WORLDCUP!BD60</f>
        <v>Haití</v>
      </c>
      <c r="G388" s="9" t="str">
        <f ca="1">+WORLDCUP!BD58</f>
        <v>México</v>
      </c>
      <c r="H388" s="9" t="str">
        <f ca="1">+WORLDCUP!BD63</f>
        <v>Túnez</v>
      </c>
      <c r="I388" s="9" t="str">
        <f ca="1">+WORLDCUP!BD67</f>
        <v>Jordania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Irán</v>
      </c>
      <c r="E389" s="9" t="str">
        <f ca="1">+WORLDCUP!BD59</f>
        <v>Canadá</v>
      </c>
      <c r="F389" s="9" t="str">
        <f ca="1">+WORLDCUP!BD60</f>
        <v>Haití</v>
      </c>
      <c r="G389" s="9" t="str">
        <f ca="1">+WORLDCUP!BD58</f>
        <v>México</v>
      </c>
      <c r="H389" s="9" t="str">
        <f ca="1">+WORLDCUP!BD63</f>
        <v>Túnez</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Irán</v>
      </c>
      <c r="E390" s="9" t="str">
        <f ca="1">+WORLDCUP!BD59</f>
        <v>Canadá</v>
      </c>
      <c r="F390" s="9" t="str">
        <f ca="1">+WORLDCUP!BD60</f>
        <v>Haití</v>
      </c>
      <c r="G390" s="9" t="str">
        <f ca="1">+WORLDCUP!BD58</f>
        <v>México</v>
      </c>
      <c r="H390" s="9" t="str">
        <f ca="1">+WORLDCUP!BD63</f>
        <v>Túnez</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Irán</v>
      </c>
      <c r="E391" s="9" t="str">
        <f ca="1">+WORLDCUP!BD59</f>
        <v>Canadá</v>
      </c>
      <c r="F391" s="9" t="str">
        <f ca="1">+WORLDCUP!BD60</f>
        <v>Haití</v>
      </c>
      <c r="G391" s="9" t="str">
        <f ca="1">+WORLDCUP!BD58</f>
        <v>México</v>
      </c>
      <c r="H391" s="9" t="str">
        <f ca="1">+WORLDCUP!BD63</f>
        <v>Túnez</v>
      </c>
      <c r="I391" s="9" t="str">
        <f ca="1">+WORLDCUP!BD66</f>
        <v>Senegal</v>
      </c>
      <c r="J391" s="9" t="str">
        <f ca="1">+WORLDCUP!BD67</f>
        <v>Jordania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Costa de Marfil</v>
      </c>
      <c r="D392" s="9" t="str">
        <f ca="1">+WORLDCUP!BD67</f>
        <v>Jordania</v>
      </c>
      <c r="E392" s="9" t="str">
        <f ca="1">+WORLDCUP!BD59</f>
        <v>Canadá</v>
      </c>
      <c r="F392" s="9" t="str">
        <f ca="1">+WORLDCUP!BD58</f>
        <v>México</v>
      </c>
      <c r="G392" s="9" t="str">
        <f ca="1">+WORLDCUP!BD66</f>
        <v>Senegal</v>
      </c>
      <c r="H392" s="9" t="str">
        <f ca="1">+WORLDCUP!BD60</f>
        <v>Haití</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Costa de Marfil</v>
      </c>
      <c r="D393" s="9" t="str">
        <f ca="1">+WORLDCUP!BD67</f>
        <v>Jordania</v>
      </c>
      <c r="E393" s="9" t="str">
        <f ca="1">+WORLDCUP!BD59</f>
        <v>Canadá</v>
      </c>
      <c r="F393" s="9" t="str">
        <f ca="1">+WORLDCUP!BD60</f>
        <v>Haití</v>
      </c>
      <c r="G393" s="9" t="str">
        <f ca="1">+WORLDCUP!BD58</f>
        <v>México</v>
      </c>
      <c r="H393" s="9" t="str">
        <f ca="1">+WORLDCUP!BD65</f>
        <v>Arabia Saudita</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Costa de Marfil</v>
      </c>
      <c r="D394" s="9" t="str">
        <f ca="1">+WORLDCUP!BD66</f>
        <v>Senegal</v>
      </c>
      <c r="E394" s="9" t="str">
        <f ca="1">+WORLDCUP!BD59</f>
        <v>Canadá</v>
      </c>
      <c r="F394" s="9" t="str">
        <f ca="1">+WORLDCUP!BD60</f>
        <v>Haití</v>
      </c>
      <c r="G394" s="9" t="str">
        <f ca="1">+WORLDCUP!BD58</f>
        <v>México</v>
      </c>
      <c r="H394" s="9" t="str">
        <f ca="1">+WORLDCUP!BD65</f>
        <v>Arabia Saudita</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Costa de Marfil</v>
      </c>
      <c r="D395" s="9" t="str">
        <f ca="1">+WORLDCUP!BD67</f>
        <v>Jordania</v>
      </c>
      <c r="E395" s="9" t="str">
        <f ca="1">+WORLDCUP!BD59</f>
        <v>Canadá</v>
      </c>
      <c r="F395" s="9" t="str">
        <f ca="1">+WORLDCUP!BD60</f>
        <v>Haití</v>
      </c>
      <c r="G395" s="9" t="str">
        <f ca="1">+WORLDCUP!BD58</f>
        <v>México</v>
      </c>
      <c r="H395" s="9" t="str">
        <f ca="1">+WORLDCUP!BD65</f>
        <v>Arabia Saudita</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Costa de Marfil</v>
      </c>
      <c r="D396" s="9" t="str">
        <f ca="1">+WORLDCUP!BD67</f>
        <v>Jordania</v>
      </c>
      <c r="E396" s="9" t="str">
        <f ca="1">+WORLDCUP!BD59</f>
        <v>Canadá</v>
      </c>
      <c r="F396" s="9" t="str">
        <f ca="1">+WORLDCUP!BD60</f>
        <v>Haití</v>
      </c>
      <c r="G396" s="9" t="str">
        <f ca="1">+WORLDCUP!BD58</f>
        <v>México</v>
      </c>
      <c r="H396" s="9" t="str">
        <f ca="1">+WORLDCUP!BD65</f>
        <v>Arabia Saudita</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Costa de Marfil</v>
      </c>
      <c r="D397" s="9" t="str">
        <f ca="1">+WORLDCUP!BD67</f>
        <v>Jordania</v>
      </c>
      <c r="E397" s="9" t="str">
        <f ca="1">+WORLDCUP!BD59</f>
        <v>Canadá</v>
      </c>
      <c r="F397" s="9" t="str">
        <f ca="1">+WORLDCUP!BD60</f>
        <v>Haití</v>
      </c>
      <c r="G397" s="9" t="str">
        <f ca="1">+WORLDCUP!BD58</f>
        <v>México</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Costa de Marfil</v>
      </c>
      <c r="D398" s="9" t="str">
        <f ca="1">+WORLDCUP!BD64</f>
        <v>Irán</v>
      </c>
      <c r="E398" s="9" t="str">
        <f ca="1">+WORLDCUP!BD59</f>
        <v>Canadá</v>
      </c>
      <c r="F398" s="9" t="str">
        <f ca="1">+WORLDCUP!BD58</f>
        <v>México</v>
      </c>
      <c r="G398" s="9" t="str">
        <f ca="1">+WORLDCUP!BD66</f>
        <v>Senegal</v>
      </c>
      <c r="H398" s="9" t="str">
        <f ca="1">+WORLDCUP!BD60</f>
        <v>Haití</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Costa de Marfil</v>
      </c>
      <c r="D399" s="9" t="str">
        <f ca="1">+WORLDCUP!BD67</f>
        <v>Jordania</v>
      </c>
      <c r="E399" s="9" t="str">
        <f ca="1">+WORLDCUP!BD59</f>
        <v>Canadá</v>
      </c>
      <c r="F399" s="9" t="str">
        <f ca="1">+WORLDCUP!BD60</f>
        <v>Haití</v>
      </c>
      <c r="G399" s="9" t="str">
        <f ca="1">+WORLDCUP!BD58</f>
        <v>México</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Costa de Marfil</v>
      </c>
      <c r="D400" s="9" t="str">
        <f ca="1">+WORLDCUP!BD67</f>
        <v>Jordania</v>
      </c>
      <c r="E400" s="9" t="str">
        <f ca="1">+WORLDCUP!BD59</f>
        <v>Canadá</v>
      </c>
      <c r="F400" s="9" t="str">
        <f ca="1">+WORLDCUP!BD60</f>
        <v>Haití</v>
      </c>
      <c r="G400" s="9" t="str">
        <f ca="1">+WORLDCUP!BD58</f>
        <v>México</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Costa de Marfil</v>
      </c>
      <c r="D401" s="9" t="str">
        <f ca="1">+WORLDCUP!BD64</f>
        <v>Irán</v>
      </c>
      <c r="E401" s="9" t="str">
        <f ca="1">+WORLDCUP!BD59</f>
        <v>Canadá</v>
      </c>
      <c r="F401" s="9" t="str">
        <f ca="1">+WORLDCUP!BD60</f>
        <v>Haití</v>
      </c>
      <c r="G401" s="9" t="str">
        <f ca="1">+WORLDCUP!BD58</f>
        <v>México</v>
      </c>
      <c r="H401" s="9" t="str">
        <f ca="1">+WORLDCUP!BD65</f>
        <v>Arabia Saudita</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Jordania</v>
      </c>
      <c r="E402" s="9" t="str">
        <f ca="1">+WORLDCUP!BD59</f>
        <v>Canadá</v>
      </c>
      <c r="F402" s="9" t="str">
        <f ca="1">+WORLDCUP!BD60</f>
        <v>Haití</v>
      </c>
      <c r="G402" s="9" t="str">
        <f ca="1">+WORLDCUP!BD58</f>
        <v>México</v>
      </c>
      <c r="H402" s="9" t="str">
        <f ca="1">+WORLDCUP!BD64</f>
        <v>Irán</v>
      </c>
      <c r="I402" s="9" t="str">
        <f ca="1">+WORLDCUP!BD69</f>
        <v>Ghana</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Jordania</v>
      </c>
      <c r="E403" s="9" t="str">
        <f ca="1">+WORLDCUP!BD59</f>
        <v>Canadá</v>
      </c>
      <c r="F403" s="9" t="str">
        <f ca="1">+WORLDCUP!BD60</f>
        <v>Haití</v>
      </c>
      <c r="G403" s="9" t="str">
        <f ca="1">+WORLDCUP!BD58</f>
        <v>México</v>
      </c>
      <c r="H403" s="9" t="str">
        <f ca="1">+WORLDCUP!BD64</f>
        <v>Irán</v>
      </c>
      <c r="I403" s="9" t="str">
        <f ca="1">+WORLDCUP!BD62</f>
        <v>Costa de Marfil</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Costa de Marfil</v>
      </c>
      <c r="D404" s="9" t="str">
        <f ca="1">+WORLDCUP!BD64</f>
        <v>Irán</v>
      </c>
      <c r="E404" s="9" t="str">
        <f ca="1">+WORLDCUP!BD59</f>
        <v>Canadá</v>
      </c>
      <c r="F404" s="9" t="str">
        <f ca="1">+WORLDCUP!BD60</f>
        <v>Haití</v>
      </c>
      <c r="G404" s="9" t="str">
        <f ca="1">+WORLDCUP!BD58</f>
        <v>México</v>
      </c>
      <c r="H404" s="9" t="str">
        <f ca="1">+WORLDCUP!BD65</f>
        <v>Arabia Saudita</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Costa de Marfil</v>
      </c>
      <c r="D405" s="9" t="str">
        <f ca="1">+WORLDCUP!BD64</f>
        <v>Irán</v>
      </c>
      <c r="E405" s="9" t="str">
        <f ca="1">+WORLDCUP!BD59</f>
        <v>Canadá</v>
      </c>
      <c r="F405" s="9" t="str">
        <f ca="1">+WORLDCUP!BD60</f>
        <v>Haití</v>
      </c>
      <c r="G405" s="9" t="str">
        <f ca="1">+WORLDCUP!BD58</f>
        <v>México</v>
      </c>
      <c r="H405" s="9" t="str">
        <f ca="1">+WORLDCUP!BD65</f>
        <v>Arabia Saudita</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Jordania</v>
      </c>
      <c r="E406" s="9" t="str">
        <f ca="1">+WORLDCUP!BD59</f>
        <v>Canadá</v>
      </c>
      <c r="F406" s="9" t="str">
        <f ca="1">+WORLDCUP!BD60</f>
        <v>Haití</v>
      </c>
      <c r="G406" s="9" t="str">
        <f ca="1">+WORLDCUP!BD58</f>
        <v>México</v>
      </c>
      <c r="H406" s="9" t="str">
        <f ca="1">+WORLDCUP!BD64</f>
        <v>Irán</v>
      </c>
      <c r="I406" s="9" t="str">
        <f ca="1">+WORLDCUP!BD62</f>
        <v>Costa de Marfil</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Costa de Marfil</v>
      </c>
      <c r="D407" s="9" t="str">
        <f ca="1">+WORLDCUP!BD67</f>
        <v>Jordania</v>
      </c>
      <c r="E407" s="9" t="str">
        <f ca="1">+WORLDCUP!BD59</f>
        <v>Canadá</v>
      </c>
      <c r="F407" s="9" t="str">
        <f ca="1">+WORLDCUP!BD60</f>
        <v>Haití</v>
      </c>
      <c r="G407" s="9" t="str">
        <f ca="1">+WORLDCUP!BD58</f>
        <v>México</v>
      </c>
      <c r="H407" s="9" t="str">
        <f ca="1">+WORLDCUP!BD63</f>
        <v>Túnez</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Costa de Marfil</v>
      </c>
      <c r="D408" s="9" t="str">
        <f ca="1">+WORLDCUP!BD66</f>
        <v>Senegal</v>
      </c>
      <c r="E408" s="9" t="str">
        <f ca="1">+WORLDCUP!BD59</f>
        <v>Canadá</v>
      </c>
      <c r="F408" s="9" t="str">
        <f ca="1">+WORLDCUP!BD60</f>
        <v>Haití</v>
      </c>
      <c r="G408" s="9" t="str">
        <f ca="1">+WORLDCUP!BD58</f>
        <v>México</v>
      </c>
      <c r="H408" s="9" t="str">
        <f ca="1">+WORLDCUP!BD63</f>
        <v>Túnez</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Costa de Marfil</v>
      </c>
      <c r="D409" s="9" t="str">
        <f ca="1">+WORLDCUP!BD67</f>
        <v>Jordania</v>
      </c>
      <c r="E409" s="9" t="str">
        <f ca="1">+WORLDCUP!BD59</f>
        <v>Canadá</v>
      </c>
      <c r="F409" s="9" t="str">
        <f ca="1">+WORLDCUP!BD60</f>
        <v>Haití</v>
      </c>
      <c r="G409" s="9" t="str">
        <f ca="1">+WORLDCUP!BD58</f>
        <v>México</v>
      </c>
      <c r="H409" s="9" t="str">
        <f ca="1">+WORLDCUP!BD63</f>
        <v>Túnez</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Costa de Marfil</v>
      </c>
      <c r="D410" s="9" t="str">
        <f ca="1">+WORLDCUP!BD67</f>
        <v>Jordania</v>
      </c>
      <c r="E410" s="9" t="str">
        <f ca="1">+WORLDCUP!BD59</f>
        <v>Canadá</v>
      </c>
      <c r="F410" s="9" t="str">
        <f ca="1">+WORLDCUP!BD60</f>
        <v>Haití</v>
      </c>
      <c r="G410" s="9" t="str">
        <f ca="1">+WORLDCUP!BD58</f>
        <v>México</v>
      </c>
      <c r="H410" s="9" t="str">
        <f ca="1">+WORLDCUP!BD63</f>
        <v>Túnez</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Costa de Marfil</v>
      </c>
      <c r="E411" s="9" t="str">
        <f ca="1">+WORLDCUP!BD59</f>
        <v>Canadá</v>
      </c>
      <c r="F411" s="9" t="str">
        <f ca="1">+WORLDCUP!BD60</f>
        <v>Haití</v>
      </c>
      <c r="G411" s="9" t="str">
        <f ca="1">+WORLDCUP!BD58</f>
        <v>México</v>
      </c>
      <c r="H411" s="9" t="str">
        <f ca="1">+WORLDCUP!BD63</f>
        <v>Túnez</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Jordania</v>
      </c>
      <c r="E412" s="9" t="str">
        <f ca="1">+WORLDCUP!BD59</f>
        <v>Canadá</v>
      </c>
      <c r="F412" s="9" t="str">
        <f ca="1">+WORLDCUP!BD60</f>
        <v>Haití</v>
      </c>
      <c r="G412" s="9" t="str">
        <f ca="1">+WORLDCUP!BD58</f>
        <v>México</v>
      </c>
      <c r="H412" s="9" t="str">
        <f ca="1">+WORLDCUP!BD63</f>
        <v>Túnez</v>
      </c>
      <c r="I412" s="9" t="str">
        <f ca="1">+WORLDCUP!BD69</f>
        <v>Ghana</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Jordania</v>
      </c>
      <c r="E413" s="9" t="str">
        <f ca="1">+WORLDCUP!BD59</f>
        <v>Canadá</v>
      </c>
      <c r="F413" s="9" t="str">
        <f ca="1">+WORLDCUP!BD60</f>
        <v>Haití</v>
      </c>
      <c r="G413" s="9" t="str">
        <f ca="1">+WORLDCUP!BD58</f>
        <v>México</v>
      </c>
      <c r="H413" s="9" t="str">
        <f ca="1">+WORLDCUP!BD63</f>
        <v>Túnez</v>
      </c>
      <c r="I413" s="9" t="str">
        <f ca="1">+WORLDCUP!BD62</f>
        <v>Costa de Marfil</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Costa de Marfil</v>
      </c>
      <c r="E414" s="9" t="str">
        <f ca="1">+WORLDCUP!BD59</f>
        <v>Canadá</v>
      </c>
      <c r="F414" s="9" t="str">
        <f ca="1">+WORLDCUP!BD60</f>
        <v>Haití</v>
      </c>
      <c r="G414" s="9" t="str">
        <f ca="1">+WORLDCUP!BD58</f>
        <v>México</v>
      </c>
      <c r="H414" s="9" t="str">
        <f ca="1">+WORLDCUP!BD63</f>
        <v>Túnez</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Costa de Marfil</v>
      </c>
      <c r="E415" s="9" t="str">
        <f ca="1">+WORLDCUP!BD59</f>
        <v>Canadá</v>
      </c>
      <c r="F415" s="9" t="str">
        <f ca="1">+WORLDCUP!BD60</f>
        <v>Haití</v>
      </c>
      <c r="G415" s="9" t="str">
        <f ca="1">+WORLDCUP!BD58</f>
        <v>México</v>
      </c>
      <c r="H415" s="9" t="str">
        <f ca="1">+WORLDCUP!BD63</f>
        <v>Túnez</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Jordania</v>
      </c>
      <c r="E416" s="9" t="str">
        <f ca="1">+WORLDCUP!BD59</f>
        <v>Canadá</v>
      </c>
      <c r="F416" s="9" t="str">
        <f ca="1">+WORLDCUP!BD60</f>
        <v>Haití</v>
      </c>
      <c r="G416" s="9" t="str">
        <f ca="1">+WORLDCUP!BD58</f>
        <v>México</v>
      </c>
      <c r="H416" s="9" t="str">
        <f ca="1">+WORLDCUP!BD63</f>
        <v>Túnez</v>
      </c>
      <c r="I416" s="9" t="str">
        <f ca="1">+WORLDCUP!BD62</f>
        <v>Costa de Marfil</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Costa de Marfil</v>
      </c>
      <c r="D417" s="9" t="str">
        <f ca="1">+WORLDCUP!BD64</f>
        <v>Irán</v>
      </c>
      <c r="E417" s="9" t="str">
        <f ca="1">+WORLDCUP!BD59</f>
        <v>Canadá</v>
      </c>
      <c r="F417" s="9" t="str">
        <f ca="1">+WORLDCUP!BD60</f>
        <v>Haití</v>
      </c>
      <c r="G417" s="9" t="str">
        <f ca="1">+WORLDCUP!BD58</f>
        <v>México</v>
      </c>
      <c r="H417" s="9" t="str">
        <f ca="1">+WORLDCUP!BD63</f>
        <v>Túnez</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Costa de Marfil</v>
      </c>
      <c r="D418" s="9" t="str">
        <f ca="1">+WORLDCUP!BD64</f>
        <v>Irán</v>
      </c>
      <c r="E418" s="9" t="str">
        <f ca="1">+WORLDCUP!BD59</f>
        <v>Canadá</v>
      </c>
      <c r="F418" s="9" t="str">
        <f ca="1">+WORLDCUP!BD60</f>
        <v>Haití</v>
      </c>
      <c r="G418" s="9" t="str">
        <f ca="1">+WORLDCUP!BD58</f>
        <v>México</v>
      </c>
      <c r="H418" s="9" t="str">
        <f ca="1">+WORLDCUP!BD63</f>
        <v>Túnez</v>
      </c>
      <c r="I418" s="9" t="str">
        <f ca="1">+WORLDCUP!BD69</f>
        <v>Ghana</v>
      </c>
      <c r="J418" s="9" t="str">
        <f ca="1">+WORLDCUP!BD67</f>
        <v>Jordania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Costa de Marfil</v>
      </c>
      <c r="D419" s="9" t="str">
        <f ca="1">+WORLDCUP!BD64</f>
        <v>Irán</v>
      </c>
      <c r="E419" s="9" t="str">
        <f ca="1">+WORLDCUP!BD59</f>
        <v>Canadá</v>
      </c>
      <c r="F419" s="9" t="str">
        <f ca="1">+WORLDCUP!BD60</f>
        <v>Haití</v>
      </c>
      <c r="G419" s="9" t="str">
        <f ca="1">+WORLDCUP!BD58</f>
        <v>México</v>
      </c>
      <c r="H419" s="9" t="str">
        <f ca="1">+WORLDCUP!BD63</f>
        <v>Túnez</v>
      </c>
      <c r="I419" s="9" t="str">
        <f ca="1">+WORLDCUP!BD67</f>
        <v>Jordania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Costa de Marfil</v>
      </c>
      <c r="D420" s="9" t="str">
        <f ca="1">+WORLDCUP!BD64</f>
        <v>Irán</v>
      </c>
      <c r="E420" s="9" t="str">
        <f ca="1">+WORLDCUP!BD59</f>
        <v>Canadá</v>
      </c>
      <c r="F420" s="9" t="str">
        <f ca="1">+WORLDCUP!BD60</f>
        <v>Haití</v>
      </c>
      <c r="G420" s="9" t="str">
        <f ca="1">+WORLDCUP!BD58</f>
        <v>México</v>
      </c>
      <c r="H420" s="9" t="str">
        <f ca="1">+WORLDCUP!BD63</f>
        <v>Túnez</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Costa de Marfil</v>
      </c>
      <c r="D421" s="9" t="str">
        <f ca="1">+WORLDCUP!BD64</f>
        <v>Irán</v>
      </c>
      <c r="E421" s="9" t="str">
        <f ca="1">+WORLDCUP!BD59</f>
        <v>Canadá</v>
      </c>
      <c r="F421" s="9" t="str">
        <f ca="1">+WORLDCUP!BD60</f>
        <v>Haití</v>
      </c>
      <c r="G421" s="9" t="str">
        <f ca="1">+WORLDCUP!BD58</f>
        <v>México</v>
      </c>
      <c r="H421" s="9" t="str">
        <f ca="1">+WORLDCUP!BD63</f>
        <v>Túnez</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Costa de Marfil</v>
      </c>
      <c r="D422" s="9" t="str">
        <f ca="1">+WORLDCUP!BD64</f>
        <v>Irán</v>
      </c>
      <c r="E422" s="9" t="str">
        <f ca="1">+WORLDCUP!BD59</f>
        <v>Canadá</v>
      </c>
      <c r="F422" s="9" t="str">
        <f ca="1">+WORLDCUP!BD60</f>
        <v>Haití</v>
      </c>
      <c r="G422" s="9" t="str">
        <f ca="1">+WORLDCUP!BD58</f>
        <v>México</v>
      </c>
      <c r="H422" s="9" t="str">
        <f ca="1">+WORLDCUP!BD63</f>
        <v>Túnez</v>
      </c>
      <c r="I422" s="9" t="str">
        <f ca="1">+WORLDCUP!BD66</f>
        <v>Senegal</v>
      </c>
      <c r="J422" s="9" t="str">
        <f ca="1">+WORLDCUP!BD67</f>
        <v>Jordania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Irán</v>
      </c>
      <c r="E423" s="9" t="str">
        <f ca="1">+WORLDCUP!BD59</f>
        <v>Canadá</v>
      </c>
      <c r="F423" s="9" t="str">
        <f ca="1">+WORLDCUP!BD60</f>
        <v>Haití</v>
      </c>
      <c r="G423" s="9" t="str">
        <f ca="1">+WORLDCUP!BD58</f>
        <v>México</v>
      </c>
      <c r="H423" s="9" t="str">
        <f ca="1">+WORLDCUP!BD63</f>
        <v>Túnez</v>
      </c>
      <c r="I423" s="9" t="str">
        <f ca="1">+WORLDCUP!BD69</f>
        <v>Ghana</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Irán</v>
      </c>
      <c r="E424" s="9" t="str">
        <f ca="1">+WORLDCUP!BD59</f>
        <v>Canadá</v>
      </c>
      <c r="F424" s="9" t="str">
        <f ca="1">+WORLDCUP!BD60</f>
        <v>Haití</v>
      </c>
      <c r="G424" s="9" t="str">
        <f ca="1">+WORLDCUP!BD58</f>
        <v>México</v>
      </c>
      <c r="H424" s="9" t="str">
        <f ca="1">+WORLDCUP!BD63</f>
        <v>Túnez</v>
      </c>
      <c r="I424" s="9" t="str">
        <f ca="1">+WORLDCUP!BD62</f>
        <v>Costa de Marfil</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Irán</v>
      </c>
      <c r="E425" s="9" t="str">
        <f ca="1">+WORLDCUP!BD59</f>
        <v>Canadá</v>
      </c>
      <c r="F425" s="9" t="str">
        <f ca="1">+WORLDCUP!BD60</f>
        <v>Haití</v>
      </c>
      <c r="G425" s="9" t="str">
        <f ca="1">+WORLDCUP!BD58</f>
        <v>México</v>
      </c>
      <c r="H425" s="9" t="str">
        <f ca="1">+WORLDCUP!BD63</f>
        <v>Túnez</v>
      </c>
      <c r="I425" s="9" t="str">
        <f ca="1">+WORLDCUP!BD62</f>
        <v>Costa de Marfil</v>
      </c>
      <c r="J425" s="9" t="str">
        <f ca="1">+WORLDCUP!BD67</f>
        <v>Jordania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Irán</v>
      </c>
      <c r="E426" s="9" t="str">
        <f ca="1">+WORLDCUP!BD59</f>
        <v>Canadá</v>
      </c>
      <c r="F426" s="9" t="str">
        <f ca="1">+WORLDCUP!BD60</f>
        <v>Haití</v>
      </c>
      <c r="G426" s="9" t="str">
        <f ca="1">+WORLDCUP!BD58</f>
        <v>México</v>
      </c>
      <c r="H426" s="9" t="str">
        <f ca="1">+WORLDCUP!BD63</f>
        <v>Túnez</v>
      </c>
      <c r="I426" s="9" t="str">
        <f ca="1">+WORLDCUP!BD62</f>
        <v>Costa de Marfil</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Jordania</v>
      </c>
      <c r="E427" s="9" t="str">
        <f ca="1">+WORLDCUP!BD59</f>
        <v>Canadá</v>
      </c>
      <c r="F427" s="9" t="str">
        <f ca="1">+WORLDCUP!BD60</f>
        <v>Haití</v>
      </c>
      <c r="G427" s="9" t="str">
        <f ca="1">+WORLDCUP!BD58</f>
        <v>México</v>
      </c>
      <c r="H427" s="9" t="str">
        <f ca="1">+WORLDCUP!BD61</f>
        <v>Australia</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Jordania</v>
      </c>
      <c r="E428" s="9" t="str">
        <f ca="1">+WORLDCUP!BD59</f>
        <v>Canadá</v>
      </c>
      <c r="F428" s="9" t="str">
        <f ca="1">+WORLDCUP!BD60</f>
        <v>Haití</v>
      </c>
      <c r="G428" s="9" t="str">
        <f ca="1">+WORLDCUP!BD58</f>
        <v>México</v>
      </c>
      <c r="H428" s="9" t="str">
        <f ca="1">+WORLDCUP!BD61</f>
        <v>Australia</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Canadá</v>
      </c>
      <c r="F429" s="9" t="str">
        <f ca="1">+WORLDCUP!BD60</f>
        <v>Haití</v>
      </c>
      <c r="G429" s="9" t="str">
        <f ca="1">+WORLDCUP!BD58</f>
        <v>México</v>
      </c>
      <c r="H429" s="9" t="str">
        <f ca="1">+WORLDCUP!BD61</f>
        <v>Australia</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Jordania</v>
      </c>
      <c r="E430" s="9" t="str">
        <f ca="1">+WORLDCUP!BD59</f>
        <v>Canadá</v>
      </c>
      <c r="F430" s="9" t="str">
        <f ca="1">+WORLDCUP!BD60</f>
        <v>Haití</v>
      </c>
      <c r="G430" s="9" t="str">
        <f ca="1">+WORLDCUP!BD58</f>
        <v>México</v>
      </c>
      <c r="H430" s="9" t="str">
        <f ca="1">+WORLDCUP!BD61</f>
        <v>Australia</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Jordania</v>
      </c>
      <c r="E431" s="9" t="str">
        <f ca="1">+WORLDCUP!BD59</f>
        <v>Canadá</v>
      </c>
      <c r="F431" s="9" t="str">
        <f ca="1">+WORLDCUP!BD60</f>
        <v>Haití</v>
      </c>
      <c r="G431" s="9" t="str">
        <f ca="1">+WORLDCUP!BD58</f>
        <v>México</v>
      </c>
      <c r="H431" s="9" t="str">
        <f ca="1">+WORLDCUP!BD61</f>
        <v>Australia</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Haití</v>
      </c>
      <c r="D432" s="9" t="str">
        <f ca="1">+WORLDCUP!BD67</f>
        <v>Jordania</v>
      </c>
      <c r="E432" s="9" t="str">
        <f ca="1">+WORLDCUP!BD59</f>
        <v>Canadá</v>
      </c>
      <c r="F432" s="9" t="str">
        <f ca="1">+WORLDCUP!BD61</f>
        <v>Australia</v>
      </c>
      <c r="G432" s="9" t="str">
        <f ca="1">+WORLDCUP!BD58</f>
        <v>México</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Irán</v>
      </c>
      <c r="E433" s="9" t="str">
        <f ca="1">+WORLDCUP!BD59</f>
        <v>Canadá</v>
      </c>
      <c r="F433" s="9" t="str">
        <f ca="1">+WORLDCUP!BD60</f>
        <v>Haití</v>
      </c>
      <c r="G433" s="9" t="str">
        <f ca="1">+WORLDCUP!BD58</f>
        <v>México</v>
      </c>
      <c r="H433" s="9" t="str">
        <f ca="1">+WORLDCUP!BD61</f>
        <v>Australia</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Haití</v>
      </c>
      <c r="D434" s="9" t="str">
        <f ca="1">+WORLDCUP!BD67</f>
        <v>Jordania</v>
      </c>
      <c r="E434" s="9" t="str">
        <f ca="1">+WORLDCUP!BD59</f>
        <v>Canadá</v>
      </c>
      <c r="F434" s="9" t="str">
        <f ca="1">+WORLDCUP!BD61</f>
        <v>Australia</v>
      </c>
      <c r="G434" s="9" t="str">
        <f ca="1">+WORLDCUP!BD58</f>
        <v>México</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Haití</v>
      </c>
      <c r="D435" s="9" t="str">
        <f ca="1">+WORLDCUP!BD67</f>
        <v>Jordania</v>
      </c>
      <c r="E435" s="9" t="str">
        <f ca="1">+WORLDCUP!BD59</f>
        <v>Canadá</v>
      </c>
      <c r="F435" s="9" t="str">
        <f ca="1">+WORLDCUP!BD61</f>
        <v>Australia</v>
      </c>
      <c r="G435" s="9" t="str">
        <f ca="1">+WORLDCUP!BD58</f>
        <v>México</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Irán</v>
      </c>
      <c r="E436" s="9" t="str">
        <f ca="1">+WORLDCUP!BD59</f>
        <v>Canadá</v>
      </c>
      <c r="F436" s="9" t="str">
        <f ca="1">+WORLDCUP!BD60</f>
        <v>Haití</v>
      </c>
      <c r="G436" s="9" t="str">
        <f ca="1">+WORLDCUP!BD58</f>
        <v>México</v>
      </c>
      <c r="H436" s="9" t="str">
        <f ca="1">+WORLDCUP!BD61</f>
        <v>Australia</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Irán</v>
      </c>
      <c r="E437" s="9" t="str">
        <f ca="1">+WORLDCUP!BD59</f>
        <v>Canadá</v>
      </c>
      <c r="F437" s="9" t="str">
        <f ca="1">+WORLDCUP!BD60</f>
        <v>Haití</v>
      </c>
      <c r="G437" s="9" t="str">
        <f ca="1">+WORLDCUP!BD58</f>
        <v>México</v>
      </c>
      <c r="H437" s="9" t="str">
        <f ca="1">+WORLDCUP!BD61</f>
        <v>Australia</v>
      </c>
      <c r="I437" s="9" t="str">
        <f ca="1">+WORLDCUP!BD69</f>
        <v>Ghana</v>
      </c>
      <c r="J437" s="9" t="str">
        <f ca="1">+WORLDCUP!BD67</f>
        <v>Jordania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Irán</v>
      </c>
      <c r="E438" s="9" t="str">
        <f ca="1">+WORLDCUP!BD59</f>
        <v>Canadá</v>
      </c>
      <c r="F438" s="9" t="str">
        <f ca="1">+WORLDCUP!BD60</f>
        <v>Haití</v>
      </c>
      <c r="G438" s="9" t="str">
        <f ca="1">+WORLDCUP!BD58</f>
        <v>México</v>
      </c>
      <c r="H438" s="9" t="str">
        <f ca="1">+WORLDCUP!BD61</f>
        <v>Australia</v>
      </c>
      <c r="I438" s="9" t="str">
        <f ca="1">+WORLDCUP!BD67</f>
        <v>Jordania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Irán</v>
      </c>
      <c r="E439" s="9" t="str">
        <f ca="1">+WORLDCUP!BD59</f>
        <v>Canadá</v>
      </c>
      <c r="F439" s="9" t="str">
        <f ca="1">+WORLDCUP!BD60</f>
        <v>Haití</v>
      </c>
      <c r="G439" s="9" t="str">
        <f ca="1">+WORLDCUP!BD58</f>
        <v>México</v>
      </c>
      <c r="H439" s="9" t="str">
        <f ca="1">+WORLDCUP!BD61</f>
        <v>Australia</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Irán</v>
      </c>
      <c r="E440" s="9" t="str">
        <f ca="1">+WORLDCUP!BD59</f>
        <v>Canadá</v>
      </c>
      <c r="F440" s="9" t="str">
        <f ca="1">+WORLDCUP!BD60</f>
        <v>Haití</v>
      </c>
      <c r="G440" s="9" t="str">
        <f ca="1">+WORLDCUP!BD58</f>
        <v>México</v>
      </c>
      <c r="H440" s="9" t="str">
        <f ca="1">+WORLDCUP!BD61</f>
        <v>Australia</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Irán</v>
      </c>
      <c r="E441" s="9" t="str">
        <f ca="1">+WORLDCUP!BD59</f>
        <v>Canadá</v>
      </c>
      <c r="F441" s="9" t="str">
        <f ca="1">+WORLDCUP!BD60</f>
        <v>Haití</v>
      </c>
      <c r="G441" s="9" t="str">
        <f ca="1">+WORLDCUP!BD58</f>
        <v>México</v>
      </c>
      <c r="H441" s="9" t="str">
        <f ca="1">+WORLDCUP!BD61</f>
        <v>Australia</v>
      </c>
      <c r="I441" s="9" t="str">
        <f ca="1">+WORLDCUP!BD66</f>
        <v>Senegal</v>
      </c>
      <c r="J441" s="9" t="str">
        <f ca="1">+WORLDCUP!BD67</f>
        <v>Jordania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Haití</v>
      </c>
      <c r="D442" s="9" t="str">
        <f ca="1">+WORLDCUP!BD67</f>
        <v>Jordania</v>
      </c>
      <c r="E442" s="9" t="str">
        <f ca="1">+WORLDCUP!BD59</f>
        <v>Canadá</v>
      </c>
      <c r="F442" s="9" t="str">
        <f ca="1">+WORLDCUP!BD61</f>
        <v>Australia</v>
      </c>
      <c r="G442" s="9" t="str">
        <f ca="1">+WORLDCUP!BD58</f>
        <v>México</v>
      </c>
      <c r="H442" s="9" t="str">
        <f ca="1">+WORLDCUP!BD63</f>
        <v>Túnez</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Haití</v>
      </c>
      <c r="D443" s="9" t="str">
        <f ca="1">+WORLDCUP!BD66</f>
        <v>Senegal</v>
      </c>
      <c r="E443" s="9" t="str">
        <f ca="1">+WORLDCUP!BD59</f>
        <v>Canadá</v>
      </c>
      <c r="F443" s="9" t="str">
        <f ca="1">+WORLDCUP!BD61</f>
        <v>Australia</v>
      </c>
      <c r="G443" s="9" t="str">
        <f ca="1">+WORLDCUP!BD58</f>
        <v>México</v>
      </c>
      <c r="H443" s="9" t="str">
        <f ca="1">+WORLDCUP!BD63</f>
        <v>Túnez</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Haití</v>
      </c>
      <c r="D444" s="9" t="str">
        <f ca="1">+WORLDCUP!BD67</f>
        <v>Jordania</v>
      </c>
      <c r="E444" s="9" t="str">
        <f ca="1">+WORLDCUP!BD59</f>
        <v>Canadá</v>
      </c>
      <c r="F444" s="9" t="str">
        <f ca="1">+WORLDCUP!BD61</f>
        <v>Australia</v>
      </c>
      <c r="G444" s="9" t="str">
        <f ca="1">+WORLDCUP!BD58</f>
        <v>México</v>
      </c>
      <c r="H444" s="9" t="str">
        <f ca="1">+WORLDCUP!BD63</f>
        <v>Túnez</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Haití</v>
      </c>
      <c r="D445" s="9" t="str">
        <f ca="1">+WORLDCUP!BD67</f>
        <v>Jordania</v>
      </c>
      <c r="E445" s="9" t="str">
        <f ca="1">+WORLDCUP!BD59</f>
        <v>Canadá</v>
      </c>
      <c r="F445" s="9" t="str">
        <f ca="1">+WORLDCUP!BD61</f>
        <v>Australia</v>
      </c>
      <c r="G445" s="9" t="str">
        <f ca="1">+WORLDCUP!BD58</f>
        <v>México</v>
      </c>
      <c r="H445" s="9" t="str">
        <f ca="1">+WORLDCUP!BD63</f>
        <v>Túnez</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Túnez</v>
      </c>
      <c r="E446" s="9" t="str">
        <f ca="1">+WORLDCUP!BD59</f>
        <v>Canadá</v>
      </c>
      <c r="F446" s="9" t="str">
        <f ca="1">+WORLDCUP!BD60</f>
        <v>Haití</v>
      </c>
      <c r="G446" s="9" t="str">
        <f ca="1">+WORLDCUP!BD58</f>
        <v>México</v>
      </c>
      <c r="H446" s="9" t="str">
        <f ca="1">+WORLDCUP!BD61</f>
        <v>Australia</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Haití</v>
      </c>
      <c r="D447" s="9" t="str">
        <f ca="1">+WORLDCUP!BD67</f>
        <v>Jordania</v>
      </c>
      <c r="E447" s="9" t="str">
        <f ca="1">+WORLDCUP!BD59</f>
        <v>Canadá</v>
      </c>
      <c r="F447" s="9" t="str">
        <f ca="1">+WORLDCUP!BD61</f>
        <v>Australia</v>
      </c>
      <c r="G447" s="9" t="str">
        <f ca="1">+WORLDCUP!BD58</f>
        <v>México</v>
      </c>
      <c r="H447" s="9" t="str">
        <f ca="1">+WORLDCUP!BD63</f>
        <v>Túnez</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Jordania</v>
      </c>
      <c r="E448" s="9" t="str">
        <f ca="1">+WORLDCUP!BD59</f>
        <v>Canadá</v>
      </c>
      <c r="F448" s="9" t="str">
        <f ca="1">+WORLDCUP!BD60</f>
        <v>Haití</v>
      </c>
      <c r="G448" s="9" t="str">
        <f ca="1">+WORLDCUP!BD58</f>
        <v>México</v>
      </c>
      <c r="H448" s="9" t="str">
        <f ca="1">+WORLDCUP!BD63</f>
        <v>Túnez</v>
      </c>
      <c r="I448" s="9" t="str">
        <f ca="1">+WORLDCUP!BD61</f>
        <v>Australia</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Túnez</v>
      </c>
      <c r="E449" s="9" t="str">
        <f ca="1">+WORLDCUP!BD59</f>
        <v>Canadá</v>
      </c>
      <c r="F449" s="9" t="str">
        <f ca="1">+WORLDCUP!BD60</f>
        <v>Haití</v>
      </c>
      <c r="G449" s="9" t="str">
        <f ca="1">+WORLDCUP!BD58</f>
        <v>México</v>
      </c>
      <c r="H449" s="9" t="str">
        <f ca="1">+WORLDCUP!BD61</f>
        <v>Australia</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Túnez</v>
      </c>
      <c r="E450" s="9" t="str">
        <f ca="1">+WORLDCUP!BD59</f>
        <v>Canadá</v>
      </c>
      <c r="F450" s="9" t="str">
        <f ca="1">+WORLDCUP!BD60</f>
        <v>Haití</v>
      </c>
      <c r="G450" s="9" t="str">
        <f ca="1">+WORLDCUP!BD58</f>
        <v>México</v>
      </c>
      <c r="H450" s="9" t="str">
        <f ca="1">+WORLDCUP!BD61</f>
        <v>Australia</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Jordania</v>
      </c>
      <c r="E451" s="9" t="str">
        <f ca="1">+WORLDCUP!BD59</f>
        <v>Canadá</v>
      </c>
      <c r="F451" s="9" t="str">
        <f ca="1">+WORLDCUP!BD60</f>
        <v>Haití</v>
      </c>
      <c r="G451" s="9" t="str">
        <f ca="1">+WORLDCUP!BD58</f>
        <v>México</v>
      </c>
      <c r="H451" s="9" t="str">
        <f ca="1">+WORLDCUP!BD63</f>
        <v>Túnez</v>
      </c>
      <c r="I451" s="9" t="str">
        <f ca="1">+WORLDCUP!BD61</f>
        <v>Australia</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Haití</v>
      </c>
      <c r="D452" s="9" t="str">
        <f ca="1">+WORLDCUP!BD64</f>
        <v>Irán</v>
      </c>
      <c r="E452" s="9" t="str">
        <f ca="1">+WORLDCUP!BD59</f>
        <v>Canadá</v>
      </c>
      <c r="F452" s="9" t="str">
        <f ca="1">+WORLDCUP!BD61</f>
        <v>Australia</v>
      </c>
      <c r="G452" s="9" t="str">
        <f ca="1">+WORLDCUP!BD58</f>
        <v>México</v>
      </c>
      <c r="H452" s="9" t="str">
        <f ca="1">+WORLDCUP!BD63</f>
        <v>Túnez</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Haití</v>
      </c>
      <c r="D453" s="9" t="str">
        <f ca="1">+WORLDCUP!BD64</f>
        <v>Irán</v>
      </c>
      <c r="E453" s="9" t="str">
        <f ca="1">+WORLDCUP!BD59</f>
        <v>Canadá</v>
      </c>
      <c r="F453" s="9" t="str">
        <f ca="1">+WORLDCUP!BD61</f>
        <v>Australia</v>
      </c>
      <c r="G453" s="9" t="str">
        <f ca="1">+WORLDCUP!BD58</f>
        <v>México</v>
      </c>
      <c r="H453" s="9" t="str">
        <f ca="1">+WORLDCUP!BD63</f>
        <v>Túnez</v>
      </c>
      <c r="I453" s="9" t="str">
        <f ca="1">+WORLDCUP!BD69</f>
        <v>Ghana</v>
      </c>
      <c r="J453" s="9" t="str">
        <f ca="1">+WORLDCUP!BD67</f>
        <v>Jordania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Haití</v>
      </c>
      <c r="D454" s="9" t="str">
        <f ca="1">+WORLDCUP!BD64</f>
        <v>Irán</v>
      </c>
      <c r="E454" s="9" t="str">
        <f ca="1">+WORLDCUP!BD59</f>
        <v>Canadá</v>
      </c>
      <c r="F454" s="9" t="str">
        <f ca="1">+WORLDCUP!BD61</f>
        <v>Australia</v>
      </c>
      <c r="G454" s="9" t="str">
        <f ca="1">+WORLDCUP!BD58</f>
        <v>México</v>
      </c>
      <c r="H454" s="9" t="str">
        <f ca="1">+WORLDCUP!BD63</f>
        <v>Túnez</v>
      </c>
      <c r="I454" s="9" t="str">
        <f ca="1">+WORLDCUP!BD67</f>
        <v>Jordania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Haití</v>
      </c>
      <c r="D455" s="9" t="str">
        <f ca="1">+WORLDCUP!BD64</f>
        <v>Irán</v>
      </c>
      <c r="E455" s="9" t="str">
        <f ca="1">+WORLDCUP!BD59</f>
        <v>Canadá</v>
      </c>
      <c r="F455" s="9" t="str">
        <f ca="1">+WORLDCUP!BD61</f>
        <v>Australia</v>
      </c>
      <c r="G455" s="9" t="str">
        <f ca="1">+WORLDCUP!BD58</f>
        <v>México</v>
      </c>
      <c r="H455" s="9" t="str">
        <f ca="1">+WORLDCUP!BD63</f>
        <v>Túnez</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Haití</v>
      </c>
      <c r="D456" s="9" t="str">
        <f ca="1">+WORLDCUP!BD64</f>
        <v>Irán</v>
      </c>
      <c r="E456" s="9" t="str">
        <f ca="1">+WORLDCUP!BD59</f>
        <v>Canadá</v>
      </c>
      <c r="F456" s="9" t="str">
        <f ca="1">+WORLDCUP!BD61</f>
        <v>Australia</v>
      </c>
      <c r="G456" s="9" t="str">
        <f ca="1">+WORLDCUP!BD58</f>
        <v>México</v>
      </c>
      <c r="H456" s="9" t="str">
        <f ca="1">+WORLDCUP!BD63</f>
        <v>Túnez</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Haití</v>
      </c>
      <c r="D457" s="9" t="str">
        <f ca="1">+WORLDCUP!BD64</f>
        <v>Irán</v>
      </c>
      <c r="E457" s="9" t="str">
        <f ca="1">+WORLDCUP!BD59</f>
        <v>Canadá</v>
      </c>
      <c r="F457" s="9" t="str">
        <f ca="1">+WORLDCUP!BD61</f>
        <v>Australia</v>
      </c>
      <c r="G457" s="9" t="str">
        <f ca="1">+WORLDCUP!BD58</f>
        <v>México</v>
      </c>
      <c r="H457" s="9" t="str">
        <f ca="1">+WORLDCUP!BD63</f>
        <v>Túnez</v>
      </c>
      <c r="I457" s="9" t="str">
        <f ca="1">+WORLDCUP!BD66</f>
        <v>Senegal</v>
      </c>
      <c r="J457" s="9" t="str">
        <f ca="1">+WORLDCUP!BD67</f>
        <v>Jordania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Haití</v>
      </c>
      <c r="D458" s="9" t="str">
        <f ca="1">+WORLDCUP!BD64</f>
        <v>Irán</v>
      </c>
      <c r="E458" s="9" t="str">
        <f ca="1">+WORLDCUP!BD59</f>
        <v>Canadá</v>
      </c>
      <c r="F458" s="9" t="str">
        <f ca="1">+WORLDCUP!BD61</f>
        <v>Australia</v>
      </c>
      <c r="G458" s="9" t="str">
        <f ca="1">+WORLDCUP!BD58</f>
        <v>México</v>
      </c>
      <c r="H458" s="9" t="str">
        <f ca="1">+WORLDCUP!BD63</f>
        <v>Túnez</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Irán</v>
      </c>
      <c r="E459" s="9" t="str">
        <f ca="1">+WORLDCUP!BD59</f>
        <v>Canadá</v>
      </c>
      <c r="F459" s="9" t="str">
        <f ca="1">+WORLDCUP!BD60</f>
        <v>Haití</v>
      </c>
      <c r="G459" s="9" t="str">
        <f ca="1">+WORLDCUP!BD58</f>
        <v>México</v>
      </c>
      <c r="H459" s="9" t="str">
        <f ca="1">+WORLDCUP!BD63</f>
        <v>Túnez</v>
      </c>
      <c r="I459" s="9" t="str">
        <f ca="1">+WORLDCUP!BD61</f>
        <v>Australia</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Irán</v>
      </c>
      <c r="E460" s="9" t="str">
        <f ca="1">+WORLDCUP!BD59</f>
        <v>Canadá</v>
      </c>
      <c r="F460" s="9" t="str">
        <f ca="1">+WORLDCUP!BD60</f>
        <v>Haití</v>
      </c>
      <c r="G460" s="9" t="str">
        <f ca="1">+WORLDCUP!BD58</f>
        <v>México</v>
      </c>
      <c r="H460" s="9" t="str">
        <f ca="1">+WORLDCUP!BD63</f>
        <v>Túnez</v>
      </c>
      <c r="I460" s="9" t="str">
        <f ca="1">+WORLDCUP!BD61</f>
        <v>Australia</v>
      </c>
      <c r="J460" s="9" t="str">
        <f ca="1">+WORLDCUP!BD67</f>
        <v>Jordania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Irán</v>
      </c>
      <c r="E461" s="9" t="str">
        <f ca="1">+WORLDCUP!BD59</f>
        <v>Canadá</v>
      </c>
      <c r="F461" s="9" t="str">
        <f ca="1">+WORLDCUP!BD60</f>
        <v>Haití</v>
      </c>
      <c r="G461" s="9" t="str">
        <f ca="1">+WORLDCUP!BD58</f>
        <v>México</v>
      </c>
      <c r="H461" s="9" t="str">
        <f ca="1">+WORLDCUP!BD63</f>
        <v>Túnez</v>
      </c>
      <c r="I461" s="9" t="str">
        <f ca="1">+WORLDCUP!BD61</f>
        <v>Australia</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Costa de Marfil</v>
      </c>
      <c r="D462" s="9" t="str">
        <f ca="1">+WORLDCUP!BD67</f>
        <v>Jordania</v>
      </c>
      <c r="E462" s="9" t="str">
        <f ca="1">+WORLDCUP!BD59</f>
        <v>Canadá</v>
      </c>
      <c r="F462" s="9" t="str">
        <f ca="1">+WORLDCUP!BD60</f>
        <v>Haití</v>
      </c>
      <c r="G462" s="9" t="str">
        <f ca="1">+WORLDCUP!BD58</f>
        <v>México</v>
      </c>
      <c r="H462" s="9" t="str">
        <f ca="1">+WORLDCUP!BD61</f>
        <v>Australia</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Costa de Marfil</v>
      </c>
      <c r="D463" s="9" t="str">
        <f ca="1">+WORLDCUP!BD66</f>
        <v>Senegal</v>
      </c>
      <c r="E463" s="9" t="str">
        <f ca="1">+WORLDCUP!BD59</f>
        <v>Canadá</v>
      </c>
      <c r="F463" s="9" t="str">
        <f ca="1">+WORLDCUP!BD60</f>
        <v>Haití</v>
      </c>
      <c r="G463" s="9" t="str">
        <f ca="1">+WORLDCUP!BD58</f>
        <v>México</v>
      </c>
      <c r="H463" s="9" t="str">
        <f ca="1">+WORLDCUP!BD61</f>
        <v>Australia</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Costa de Marfil</v>
      </c>
      <c r="D464" s="9" t="str">
        <f ca="1">+WORLDCUP!BD67</f>
        <v>Jordania</v>
      </c>
      <c r="E464" s="9" t="str">
        <f ca="1">+WORLDCUP!BD59</f>
        <v>Canadá</v>
      </c>
      <c r="F464" s="9" t="str">
        <f ca="1">+WORLDCUP!BD60</f>
        <v>Haití</v>
      </c>
      <c r="G464" s="9" t="str">
        <f ca="1">+WORLDCUP!BD58</f>
        <v>México</v>
      </c>
      <c r="H464" s="9" t="str">
        <f ca="1">+WORLDCUP!BD61</f>
        <v>Australia</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Costa de Marfil</v>
      </c>
      <c r="D465" s="9" t="str">
        <f ca="1">+WORLDCUP!BD67</f>
        <v>Jordania</v>
      </c>
      <c r="E465" s="9" t="str">
        <f ca="1">+WORLDCUP!BD59</f>
        <v>Canadá</v>
      </c>
      <c r="F465" s="9" t="str">
        <f ca="1">+WORLDCUP!BD60</f>
        <v>Haití</v>
      </c>
      <c r="G465" s="9" t="str">
        <f ca="1">+WORLDCUP!BD58</f>
        <v>México</v>
      </c>
      <c r="H465" s="9" t="str">
        <f ca="1">+WORLDCUP!BD61</f>
        <v>Australia</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Costa de Marfil</v>
      </c>
      <c r="E466" s="9" t="str">
        <f ca="1">+WORLDCUP!BD59</f>
        <v>Canadá</v>
      </c>
      <c r="F466" s="9" t="str">
        <f ca="1">+WORLDCUP!BD60</f>
        <v>Haití</v>
      </c>
      <c r="G466" s="9" t="str">
        <f ca="1">+WORLDCUP!BD58</f>
        <v>México</v>
      </c>
      <c r="H466" s="9" t="str">
        <f ca="1">+WORLDCUP!BD61</f>
        <v>Australia</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Jordania</v>
      </c>
      <c r="E467" s="9" t="str">
        <f ca="1">+WORLDCUP!BD59</f>
        <v>Canadá</v>
      </c>
      <c r="F467" s="9" t="str">
        <f ca="1">+WORLDCUP!BD60</f>
        <v>Haití</v>
      </c>
      <c r="G467" s="9" t="str">
        <f ca="1">+WORLDCUP!BD58</f>
        <v>México</v>
      </c>
      <c r="H467" s="9" t="str">
        <f ca="1">+WORLDCUP!BD61</f>
        <v>Australia</v>
      </c>
      <c r="I467" s="9" t="str">
        <f ca="1">+WORLDCUP!BD69</f>
        <v>Ghana</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Jordania</v>
      </c>
      <c r="E468" s="9" t="str">
        <f ca="1">+WORLDCUP!BD59</f>
        <v>Canadá</v>
      </c>
      <c r="F468" s="9" t="str">
        <f ca="1">+WORLDCUP!BD60</f>
        <v>Haití</v>
      </c>
      <c r="G468" s="9" t="str">
        <f ca="1">+WORLDCUP!BD58</f>
        <v>México</v>
      </c>
      <c r="H468" s="9" t="str">
        <f ca="1">+WORLDCUP!BD61</f>
        <v>Australia</v>
      </c>
      <c r="I468" s="9" t="str">
        <f ca="1">+WORLDCUP!BD62</f>
        <v>Costa de Marfil</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Costa de Marfil</v>
      </c>
      <c r="E469" s="9" t="str">
        <f ca="1">+WORLDCUP!BD59</f>
        <v>Canadá</v>
      </c>
      <c r="F469" s="9" t="str">
        <f ca="1">+WORLDCUP!BD60</f>
        <v>Haití</v>
      </c>
      <c r="G469" s="9" t="str">
        <f ca="1">+WORLDCUP!BD58</f>
        <v>México</v>
      </c>
      <c r="H469" s="9" t="str">
        <f ca="1">+WORLDCUP!BD61</f>
        <v>Australia</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Costa de Marfil</v>
      </c>
      <c r="E470" s="9" t="str">
        <f ca="1">+WORLDCUP!BD59</f>
        <v>Canadá</v>
      </c>
      <c r="F470" s="9" t="str">
        <f ca="1">+WORLDCUP!BD60</f>
        <v>Haití</v>
      </c>
      <c r="G470" s="9" t="str">
        <f ca="1">+WORLDCUP!BD58</f>
        <v>México</v>
      </c>
      <c r="H470" s="9" t="str">
        <f ca="1">+WORLDCUP!BD61</f>
        <v>Australia</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Jordania</v>
      </c>
      <c r="E471" s="9" t="str">
        <f ca="1">+WORLDCUP!BD59</f>
        <v>Canadá</v>
      </c>
      <c r="F471" s="9" t="str">
        <f ca="1">+WORLDCUP!BD60</f>
        <v>Haití</v>
      </c>
      <c r="G471" s="9" t="str">
        <f ca="1">+WORLDCUP!BD58</f>
        <v>México</v>
      </c>
      <c r="H471" s="9" t="str">
        <f ca="1">+WORLDCUP!BD61</f>
        <v>Australia</v>
      </c>
      <c r="I471" s="9" t="str">
        <f ca="1">+WORLDCUP!BD62</f>
        <v>Costa de Marfil</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Costa de Marfil</v>
      </c>
      <c r="D472" s="9" t="str">
        <f ca="1">+WORLDCUP!BD64</f>
        <v>Irán</v>
      </c>
      <c r="E472" s="9" t="str">
        <f ca="1">+WORLDCUP!BD59</f>
        <v>Canadá</v>
      </c>
      <c r="F472" s="9" t="str">
        <f ca="1">+WORLDCUP!BD60</f>
        <v>Haití</v>
      </c>
      <c r="G472" s="9" t="str">
        <f ca="1">+WORLDCUP!BD58</f>
        <v>México</v>
      </c>
      <c r="H472" s="9" t="str">
        <f ca="1">+WORLDCUP!BD61</f>
        <v>Australia</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Costa de Marfil</v>
      </c>
      <c r="D473" s="9" t="str">
        <f ca="1">+WORLDCUP!BD64</f>
        <v>Irán</v>
      </c>
      <c r="E473" s="9" t="str">
        <f ca="1">+WORLDCUP!BD59</f>
        <v>Canadá</v>
      </c>
      <c r="F473" s="9" t="str">
        <f ca="1">+WORLDCUP!BD60</f>
        <v>Haití</v>
      </c>
      <c r="G473" s="9" t="str">
        <f ca="1">+WORLDCUP!BD58</f>
        <v>México</v>
      </c>
      <c r="H473" s="9" t="str">
        <f ca="1">+WORLDCUP!BD61</f>
        <v>Australia</v>
      </c>
      <c r="I473" s="9" t="str">
        <f ca="1">+WORLDCUP!BD69</f>
        <v>Ghana</v>
      </c>
      <c r="J473" s="9" t="str">
        <f ca="1">+WORLDCUP!BD67</f>
        <v>Jordania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Costa de Marfil</v>
      </c>
      <c r="D474" s="9" t="str">
        <f ca="1">+WORLDCUP!BD64</f>
        <v>Irán</v>
      </c>
      <c r="E474" s="9" t="str">
        <f ca="1">+WORLDCUP!BD59</f>
        <v>Canadá</v>
      </c>
      <c r="F474" s="9" t="str">
        <f ca="1">+WORLDCUP!BD60</f>
        <v>Haití</v>
      </c>
      <c r="G474" s="9" t="str">
        <f ca="1">+WORLDCUP!BD58</f>
        <v>México</v>
      </c>
      <c r="H474" s="9" t="str">
        <f ca="1">+WORLDCUP!BD61</f>
        <v>Australia</v>
      </c>
      <c r="I474" s="9" t="str">
        <f ca="1">+WORLDCUP!BD67</f>
        <v>Jordania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Costa de Marfil</v>
      </c>
      <c r="D475" s="9" t="str">
        <f ca="1">+WORLDCUP!BD64</f>
        <v>Irán</v>
      </c>
      <c r="E475" s="9" t="str">
        <f ca="1">+WORLDCUP!BD59</f>
        <v>Canadá</v>
      </c>
      <c r="F475" s="9" t="str">
        <f ca="1">+WORLDCUP!BD60</f>
        <v>Haití</v>
      </c>
      <c r="G475" s="9" t="str">
        <f ca="1">+WORLDCUP!BD58</f>
        <v>México</v>
      </c>
      <c r="H475" s="9" t="str">
        <f ca="1">+WORLDCUP!BD61</f>
        <v>Australia</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Costa de Marfil</v>
      </c>
      <c r="D476" s="9" t="str">
        <f ca="1">+WORLDCUP!BD64</f>
        <v>Irán</v>
      </c>
      <c r="E476" s="9" t="str">
        <f ca="1">+WORLDCUP!BD59</f>
        <v>Canadá</v>
      </c>
      <c r="F476" s="9" t="str">
        <f ca="1">+WORLDCUP!BD60</f>
        <v>Haití</v>
      </c>
      <c r="G476" s="9" t="str">
        <f ca="1">+WORLDCUP!BD58</f>
        <v>México</v>
      </c>
      <c r="H476" s="9" t="str">
        <f ca="1">+WORLDCUP!BD61</f>
        <v>Australia</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Costa de Marfil</v>
      </c>
      <c r="D477" s="9" t="str">
        <f ca="1">+WORLDCUP!BD64</f>
        <v>Irán</v>
      </c>
      <c r="E477" s="9" t="str">
        <f ca="1">+WORLDCUP!BD59</f>
        <v>Canadá</v>
      </c>
      <c r="F477" s="9" t="str">
        <f ca="1">+WORLDCUP!BD60</f>
        <v>Haití</v>
      </c>
      <c r="G477" s="9" t="str">
        <f ca="1">+WORLDCUP!BD58</f>
        <v>México</v>
      </c>
      <c r="H477" s="9" t="str">
        <f ca="1">+WORLDCUP!BD61</f>
        <v>Australia</v>
      </c>
      <c r="I477" s="9" t="str">
        <f ca="1">+WORLDCUP!BD66</f>
        <v>Senegal</v>
      </c>
      <c r="J477" s="9" t="str">
        <f ca="1">+WORLDCUP!BD67</f>
        <v>Jordania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Irán</v>
      </c>
      <c r="E478" s="9" t="str">
        <f ca="1">+WORLDCUP!BD59</f>
        <v>Canadá</v>
      </c>
      <c r="F478" s="9" t="str">
        <f ca="1">+WORLDCUP!BD60</f>
        <v>Haití</v>
      </c>
      <c r="G478" s="9" t="str">
        <f ca="1">+WORLDCUP!BD58</f>
        <v>México</v>
      </c>
      <c r="H478" s="9" t="str">
        <f ca="1">+WORLDCUP!BD61</f>
        <v>Australia</v>
      </c>
      <c r="I478" s="9" t="str">
        <f ca="1">+WORLDCUP!BD69</f>
        <v>Ghana</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Irán</v>
      </c>
      <c r="E479" s="9" t="str">
        <f ca="1">+WORLDCUP!BD59</f>
        <v>Canadá</v>
      </c>
      <c r="F479" s="9" t="str">
        <f ca="1">+WORLDCUP!BD60</f>
        <v>Haití</v>
      </c>
      <c r="G479" s="9" t="str">
        <f ca="1">+WORLDCUP!BD58</f>
        <v>México</v>
      </c>
      <c r="H479" s="9" t="str">
        <f ca="1">+WORLDCUP!BD61</f>
        <v>Australia</v>
      </c>
      <c r="I479" s="9" t="str">
        <f ca="1">+WORLDCUP!BD62</f>
        <v>Costa de Marfil</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Irán</v>
      </c>
      <c r="E480" s="9" t="str">
        <f ca="1">+WORLDCUP!BD59</f>
        <v>Canadá</v>
      </c>
      <c r="F480" s="9" t="str">
        <f ca="1">+WORLDCUP!BD60</f>
        <v>Haití</v>
      </c>
      <c r="G480" s="9" t="str">
        <f ca="1">+WORLDCUP!BD58</f>
        <v>México</v>
      </c>
      <c r="H480" s="9" t="str">
        <f ca="1">+WORLDCUP!BD61</f>
        <v>Australia</v>
      </c>
      <c r="I480" s="9" t="str">
        <f ca="1">+WORLDCUP!BD62</f>
        <v>Costa de Marfil</v>
      </c>
      <c r="J480" s="9" t="str">
        <f ca="1">+WORLDCUP!BD67</f>
        <v>Jordania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Irán</v>
      </c>
      <c r="E481" s="9" t="str">
        <f ca="1">+WORLDCUP!BD59</f>
        <v>Canadá</v>
      </c>
      <c r="F481" s="9" t="str">
        <f ca="1">+WORLDCUP!BD60</f>
        <v>Haití</v>
      </c>
      <c r="G481" s="9" t="str">
        <f ca="1">+WORLDCUP!BD58</f>
        <v>México</v>
      </c>
      <c r="H481" s="9" t="str">
        <f ca="1">+WORLDCUP!BD61</f>
        <v>Australia</v>
      </c>
      <c r="I481" s="9" t="str">
        <f ca="1">+WORLDCUP!BD62</f>
        <v>Costa de Marfil</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Haití</v>
      </c>
      <c r="D482" s="9" t="str">
        <f ca="1">+WORLDCUP!BD62</f>
        <v>Costa de Marfil</v>
      </c>
      <c r="E482" s="9" t="str">
        <f ca="1">+WORLDCUP!BD59</f>
        <v>Canadá</v>
      </c>
      <c r="F482" s="9" t="str">
        <f ca="1">+WORLDCUP!BD61</f>
        <v>Australia</v>
      </c>
      <c r="G482" s="9" t="str">
        <f ca="1">+WORLDCUP!BD58</f>
        <v>México</v>
      </c>
      <c r="H482" s="9" t="str">
        <f ca="1">+WORLDCUP!BD63</f>
        <v>Túnez</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Haití</v>
      </c>
      <c r="D483" s="9" t="str">
        <f ca="1">+WORLDCUP!BD67</f>
        <v>Jordania</v>
      </c>
      <c r="E483" s="9" t="str">
        <f ca="1">+WORLDCUP!BD59</f>
        <v>Canadá</v>
      </c>
      <c r="F483" s="9" t="str">
        <f ca="1">+WORLDCUP!BD61</f>
        <v>Australia</v>
      </c>
      <c r="G483" s="9" t="str">
        <f ca="1">+WORLDCUP!BD58</f>
        <v>México</v>
      </c>
      <c r="H483" s="9" t="str">
        <f ca="1">+WORLDCUP!BD63</f>
        <v>Túnez</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Haití</v>
      </c>
      <c r="D484" s="9" t="str">
        <f ca="1">+WORLDCUP!BD67</f>
        <v>Jordania</v>
      </c>
      <c r="E484" s="9" t="str">
        <f ca="1">+WORLDCUP!BD59</f>
        <v>Canadá</v>
      </c>
      <c r="F484" s="9" t="str">
        <f ca="1">+WORLDCUP!BD61</f>
        <v>Australia</v>
      </c>
      <c r="G484" s="9" t="str">
        <f ca="1">+WORLDCUP!BD58</f>
        <v>México</v>
      </c>
      <c r="H484" s="9" t="str">
        <f ca="1">+WORLDCUP!BD63</f>
        <v>Túnez</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Haití</v>
      </c>
      <c r="D485" s="9" t="str">
        <f ca="1">+WORLDCUP!BD62</f>
        <v>Costa de Marfil</v>
      </c>
      <c r="E485" s="9" t="str">
        <f ca="1">+WORLDCUP!BD59</f>
        <v>Canadá</v>
      </c>
      <c r="F485" s="9" t="str">
        <f ca="1">+WORLDCUP!BD61</f>
        <v>Australia</v>
      </c>
      <c r="G485" s="9" t="str">
        <f ca="1">+WORLDCUP!BD58</f>
        <v>México</v>
      </c>
      <c r="H485" s="9" t="str">
        <f ca="1">+WORLDCUP!BD63</f>
        <v>Túnez</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Haití</v>
      </c>
      <c r="D486" s="9" t="str">
        <f ca="1">+WORLDCUP!BD62</f>
        <v>Costa de Marfil</v>
      </c>
      <c r="E486" s="9" t="str">
        <f ca="1">+WORLDCUP!BD59</f>
        <v>Canadá</v>
      </c>
      <c r="F486" s="9" t="str">
        <f ca="1">+WORLDCUP!BD61</f>
        <v>Australia</v>
      </c>
      <c r="G486" s="9" t="str">
        <f ca="1">+WORLDCUP!BD58</f>
        <v>México</v>
      </c>
      <c r="H486" s="9" t="str">
        <f ca="1">+WORLDCUP!BD63</f>
        <v>Túnez</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Haití</v>
      </c>
      <c r="D487" s="9" t="str">
        <f ca="1">+WORLDCUP!BD67</f>
        <v>Jordania</v>
      </c>
      <c r="E487" s="9" t="str">
        <f ca="1">+WORLDCUP!BD59</f>
        <v>Canadá</v>
      </c>
      <c r="F487" s="9" t="str">
        <f ca="1">+WORLDCUP!BD61</f>
        <v>Australia</v>
      </c>
      <c r="G487" s="9" t="str">
        <f ca="1">+WORLDCUP!BD58</f>
        <v>México</v>
      </c>
      <c r="H487" s="9" t="str">
        <f ca="1">+WORLDCUP!BD63</f>
        <v>Túnez</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Túnez</v>
      </c>
      <c r="E488" s="9" t="str">
        <f ca="1">+WORLDCUP!BD59</f>
        <v>Canadá</v>
      </c>
      <c r="F488" s="9" t="str">
        <f ca="1">+WORLDCUP!BD60</f>
        <v>Haití</v>
      </c>
      <c r="G488" s="9" t="str">
        <f ca="1">+WORLDCUP!BD58</f>
        <v>México</v>
      </c>
      <c r="H488" s="9" t="str">
        <f ca="1">+WORLDCUP!BD61</f>
        <v>Australia</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Canadá</v>
      </c>
      <c r="F489" s="9" t="str">
        <f ca="1">+WORLDCUP!BD60</f>
        <v>Haití</v>
      </c>
      <c r="G489" s="9" t="str">
        <f ca="1">+WORLDCUP!BD58</f>
        <v>México</v>
      </c>
      <c r="H489" s="9" t="str">
        <f ca="1">+WORLDCUP!BD63</f>
        <v>Túnez</v>
      </c>
      <c r="I489" s="9" t="str">
        <f ca="1">+WORLDCUP!BD61</f>
        <v>Australia</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Jordania</v>
      </c>
      <c r="E490" s="9" t="str">
        <f ca="1">+WORLDCUP!BD59</f>
        <v>Canadá</v>
      </c>
      <c r="F490" s="9" t="str">
        <f ca="1">+WORLDCUP!BD60</f>
        <v>Haití</v>
      </c>
      <c r="G490" s="9" t="str">
        <f ca="1">+WORLDCUP!BD58</f>
        <v>México</v>
      </c>
      <c r="H490" s="9" t="str">
        <f ca="1">+WORLDCUP!BD63</f>
        <v>Túnez</v>
      </c>
      <c r="I490" s="9" t="str">
        <f ca="1">+WORLDCUP!BD61</f>
        <v>Australia</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Canadá</v>
      </c>
      <c r="F491" s="9" t="str">
        <f ca="1">+WORLDCUP!BD60</f>
        <v>Haití</v>
      </c>
      <c r="G491" s="9" t="str">
        <f ca="1">+WORLDCUP!BD58</f>
        <v>México</v>
      </c>
      <c r="H491" s="9" t="str">
        <f ca="1">+WORLDCUP!BD63</f>
        <v>Túnez</v>
      </c>
      <c r="I491" s="9" t="str">
        <f ca="1">+WORLDCUP!BD61</f>
        <v>Australia</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Haití</v>
      </c>
      <c r="D492" s="9" t="str">
        <f ca="1">+WORLDCUP!BD64</f>
        <v>Irán</v>
      </c>
      <c r="E492" s="9" t="str">
        <f ca="1">+WORLDCUP!BD59</f>
        <v>Canadá</v>
      </c>
      <c r="F492" s="9" t="str">
        <f ca="1">+WORLDCUP!BD61</f>
        <v>Australia</v>
      </c>
      <c r="G492" s="9" t="str">
        <f ca="1">+WORLDCUP!BD58</f>
        <v>México</v>
      </c>
      <c r="H492" s="9" t="str">
        <f ca="1">+WORLDCUP!BD63</f>
        <v>Túnez</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Haití</v>
      </c>
      <c r="D493" s="9" t="str">
        <f ca="1">+WORLDCUP!BD64</f>
        <v>Irán</v>
      </c>
      <c r="E493" s="9" t="str">
        <f ca="1">+WORLDCUP!BD59</f>
        <v>Canadá</v>
      </c>
      <c r="F493" s="9" t="str">
        <f ca="1">+WORLDCUP!BD61</f>
        <v>Australia</v>
      </c>
      <c r="G493" s="9" t="str">
        <f ca="1">+WORLDCUP!BD58</f>
        <v>México</v>
      </c>
      <c r="H493" s="9" t="str">
        <f ca="1">+WORLDCUP!BD63</f>
        <v>Túnez</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Haití</v>
      </c>
      <c r="D494" s="9" t="str">
        <f ca="1">+WORLDCUP!BD64</f>
        <v>Irán</v>
      </c>
      <c r="E494" s="9" t="str">
        <f ca="1">+WORLDCUP!BD59</f>
        <v>Canadá</v>
      </c>
      <c r="F494" s="9" t="str">
        <f ca="1">+WORLDCUP!BD61</f>
        <v>Australia</v>
      </c>
      <c r="G494" s="9" t="str">
        <f ca="1">+WORLDCUP!BD58</f>
        <v>México</v>
      </c>
      <c r="H494" s="9" t="str">
        <f ca="1">+WORLDCUP!BD63</f>
        <v>Túnez</v>
      </c>
      <c r="I494" s="9" t="str">
        <f ca="1">+WORLDCUP!BD62</f>
        <v>Costa de Marfil</v>
      </c>
      <c r="J494" s="9" t="str">
        <f ca="1">+WORLDCUP!BD67</f>
        <v>Jordania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Haití</v>
      </c>
      <c r="D495" s="9" t="str">
        <f ca="1">+WORLDCUP!BD64</f>
        <v>Irán</v>
      </c>
      <c r="E495" s="9" t="str">
        <f ca="1">+WORLDCUP!BD59</f>
        <v>Canadá</v>
      </c>
      <c r="F495" s="9" t="str">
        <f ca="1">+WORLDCUP!BD61</f>
        <v>Australia</v>
      </c>
      <c r="G495" s="9" t="str">
        <f ca="1">+WORLDCUP!BD58</f>
        <v>México</v>
      </c>
      <c r="H495" s="9" t="str">
        <f ca="1">+WORLDCUP!BD63</f>
        <v>Túnez</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Canadá</v>
      </c>
      <c r="F496" s="9" t="str">
        <f ca="1">+WORLDCUP!BD60</f>
        <v>Haití</v>
      </c>
      <c r="G496" s="9" t="str">
        <f ca="1">+WORLDCUP!BD58</f>
        <v>México</v>
      </c>
      <c r="H496" s="9" t="str">
        <f ca="1">+WORLDCUP!BD63</f>
        <v>Túnez</v>
      </c>
      <c r="I496" s="9" t="str">
        <f ca="1">+WORLDCUP!BD61</f>
        <v>Australia</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1">
        <v>#VALUE!</v>
      </c>
      <c r="Y87" s="9">
        <v>3.5</v>
      </c>
      <c r="Z87" s="6"/>
      <c r="AA87" s="6"/>
      <c r="AB87" s="6"/>
    </row>
    <row r="88" spans="12:28">
      <c r="L88" s="3"/>
      <c r="M88" s="3"/>
      <c r="N88" s="3"/>
      <c r="O88" s="6"/>
      <c r="P88" s="6"/>
      <c r="Q88" s="6"/>
      <c r="R88" s="6"/>
      <c r="T88" s="16" t="s">
        <v>1478</v>
      </c>
      <c r="U88" s="9" t="s">
        <v>1463</v>
      </c>
      <c r="V88" s="9" t="s">
        <v>1464</v>
      </c>
      <c r="W88" s="9" t="s">
        <v>1465</v>
      </c>
      <c r="X88" s="584" t="e" vm="1">
        <v>#VALUE!</v>
      </c>
      <c r="Y88" s="9">
        <v>4</v>
      </c>
      <c r="Z88" s="6"/>
      <c r="AA88" s="6"/>
      <c r="AB88" s="6"/>
    </row>
    <row r="89" spans="12:28" ht="15.75">
      <c r="L89" s="3"/>
      <c r="M89" s="3"/>
      <c r="N89" s="3"/>
      <c r="O89" s="6"/>
      <c r="P89" s="6"/>
      <c r="Q89" s="6"/>
      <c r="R89" s="6"/>
      <c r="T89" s="16" t="s">
        <v>1479</v>
      </c>
      <c r="U89" s="9" t="s">
        <v>1466</v>
      </c>
      <c r="V89" s="9" t="s">
        <v>1466</v>
      </c>
      <c r="W89" s="585" t="s">
        <v>1468</v>
      </c>
      <c r="X89" s="584" t="e" vm="1">
        <v>#VALUE!</v>
      </c>
      <c r="Y89" s="9">
        <v>-4</v>
      </c>
      <c r="Z89" s="6"/>
      <c r="AA89" s="6"/>
      <c r="AB89" s="6"/>
    </row>
    <row r="90" spans="12:28" ht="15.75">
      <c r="L90" s="3"/>
      <c r="M90" s="3"/>
      <c r="N90" s="3"/>
      <c r="O90" s="6"/>
      <c r="P90" s="6"/>
      <c r="Q90" s="6"/>
      <c r="R90" s="6"/>
      <c r="T90" s="16" t="s">
        <v>1480</v>
      </c>
      <c r="U90" s="9" t="s">
        <v>1467</v>
      </c>
      <c r="V90" s="9" t="s">
        <v>1470</v>
      </c>
      <c r="W90" s="586" t="s">
        <v>1469</v>
      </c>
      <c r="X90" s="584" t="e" vm="1">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1458</v>
      </c>
      <c r="O92" s="409" t="s">
        <v>1459</v>
      </c>
      <c r="P92" s="409" t="s">
        <v>1493</v>
      </c>
      <c r="Q92" s="409" t="s">
        <v>1481</v>
      </c>
      <c r="R92" s="409" t="s">
        <v>1473</v>
      </c>
      <c r="Z92" s="6"/>
      <c r="AA92" s="6"/>
      <c r="AB92" s="6"/>
    </row>
    <row r="93" spans="12:28" ht="24.9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formula1>$T$87:$T$91</formula1>
    </dataValidation>
  </dataValidations>
  <hyperlinks>
    <hyperlink ref="C15" r:id="rId1"/>
    <hyperlink ref="E25" r:id="rId2" display="https://matejero.es/calendario-excel-liga/"/>
    <hyperlink ref="E27" r:id="rId3" location="Descarga_el_Calendario_2a_Division_Liga_23_24_Excel" display="https://matejero.es/calendario-excel-liga/ - Descarga_el_Calendario_2a_Division_Liga_23_24_Excel"/>
    <hyperlink ref="G29" r:id="rId4" display="https://matejero.com/premier-league-excel-schedule/"/>
    <hyperlink ref="E31" r:id="rId5" display="https://matejero.es/excel-copa-libertadores/"/>
    <hyperlink ref="G21" r:id="rId6" display="https://matejero.com/download/admin-world-cup-2026/"/>
    <hyperlink ref="E21" r:id="rId7" display="https://matejero.es/download/administrador-excel-mundial-2026/"/>
    <hyperlink ref="G23" r:id="rId8" display="https://matejero.com/excel-champions-league/"/>
    <hyperlink ref="E23" r:id="rId9" display="https://matejero.es/excel-champions-league/"/>
    <hyperlink ref="E15" r:id="rId10"/>
    <hyperlink ref="G15" r:id="rId11"/>
    <hyperlink ref="L34" r:id="rId12"/>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1">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1">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1">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1">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1">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1">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1">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1">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1">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1">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1">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1">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1">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1">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1">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1">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1">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1">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1">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1">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1">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1">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1">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1">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1">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1">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1">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1">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1">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1">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1">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1">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1">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7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Evalua Mis finanzas</cp:lastModifiedBy>
  <cp:lastPrinted>2018-12-06T18:06:35Z</cp:lastPrinted>
  <dcterms:created xsi:type="dcterms:W3CDTF">2015-10-31T09:41:54Z</dcterms:created>
  <dcterms:modified xsi:type="dcterms:W3CDTF">2026-06-11T12:57:14Z</dcterms:modified>
</cp:coreProperties>
</file>